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74fb3389b2d4000/Escritorio/PatoLab/"/>
    </mc:Choice>
  </mc:AlternateContent>
  <xr:revisionPtr revIDLastSave="0" documentId="8_{A6C0E2CF-1E0C-4AA1-9DCB-9D8C5F310F33}" xr6:coauthVersionLast="47" xr6:coauthVersionMax="47" xr10:uidLastSave="{00000000-0000-0000-0000-000000000000}"/>
  <bookViews>
    <workbookView xWindow="27250" yWindow="-3500" windowWidth="38620" windowHeight="21100" xr2:uid="{F9535238-E1C1-449F-99B6-C774AE364160}"/>
  </bookViews>
  <sheets>
    <sheet name="Ventas 0826" sheetId="2" r:id="rId1"/>
    <sheet name="Hoja14" sheetId="3" r:id="rId2"/>
    <sheet name="Resumen 0826" sheetId="4" r:id="rId3"/>
  </sheets>
  <definedNames>
    <definedName name="_xlnm._FilterDatabase" localSheetId="0" hidden="1">'Ventas 0826'!$B$31:$K$69</definedName>
    <definedName name="_xlnm.Print_Area" localSheetId="0">'Ventas 0826'!$B$29:$K$78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1" i="4" l="1"/>
  <c r="F31" i="4"/>
  <c r="E31" i="4"/>
  <c r="H30" i="4"/>
  <c r="I30" i="4" s="1"/>
  <c r="I29" i="4"/>
  <c r="H29" i="4"/>
  <c r="I28" i="4"/>
  <c r="H28" i="4"/>
  <c r="H27" i="4"/>
  <c r="I27" i="4" s="1"/>
  <c r="H26" i="4"/>
  <c r="I26" i="4" s="1"/>
  <c r="I25" i="4"/>
  <c r="H25" i="4"/>
  <c r="I24" i="4"/>
  <c r="H24" i="4"/>
  <c r="H23" i="4"/>
  <c r="I23" i="4" s="1"/>
  <c r="H22" i="4"/>
  <c r="I22" i="4" s="1"/>
  <c r="I21" i="4"/>
  <c r="H21" i="4"/>
  <c r="I20" i="4"/>
  <c r="H20" i="4"/>
  <c r="H19" i="4"/>
  <c r="I19" i="4" s="1"/>
  <c r="H18" i="4"/>
  <c r="I18" i="4" s="1"/>
  <c r="I17" i="4"/>
  <c r="H17" i="4"/>
  <c r="I16" i="4"/>
  <c r="H16" i="4"/>
  <c r="H15" i="4"/>
  <c r="I15" i="4" s="1"/>
  <c r="H14" i="4"/>
  <c r="I14" i="4" s="1"/>
  <c r="I13" i="4"/>
  <c r="H13" i="4"/>
  <c r="I12" i="4"/>
  <c r="H12" i="4"/>
  <c r="H11" i="4"/>
  <c r="I11" i="4" s="1"/>
  <c r="H10" i="4"/>
  <c r="I10" i="4" s="1"/>
  <c r="I9" i="4"/>
  <c r="H9" i="4"/>
  <c r="I8" i="4"/>
  <c r="H8" i="4"/>
  <c r="H7" i="4"/>
  <c r="I7" i="4" s="1"/>
  <c r="H6" i="4"/>
  <c r="I6" i="4" s="1"/>
  <c r="I5" i="4"/>
  <c r="H5" i="4"/>
  <c r="H31" i="4" s="1"/>
  <c r="I635" i="3"/>
  <c r="H635" i="3"/>
  <c r="J635" i="3" s="1"/>
  <c r="G635" i="3"/>
  <c r="F635" i="3"/>
  <c r="J632" i="3"/>
  <c r="J631" i="3"/>
  <c r="J630" i="3"/>
  <c r="J629" i="3"/>
  <c r="J628" i="3"/>
  <c r="J627" i="3"/>
  <c r="J626" i="3"/>
  <c r="J625" i="3"/>
  <c r="J624" i="3"/>
  <c r="J623" i="3"/>
  <c r="J622" i="3"/>
  <c r="J621" i="3"/>
  <c r="J620" i="3"/>
  <c r="B620" i="3"/>
  <c r="B621" i="3" s="1"/>
  <c r="B622" i="3" s="1"/>
  <c r="B623" i="3" s="1"/>
  <c r="B624" i="3" s="1"/>
  <c r="B625" i="3" s="1"/>
  <c r="B626" i="3" s="1"/>
  <c r="B627" i="3" s="1"/>
  <c r="B628" i="3" s="1"/>
  <c r="B629" i="3" s="1"/>
  <c r="B630" i="3" s="1"/>
  <c r="B631" i="3" s="1"/>
  <c r="J619" i="3"/>
  <c r="B619" i="3"/>
  <c r="J618" i="3"/>
  <c r="J617" i="3"/>
  <c r="B617" i="3"/>
  <c r="B618" i="3" s="1"/>
  <c r="J616" i="3"/>
  <c r="J615" i="3"/>
  <c r="J614" i="3"/>
  <c r="J613" i="3"/>
  <c r="J612" i="3"/>
  <c r="J611" i="3"/>
  <c r="J610" i="3"/>
  <c r="J609" i="3"/>
  <c r="J608" i="3"/>
  <c r="J607" i="3"/>
  <c r="B607" i="3"/>
  <c r="B608" i="3" s="1"/>
  <c r="B609" i="3" s="1"/>
  <c r="B610" i="3" s="1"/>
  <c r="B611" i="3" s="1"/>
  <c r="B612" i="3" s="1"/>
  <c r="B613" i="3" s="1"/>
  <c r="B614" i="3" s="1"/>
  <c r="B615" i="3" s="1"/>
  <c r="J606" i="3"/>
  <c r="J605" i="3"/>
  <c r="J604" i="3"/>
  <c r="J603" i="3"/>
  <c r="B603" i="3"/>
  <c r="B604" i="3" s="1"/>
  <c r="B605" i="3" s="1"/>
  <c r="B606" i="3" s="1"/>
  <c r="J602" i="3"/>
  <c r="J601" i="3"/>
  <c r="J600" i="3"/>
  <c r="J599" i="3"/>
  <c r="B599" i="3"/>
  <c r="B600" i="3" s="1"/>
  <c r="B601" i="3" s="1"/>
  <c r="B602" i="3" s="1"/>
  <c r="J598" i="3"/>
  <c r="J597" i="3"/>
  <c r="J596" i="3"/>
  <c r="J595" i="3"/>
  <c r="J594" i="3"/>
  <c r="G594" i="3"/>
  <c r="J593" i="3"/>
  <c r="J592" i="3"/>
  <c r="J591" i="3"/>
  <c r="J590" i="3"/>
  <c r="J589" i="3"/>
  <c r="J588" i="3"/>
  <c r="J587" i="3"/>
  <c r="J586" i="3"/>
  <c r="J585" i="3"/>
  <c r="J584" i="3"/>
  <c r="J583" i="3"/>
  <c r="J582" i="3"/>
  <c r="J581" i="3"/>
  <c r="J580" i="3"/>
  <c r="J579" i="3"/>
  <c r="J578" i="3"/>
  <c r="J577" i="3"/>
  <c r="J576" i="3"/>
  <c r="J575" i="3"/>
  <c r="B575" i="3"/>
  <c r="B576" i="3" s="1"/>
  <c r="B577" i="3" s="1"/>
  <c r="B578" i="3" s="1"/>
  <c r="B579" i="3" s="1"/>
  <c r="B580" i="3" s="1"/>
  <c r="B581" i="3" s="1"/>
  <c r="B582" i="3" s="1"/>
  <c r="B583" i="3" s="1"/>
  <c r="B584" i="3" s="1"/>
  <c r="B585" i="3" s="1"/>
  <c r="B586" i="3" s="1"/>
  <c r="B587" i="3" s="1"/>
  <c r="B588" i="3" s="1"/>
  <c r="B589" i="3" s="1"/>
  <c r="B590" i="3" s="1"/>
  <c r="B591" i="3" s="1"/>
  <c r="B592" i="3" s="1"/>
  <c r="B593" i="3" s="1"/>
  <c r="B594" i="3" s="1"/>
  <c r="B595" i="3" s="1"/>
  <c r="B596" i="3" s="1"/>
  <c r="B597" i="3" s="1"/>
  <c r="J574" i="3"/>
  <c r="J573" i="3"/>
  <c r="J572" i="3"/>
  <c r="J571" i="3"/>
  <c r="J570" i="3"/>
  <c r="J569" i="3"/>
  <c r="J568" i="3"/>
  <c r="J567" i="3"/>
  <c r="J566" i="3"/>
  <c r="J565" i="3"/>
  <c r="J564" i="3"/>
  <c r="J563" i="3"/>
  <c r="J562" i="3"/>
  <c r="J561" i="3"/>
  <c r="J560" i="3"/>
  <c r="J559" i="3"/>
  <c r="J558" i="3"/>
  <c r="J557" i="3"/>
  <c r="J556" i="3"/>
  <c r="J555" i="3"/>
  <c r="J554" i="3"/>
  <c r="J553" i="3"/>
  <c r="J552" i="3"/>
  <c r="J551" i="3"/>
  <c r="J550" i="3"/>
  <c r="B550" i="3"/>
  <c r="B551" i="3" s="1"/>
  <c r="B552" i="3" s="1"/>
  <c r="B553" i="3" s="1"/>
  <c r="B554" i="3" s="1"/>
  <c r="B555" i="3" s="1"/>
  <c r="B556" i="3" s="1"/>
  <c r="B557" i="3" s="1"/>
  <c r="B558" i="3" s="1"/>
  <c r="B559" i="3" s="1"/>
  <c r="B560" i="3" s="1"/>
  <c r="B561" i="3" s="1"/>
  <c r="B562" i="3" s="1"/>
  <c r="B563" i="3" s="1"/>
  <c r="B564" i="3" s="1"/>
  <c r="B565" i="3" s="1"/>
  <c r="B566" i="3" s="1"/>
  <c r="B567" i="3" s="1"/>
  <c r="B568" i="3" s="1"/>
  <c r="B569" i="3" s="1"/>
  <c r="B570" i="3" s="1"/>
  <c r="B571" i="3" s="1"/>
  <c r="B572" i="3" s="1"/>
  <c r="B573" i="3" s="1"/>
  <c r="J549" i="3"/>
  <c r="J548" i="3"/>
  <c r="J547" i="3"/>
  <c r="B547" i="3"/>
  <c r="B548" i="3" s="1"/>
  <c r="B549" i="3" s="1"/>
  <c r="J546" i="3"/>
  <c r="J545" i="3"/>
  <c r="J544" i="3"/>
  <c r="J543" i="3"/>
  <c r="J542" i="3"/>
  <c r="J541" i="3"/>
  <c r="J540" i="3"/>
  <c r="J539" i="3"/>
  <c r="J538" i="3"/>
  <c r="J537" i="3"/>
  <c r="J536" i="3"/>
  <c r="J535" i="3"/>
  <c r="J534" i="3"/>
  <c r="J533" i="3"/>
  <c r="J532" i="3"/>
  <c r="J531" i="3"/>
  <c r="J530" i="3"/>
  <c r="B530" i="3"/>
  <c r="B531" i="3" s="1"/>
  <c r="B532" i="3" s="1"/>
  <c r="B533" i="3" s="1"/>
  <c r="B534" i="3" s="1"/>
  <c r="B535" i="3" s="1"/>
  <c r="B536" i="3" s="1"/>
  <c r="B537" i="3" s="1"/>
  <c r="B538" i="3" s="1"/>
  <c r="B539" i="3" s="1"/>
  <c r="B540" i="3" s="1"/>
  <c r="B541" i="3" s="1"/>
  <c r="B542" i="3" s="1"/>
  <c r="B543" i="3" s="1"/>
  <c r="B544" i="3" s="1"/>
  <c r="B545" i="3" s="1"/>
  <c r="J529" i="3"/>
  <c r="B529" i="3"/>
  <c r="G528" i="3"/>
  <c r="J528" i="3" s="1"/>
  <c r="B528" i="3"/>
  <c r="J527" i="3"/>
  <c r="J526" i="3"/>
  <c r="J525" i="3"/>
  <c r="J524" i="3"/>
  <c r="J523" i="3"/>
  <c r="J522" i="3"/>
  <c r="J521" i="3"/>
  <c r="J520" i="3"/>
  <c r="J519" i="3"/>
  <c r="J518" i="3"/>
  <c r="J517" i="3"/>
  <c r="J516" i="3"/>
  <c r="J515" i="3"/>
  <c r="J514" i="3"/>
  <c r="J513" i="3"/>
  <c r="J512" i="3"/>
  <c r="J511" i="3"/>
  <c r="J510" i="3"/>
  <c r="J509" i="3"/>
  <c r="J508" i="3"/>
  <c r="B508" i="3"/>
  <c r="B509" i="3" s="1"/>
  <c r="B510" i="3" s="1"/>
  <c r="B511" i="3" s="1"/>
  <c r="B512" i="3" s="1"/>
  <c r="B513" i="3" s="1"/>
  <c r="B514" i="3" s="1"/>
  <c r="B515" i="3" s="1"/>
  <c r="B516" i="3" s="1"/>
  <c r="B517" i="3" s="1"/>
  <c r="B518" i="3" s="1"/>
  <c r="B519" i="3" s="1"/>
  <c r="B520" i="3" s="1"/>
  <c r="B521" i="3" s="1"/>
  <c r="B522" i="3" s="1"/>
  <c r="B523" i="3" s="1"/>
  <c r="B524" i="3" s="1"/>
  <c r="B525" i="3" s="1"/>
  <c r="B526" i="3" s="1"/>
  <c r="J507" i="3"/>
  <c r="J506" i="3"/>
  <c r="J505" i="3"/>
  <c r="J504" i="3"/>
  <c r="J503" i="3"/>
  <c r="J502" i="3"/>
  <c r="J501" i="3"/>
  <c r="J500" i="3"/>
  <c r="J499" i="3"/>
  <c r="G499" i="3"/>
  <c r="J498" i="3"/>
  <c r="J497" i="3"/>
  <c r="J496" i="3"/>
  <c r="J495" i="3"/>
  <c r="J494" i="3"/>
  <c r="J493" i="3"/>
  <c r="J492" i="3"/>
  <c r="J491" i="3"/>
  <c r="G491" i="3"/>
  <c r="J490" i="3"/>
  <c r="J489" i="3"/>
  <c r="J488" i="3"/>
  <c r="J487" i="3"/>
  <c r="J486" i="3"/>
  <c r="J485" i="3"/>
  <c r="J484" i="3"/>
  <c r="J483" i="3"/>
  <c r="J482" i="3"/>
  <c r="B482" i="3"/>
  <c r="B483" i="3" s="1"/>
  <c r="B484" i="3" s="1"/>
  <c r="B485" i="3" s="1"/>
  <c r="B486" i="3" s="1"/>
  <c r="B487" i="3" s="1"/>
  <c r="B488" i="3" s="1"/>
  <c r="B489" i="3" s="1"/>
  <c r="B490" i="3" s="1"/>
  <c r="B491" i="3" s="1"/>
  <c r="B492" i="3" s="1"/>
  <c r="B493" i="3" s="1"/>
  <c r="B494" i="3" s="1"/>
  <c r="B495" i="3" s="1"/>
  <c r="B496" i="3" s="1"/>
  <c r="B497" i="3" s="1"/>
  <c r="B498" i="3" s="1"/>
  <c r="B499" i="3" s="1"/>
  <c r="B500" i="3" s="1"/>
  <c r="B501" i="3" s="1"/>
  <c r="B502" i="3" s="1"/>
  <c r="B503" i="3" s="1"/>
  <c r="B504" i="3" s="1"/>
  <c r="B505" i="3" s="1"/>
  <c r="B506" i="3" s="1"/>
  <c r="J481" i="3"/>
  <c r="J480" i="3"/>
  <c r="J479" i="3"/>
  <c r="J478" i="3"/>
  <c r="B478" i="3"/>
  <c r="B479" i="3" s="1"/>
  <c r="B480" i="3" s="1"/>
  <c r="J477" i="3"/>
  <c r="J476" i="3"/>
  <c r="J475" i="3"/>
  <c r="J474" i="3"/>
  <c r="B474" i="3"/>
  <c r="B475" i="3" s="1"/>
  <c r="B476" i="3" s="1"/>
  <c r="B477" i="3" s="1"/>
  <c r="J473" i="3"/>
  <c r="B473" i="3"/>
  <c r="H472" i="3"/>
  <c r="G472" i="3"/>
  <c r="J472" i="3" s="1"/>
  <c r="J471" i="3"/>
  <c r="J470" i="3"/>
  <c r="J469" i="3"/>
  <c r="J468" i="3"/>
  <c r="J467" i="3"/>
  <c r="J466" i="3"/>
  <c r="J465" i="3"/>
  <c r="J464" i="3"/>
  <c r="J463" i="3"/>
  <c r="J462" i="3"/>
  <c r="J461" i="3"/>
  <c r="J460" i="3"/>
  <c r="J459" i="3"/>
  <c r="G458" i="3"/>
  <c r="J458" i="3" s="1"/>
  <c r="J457" i="3"/>
  <c r="J456" i="3"/>
  <c r="J455" i="3"/>
  <c r="J454" i="3"/>
  <c r="J453" i="3"/>
  <c r="J452" i="3"/>
  <c r="J451" i="3"/>
  <c r="J450" i="3"/>
  <c r="J449" i="3"/>
  <c r="J448" i="3"/>
  <c r="J447" i="3"/>
  <c r="B447" i="3"/>
  <c r="B448" i="3" s="1"/>
  <c r="B449" i="3" s="1"/>
  <c r="B450" i="3" s="1"/>
  <c r="B451" i="3" s="1"/>
  <c r="B452" i="3" s="1"/>
  <c r="B453" i="3" s="1"/>
  <c r="B454" i="3" s="1"/>
  <c r="B455" i="3" s="1"/>
  <c r="B456" i="3" s="1"/>
  <c r="B457" i="3" s="1"/>
  <c r="B458" i="3" s="1"/>
  <c r="B459" i="3" s="1"/>
  <c r="B460" i="3" s="1"/>
  <c r="B461" i="3" s="1"/>
  <c r="B462" i="3" s="1"/>
  <c r="B463" i="3" s="1"/>
  <c r="B464" i="3" s="1"/>
  <c r="B465" i="3" s="1"/>
  <c r="B466" i="3" s="1"/>
  <c r="B467" i="3" s="1"/>
  <c r="B468" i="3" s="1"/>
  <c r="B469" i="3" s="1"/>
  <c r="B470" i="3" s="1"/>
  <c r="B471" i="3" s="1"/>
  <c r="J446" i="3"/>
  <c r="B446" i="3"/>
  <c r="J445" i="3"/>
  <c r="J444" i="3"/>
  <c r="J443" i="3"/>
  <c r="J442" i="3"/>
  <c r="J441" i="3"/>
  <c r="J440" i="3"/>
  <c r="J439" i="3"/>
  <c r="J438" i="3"/>
  <c r="J437" i="3"/>
  <c r="J436" i="3"/>
  <c r="J435" i="3"/>
  <c r="J434" i="3"/>
  <c r="J433" i="3"/>
  <c r="J432" i="3"/>
  <c r="J431" i="3"/>
  <c r="J430" i="3"/>
  <c r="J429" i="3"/>
  <c r="J428" i="3"/>
  <c r="J427" i="3"/>
  <c r="J426" i="3"/>
  <c r="J425" i="3"/>
  <c r="J424" i="3"/>
  <c r="J423" i="3"/>
  <c r="J422" i="3"/>
  <c r="B422" i="3"/>
  <c r="B423" i="3" s="1"/>
  <c r="B424" i="3" s="1"/>
  <c r="B425" i="3" s="1"/>
  <c r="B426" i="3" s="1"/>
  <c r="B427" i="3" s="1"/>
  <c r="B428" i="3" s="1"/>
  <c r="B429" i="3" s="1"/>
  <c r="B430" i="3" s="1"/>
  <c r="B431" i="3" s="1"/>
  <c r="B432" i="3" s="1"/>
  <c r="B433" i="3" s="1"/>
  <c r="B434" i="3" s="1"/>
  <c r="B435" i="3" s="1"/>
  <c r="B436" i="3" s="1"/>
  <c r="B437" i="3" s="1"/>
  <c r="B438" i="3" s="1"/>
  <c r="B439" i="3" s="1"/>
  <c r="B440" i="3" s="1"/>
  <c r="B441" i="3" s="1"/>
  <c r="B442" i="3" s="1"/>
  <c r="B443" i="3" s="1"/>
  <c r="B444" i="3" s="1"/>
  <c r="J421" i="3"/>
  <c r="B421" i="3"/>
  <c r="J420" i="3"/>
  <c r="J419" i="3"/>
  <c r="J418" i="3"/>
  <c r="J417" i="3"/>
  <c r="J416" i="3"/>
  <c r="J415" i="3"/>
  <c r="J414" i="3"/>
  <c r="J413" i="3"/>
  <c r="J412" i="3"/>
  <c r="J411" i="3"/>
  <c r="J410" i="3"/>
  <c r="J409" i="3"/>
  <c r="J408" i="3"/>
  <c r="J407" i="3"/>
  <c r="J406" i="3"/>
  <c r="J405" i="3"/>
  <c r="J404" i="3"/>
  <c r="J403" i="3"/>
  <c r="J402" i="3"/>
  <c r="J401" i="3"/>
  <c r="J400" i="3"/>
  <c r="J399" i="3"/>
  <c r="J398" i="3"/>
  <c r="J397" i="3"/>
  <c r="G397" i="3"/>
  <c r="J396" i="3"/>
  <c r="J395" i="3"/>
  <c r="J394" i="3"/>
  <c r="J393" i="3"/>
  <c r="J392" i="3"/>
  <c r="J391" i="3"/>
  <c r="B391" i="3"/>
  <c r="B392" i="3" s="1"/>
  <c r="B393" i="3" s="1"/>
  <c r="B394" i="3" s="1"/>
  <c r="B395" i="3" s="1"/>
  <c r="B396" i="3" s="1"/>
  <c r="B397" i="3" s="1"/>
  <c r="B398" i="3" s="1"/>
  <c r="B399" i="3" s="1"/>
  <c r="B400" i="3" s="1"/>
  <c r="B401" i="3" s="1"/>
  <c r="B402" i="3" s="1"/>
  <c r="B403" i="3" s="1"/>
  <c r="B404" i="3" s="1"/>
  <c r="B405" i="3" s="1"/>
  <c r="B406" i="3" s="1"/>
  <c r="B407" i="3" s="1"/>
  <c r="B408" i="3" s="1"/>
  <c r="B409" i="3" s="1"/>
  <c r="B410" i="3" s="1"/>
  <c r="B411" i="3" s="1"/>
  <c r="B412" i="3" s="1"/>
  <c r="B413" i="3" s="1"/>
  <c r="B414" i="3" s="1"/>
  <c r="B415" i="3" s="1"/>
  <c r="B416" i="3" s="1"/>
  <c r="B417" i="3" s="1"/>
  <c r="B418" i="3" s="1"/>
  <c r="B419" i="3" s="1"/>
  <c r="J390" i="3"/>
  <c r="G390" i="3"/>
  <c r="B390" i="3"/>
  <c r="J389" i="3"/>
  <c r="J388" i="3"/>
  <c r="J387" i="3"/>
  <c r="J386" i="3"/>
  <c r="J385" i="3"/>
  <c r="J384" i="3"/>
  <c r="J383" i="3"/>
  <c r="G382" i="3"/>
  <c r="J382" i="3" s="1"/>
  <c r="J381" i="3"/>
  <c r="J380" i="3"/>
  <c r="J379" i="3"/>
  <c r="J378" i="3"/>
  <c r="H378" i="3"/>
  <c r="G378" i="3"/>
  <c r="J377" i="3"/>
  <c r="J376" i="3"/>
  <c r="B376" i="3"/>
  <c r="B377" i="3" s="1"/>
  <c r="B378" i="3" s="1"/>
  <c r="B379" i="3" s="1"/>
  <c r="B380" i="3" s="1"/>
  <c r="B381" i="3" s="1"/>
  <c r="B382" i="3" s="1"/>
  <c r="B383" i="3" s="1"/>
  <c r="B384" i="3" s="1"/>
  <c r="B385" i="3" s="1"/>
  <c r="B386" i="3" s="1"/>
  <c r="B387" i="3" s="1"/>
  <c r="B388" i="3" s="1"/>
  <c r="J375" i="3"/>
  <c r="H374" i="3"/>
  <c r="G374" i="3"/>
  <c r="J374" i="3" s="1"/>
  <c r="H373" i="3"/>
  <c r="G373" i="3"/>
  <c r="J372" i="3"/>
  <c r="J371" i="3"/>
  <c r="J370" i="3"/>
  <c r="B370" i="3"/>
  <c r="B371" i="3" s="1"/>
  <c r="B372" i="3" s="1"/>
  <c r="B373" i="3" s="1"/>
  <c r="B374" i="3" s="1"/>
  <c r="B375" i="3" s="1"/>
  <c r="J369" i="3"/>
  <c r="G368" i="3"/>
  <c r="J368" i="3" s="1"/>
  <c r="J367" i="3"/>
  <c r="J366" i="3"/>
  <c r="B366" i="3"/>
  <c r="B367" i="3" s="1"/>
  <c r="B368" i="3" s="1"/>
  <c r="B369" i="3" s="1"/>
  <c r="J365" i="3"/>
  <c r="B365" i="3"/>
  <c r="J364" i="3"/>
  <c r="J363" i="3"/>
  <c r="J362" i="3"/>
  <c r="J361" i="3"/>
  <c r="H360" i="3"/>
  <c r="G360" i="3"/>
  <c r="J360" i="3" s="1"/>
  <c r="J359" i="3"/>
  <c r="J358" i="3"/>
  <c r="G358" i="3"/>
  <c r="J357" i="3"/>
  <c r="J356" i="3"/>
  <c r="J355" i="3"/>
  <c r="J354" i="3"/>
  <c r="J353" i="3"/>
  <c r="J352" i="3"/>
  <c r="J351" i="3"/>
  <c r="J350" i="3"/>
  <c r="J349" i="3"/>
  <c r="J348" i="3"/>
  <c r="J347" i="3"/>
  <c r="J346" i="3"/>
  <c r="J345" i="3"/>
  <c r="J344" i="3"/>
  <c r="J343" i="3"/>
  <c r="B343" i="3"/>
  <c r="B344" i="3" s="1"/>
  <c r="B345" i="3" s="1"/>
  <c r="B346" i="3" s="1"/>
  <c r="B347" i="3" s="1"/>
  <c r="B348" i="3" s="1"/>
  <c r="B349" i="3" s="1"/>
  <c r="B350" i="3" s="1"/>
  <c r="B351" i="3" s="1"/>
  <c r="B352" i="3" s="1"/>
  <c r="B353" i="3" s="1"/>
  <c r="B354" i="3" s="1"/>
  <c r="B355" i="3" s="1"/>
  <c r="B356" i="3" s="1"/>
  <c r="B357" i="3" s="1"/>
  <c r="B358" i="3" s="1"/>
  <c r="B359" i="3" s="1"/>
  <c r="B360" i="3" s="1"/>
  <c r="B361" i="3" s="1"/>
  <c r="B362" i="3" s="1"/>
  <c r="B363" i="3" s="1"/>
  <c r="J342" i="3"/>
  <c r="J341" i="3"/>
  <c r="J340" i="3"/>
  <c r="B340" i="3"/>
  <c r="B341" i="3" s="1"/>
  <c r="B342" i="3" s="1"/>
  <c r="J339" i="3"/>
  <c r="J338" i="3"/>
  <c r="J337" i="3"/>
  <c r="J336" i="3"/>
  <c r="J335" i="3"/>
  <c r="B335" i="3"/>
  <c r="B336" i="3" s="1"/>
  <c r="B337" i="3" s="1"/>
  <c r="B338" i="3" s="1"/>
  <c r="J334" i="3"/>
  <c r="J333" i="3"/>
  <c r="B333" i="3"/>
  <c r="B334" i="3" s="1"/>
  <c r="J332" i="3"/>
  <c r="B332" i="3"/>
  <c r="J331" i="3"/>
  <c r="J330" i="3"/>
  <c r="J329" i="3"/>
  <c r="J328" i="3"/>
  <c r="J327" i="3"/>
  <c r="J326" i="3"/>
  <c r="J325" i="3"/>
  <c r="J324" i="3"/>
  <c r="J323" i="3"/>
  <c r="J322" i="3"/>
  <c r="J321" i="3"/>
  <c r="J320" i="3"/>
  <c r="J319" i="3"/>
  <c r="J318" i="3"/>
  <c r="J317" i="3"/>
  <c r="J316" i="3"/>
  <c r="J315" i="3"/>
  <c r="B315" i="3"/>
  <c r="B316" i="3" s="1"/>
  <c r="B317" i="3" s="1"/>
  <c r="B318" i="3" s="1"/>
  <c r="B319" i="3" s="1"/>
  <c r="B320" i="3" s="1"/>
  <c r="B321" i="3" s="1"/>
  <c r="B322" i="3" s="1"/>
  <c r="B323" i="3" s="1"/>
  <c r="B324" i="3" s="1"/>
  <c r="B325" i="3" s="1"/>
  <c r="B326" i="3" s="1"/>
  <c r="B327" i="3" s="1"/>
  <c r="B328" i="3" s="1"/>
  <c r="B329" i="3" s="1"/>
  <c r="B330" i="3" s="1"/>
  <c r="J314" i="3"/>
  <c r="B314" i="3"/>
  <c r="J313" i="3"/>
  <c r="J312" i="3"/>
  <c r="G311" i="3"/>
  <c r="J311" i="3" s="1"/>
  <c r="B311" i="3"/>
  <c r="B312" i="3" s="1"/>
  <c r="B313" i="3" s="1"/>
  <c r="J310" i="3"/>
  <c r="J309" i="3"/>
  <c r="J308" i="3"/>
  <c r="J307" i="3"/>
  <c r="J306" i="3"/>
  <c r="J305" i="3"/>
  <c r="J304" i="3"/>
  <c r="J303" i="3"/>
  <c r="J302" i="3"/>
  <c r="J301" i="3"/>
  <c r="K300" i="3"/>
  <c r="J300" i="3"/>
  <c r="J299" i="3"/>
  <c r="J298" i="3"/>
  <c r="J297" i="3"/>
  <c r="J296" i="3"/>
  <c r="J295" i="3"/>
  <c r="J294" i="3"/>
  <c r="J293" i="3"/>
  <c r="J292" i="3"/>
  <c r="J291" i="3"/>
  <c r="J290" i="3"/>
  <c r="J289" i="3"/>
  <c r="J288" i="3"/>
  <c r="J287" i="3"/>
  <c r="J286" i="3"/>
  <c r="J285" i="3"/>
  <c r="J284" i="3"/>
  <c r="J283" i="3"/>
  <c r="H283" i="3"/>
  <c r="G283" i="3"/>
  <c r="J282" i="3"/>
  <c r="J281" i="3"/>
  <c r="J280" i="3"/>
  <c r="J279" i="3"/>
  <c r="J278" i="3"/>
  <c r="J277" i="3"/>
  <c r="J276" i="3"/>
  <c r="J275" i="3"/>
  <c r="J274" i="3"/>
  <c r="B274" i="3"/>
  <c r="B275" i="3" s="1"/>
  <c r="B276" i="3" s="1"/>
  <c r="B277" i="3" s="1"/>
  <c r="B278" i="3" s="1"/>
  <c r="B279" i="3" s="1"/>
  <c r="B280" i="3" s="1"/>
  <c r="B281" i="3" s="1"/>
  <c r="B282" i="3" s="1"/>
  <c r="B283" i="3" s="1"/>
  <c r="B284" i="3" s="1"/>
  <c r="B285" i="3" s="1"/>
  <c r="B286" i="3" s="1"/>
  <c r="B287" i="3" s="1"/>
  <c r="B288" i="3" s="1"/>
  <c r="B289" i="3" s="1"/>
  <c r="B290" i="3" s="1"/>
  <c r="B291" i="3" s="1"/>
  <c r="B292" i="3" s="1"/>
  <c r="B293" i="3" s="1"/>
  <c r="B294" i="3" s="1"/>
  <c r="B295" i="3" s="1"/>
  <c r="B296" i="3" s="1"/>
  <c r="B297" i="3" s="1"/>
  <c r="B298" i="3" s="1"/>
  <c r="B299" i="3" s="1"/>
  <c r="B300" i="3" s="1"/>
  <c r="B301" i="3" s="1"/>
  <c r="B302" i="3" s="1"/>
  <c r="B303" i="3" s="1"/>
  <c r="B304" i="3" s="1"/>
  <c r="B305" i="3" s="1"/>
  <c r="B306" i="3" s="1"/>
  <c r="B307" i="3" s="1"/>
  <c r="B308" i="3" s="1"/>
  <c r="B309" i="3" s="1"/>
  <c r="J273" i="3"/>
  <c r="B273" i="3"/>
  <c r="J272" i="3"/>
  <c r="J271" i="3"/>
  <c r="J270" i="3"/>
  <c r="J269" i="3"/>
  <c r="J268" i="3"/>
  <c r="J267" i="3"/>
  <c r="J266" i="3"/>
  <c r="J265" i="3"/>
  <c r="J264" i="3"/>
  <c r="J263" i="3"/>
  <c r="J262" i="3"/>
  <c r="J261" i="3"/>
  <c r="J260" i="3"/>
  <c r="J259" i="3"/>
  <c r="J258" i="3"/>
  <c r="J257" i="3"/>
  <c r="J256" i="3"/>
  <c r="J255" i="3"/>
  <c r="B255" i="3"/>
  <c r="B256" i="3" s="1"/>
  <c r="B257" i="3" s="1"/>
  <c r="B258" i="3" s="1"/>
  <c r="B259" i="3" s="1"/>
  <c r="B260" i="3" s="1"/>
  <c r="B261" i="3" s="1"/>
  <c r="B262" i="3" s="1"/>
  <c r="B263" i="3" s="1"/>
  <c r="B264" i="3" s="1"/>
  <c r="B265" i="3" s="1"/>
  <c r="B266" i="3" s="1"/>
  <c r="B267" i="3" s="1"/>
  <c r="B268" i="3" s="1"/>
  <c r="B269" i="3" s="1"/>
  <c r="B270" i="3" s="1"/>
  <c r="B271" i="3" s="1"/>
  <c r="J254" i="3"/>
  <c r="B254" i="3"/>
  <c r="J253" i="3"/>
  <c r="J252" i="3"/>
  <c r="J251" i="3"/>
  <c r="J250" i="3"/>
  <c r="J249" i="3"/>
  <c r="J248" i="3"/>
  <c r="J247" i="3"/>
  <c r="J246" i="3"/>
  <c r="J245" i="3"/>
  <c r="J244" i="3"/>
  <c r="J243" i="3"/>
  <c r="J242" i="3"/>
  <c r="G242" i="3"/>
  <c r="J241" i="3"/>
  <c r="J240" i="3"/>
  <c r="J239" i="3"/>
  <c r="J238" i="3"/>
  <c r="J237" i="3"/>
  <c r="J236" i="3"/>
  <c r="J235" i="3"/>
  <c r="J234" i="3"/>
  <c r="J233" i="3"/>
  <c r="J232" i="3"/>
  <c r="J231" i="3"/>
  <c r="J230" i="3"/>
  <c r="J229" i="3"/>
  <c r="J228" i="3"/>
  <c r="J227" i="3"/>
  <c r="J226" i="3"/>
  <c r="J225" i="3"/>
  <c r="J224" i="3"/>
  <c r="B224" i="3"/>
  <c r="B225" i="3" s="1"/>
  <c r="B226" i="3" s="1"/>
  <c r="B227" i="3" s="1"/>
  <c r="B228" i="3" s="1"/>
  <c r="B229" i="3" s="1"/>
  <c r="B230" i="3" s="1"/>
  <c r="B231" i="3" s="1"/>
  <c r="B232" i="3" s="1"/>
  <c r="B233" i="3" s="1"/>
  <c r="B234" i="3" s="1"/>
  <c r="B235" i="3" s="1"/>
  <c r="B236" i="3" s="1"/>
  <c r="B237" i="3" s="1"/>
  <c r="B238" i="3" s="1"/>
  <c r="B239" i="3" s="1"/>
  <c r="B240" i="3" s="1"/>
  <c r="B241" i="3" s="1"/>
  <c r="B242" i="3" s="1"/>
  <c r="B243" i="3" s="1"/>
  <c r="B244" i="3" s="1"/>
  <c r="B245" i="3" s="1"/>
  <c r="B246" i="3" s="1"/>
  <c r="B247" i="3" s="1"/>
  <c r="B248" i="3" s="1"/>
  <c r="B249" i="3" s="1"/>
  <c r="B250" i="3" s="1"/>
  <c r="B251" i="3" s="1"/>
  <c r="B252" i="3" s="1"/>
  <c r="J223" i="3"/>
  <c r="B223" i="3"/>
  <c r="J222" i="3"/>
  <c r="B222" i="3"/>
  <c r="J221" i="3"/>
  <c r="J220" i="3"/>
  <c r="J219" i="3"/>
  <c r="J218" i="3"/>
  <c r="J217" i="3"/>
  <c r="J216" i="3"/>
  <c r="J215" i="3"/>
  <c r="J214" i="3"/>
  <c r="G213" i="3"/>
  <c r="J213" i="3" s="1"/>
  <c r="J212" i="3"/>
  <c r="J211" i="3"/>
  <c r="J210" i="3"/>
  <c r="J209" i="3"/>
  <c r="J208" i="3"/>
  <c r="J207" i="3"/>
  <c r="J206" i="3"/>
  <c r="G206" i="3"/>
  <c r="J205" i="3"/>
  <c r="J204" i="3"/>
  <c r="J203" i="3"/>
  <c r="J202" i="3"/>
  <c r="J201" i="3"/>
  <c r="J200" i="3"/>
  <c r="J199" i="3"/>
  <c r="J198" i="3"/>
  <c r="J197" i="3"/>
  <c r="J196" i="3"/>
  <c r="J195" i="3"/>
  <c r="J194" i="3"/>
  <c r="J193" i="3"/>
  <c r="J192" i="3"/>
  <c r="J191" i="3"/>
  <c r="J190" i="3"/>
  <c r="B190" i="3"/>
  <c r="B191" i="3" s="1"/>
  <c r="B192" i="3" s="1"/>
  <c r="B193" i="3" s="1"/>
  <c r="B194" i="3" s="1"/>
  <c r="B195" i="3" s="1"/>
  <c r="B196" i="3" s="1"/>
  <c r="B197" i="3" s="1"/>
  <c r="B198" i="3" s="1"/>
  <c r="B199" i="3" s="1"/>
  <c r="B200" i="3" s="1"/>
  <c r="B201" i="3" s="1"/>
  <c r="B202" i="3" s="1"/>
  <c r="B203" i="3" s="1"/>
  <c r="B204" i="3" s="1"/>
  <c r="B205" i="3" s="1"/>
  <c r="B206" i="3" s="1"/>
  <c r="B207" i="3" s="1"/>
  <c r="B208" i="3" s="1"/>
  <c r="B209" i="3" s="1"/>
  <c r="B210" i="3" s="1"/>
  <c r="B211" i="3" s="1"/>
  <c r="B212" i="3" s="1"/>
  <c r="B213" i="3" s="1"/>
  <c r="B214" i="3" s="1"/>
  <c r="B215" i="3" s="1"/>
  <c r="B216" i="3" s="1"/>
  <c r="B217" i="3" s="1"/>
  <c r="B218" i="3" s="1"/>
  <c r="B219" i="3" s="1"/>
  <c r="B220" i="3" s="1"/>
  <c r="J189" i="3"/>
  <c r="B189" i="3"/>
  <c r="G188" i="3"/>
  <c r="J188" i="3" s="1"/>
  <c r="J187" i="3"/>
  <c r="J186" i="3"/>
  <c r="J185" i="3"/>
  <c r="J184" i="3"/>
  <c r="B184" i="3"/>
  <c r="B185" i="3" s="1"/>
  <c r="B186" i="3" s="1"/>
  <c r="B187" i="3" s="1"/>
  <c r="J183" i="3"/>
  <c r="B183" i="3"/>
  <c r="J182" i="3"/>
  <c r="J181" i="3"/>
  <c r="J180" i="3"/>
  <c r="J179" i="3"/>
  <c r="J178" i="3"/>
  <c r="J177" i="3"/>
  <c r="J176" i="3"/>
  <c r="J175" i="3"/>
  <c r="J174" i="3"/>
  <c r="J173" i="3"/>
  <c r="J172" i="3"/>
  <c r="J171" i="3"/>
  <c r="J170" i="3"/>
  <c r="J169" i="3"/>
  <c r="J168" i="3"/>
  <c r="J167" i="3"/>
  <c r="J166" i="3"/>
  <c r="J165" i="3"/>
  <c r="J164" i="3"/>
  <c r="J163" i="3"/>
  <c r="J162" i="3"/>
  <c r="J161" i="3"/>
  <c r="J160" i="3"/>
  <c r="J159" i="3"/>
  <c r="J158" i="3"/>
  <c r="J157" i="3"/>
  <c r="J156" i="3"/>
  <c r="J155" i="3"/>
  <c r="B155" i="3"/>
  <c r="B156" i="3" s="1"/>
  <c r="B157" i="3" s="1"/>
  <c r="B158" i="3" s="1"/>
  <c r="B159" i="3" s="1"/>
  <c r="B160" i="3" s="1"/>
  <c r="B161" i="3" s="1"/>
  <c r="B162" i="3" s="1"/>
  <c r="B163" i="3" s="1"/>
  <c r="B164" i="3" s="1"/>
  <c r="B165" i="3" s="1"/>
  <c r="B166" i="3" s="1"/>
  <c r="B167" i="3" s="1"/>
  <c r="B168" i="3" s="1"/>
  <c r="B169" i="3" s="1"/>
  <c r="B170" i="3" s="1"/>
  <c r="B171" i="3" s="1"/>
  <c r="B172" i="3" s="1"/>
  <c r="B173" i="3" s="1"/>
  <c r="B174" i="3" s="1"/>
  <c r="B175" i="3" s="1"/>
  <c r="B176" i="3" s="1"/>
  <c r="B177" i="3" s="1"/>
  <c r="B178" i="3" s="1"/>
  <c r="B179" i="3" s="1"/>
  <c r="B180" i="3" s="1"/>
  <c r="B181" i="3" s="1"/>
  <c r="J154" i="3"/>
  <c r="J153" i="3"/>
  <c r="B153" i="3"/>
  <c r="B154" i="3" s="1"/>
  <c r="J152" i="3"/>
  <c r="J151" i="3"/>
  <c r="J150" i="3"/>
  <c r="J149" i="3"/>
  <c r="J148" i="3"/>
  <c r="J147" i="3"/>
  <c r="J146" i="3"/>
  <c r="J145" i="3"/>
  <c r="J144" i="3"/>
  <c r="J143" i="3"/>
  <c r="J142" i="3"/>
  <c r="J141" i="3"/>
  <c r="J140" i="3"/>
  <c r="G140" i="3"/>
  <c r="G139" i="3"/>
  <c r="J139" i="3" s="1"/>
  <c r="J138" i="3"/>
  <c r="J137" i="3"/>
  <c r="J136" i="3"/>
  <c r="J135" i="3"/>
  <c r="J134" i="3"/>
  <c r="J133" i="3"/>
  <c r="J132" i="3"/>
  <c r="J131" i="3"/>
  <c r="J130" i="3"/>
  <c r="J129" i="3"/>
  <c r="J128" i="3"/>
  <c r="J127" i="3"/>
  <c r="J126" i="3"/>
  <c r="J125" i="3"/>
  <c r="J124" i="3"/>
  <c r="B124" i="3"/>
  <c r="B125" i="3" s="1"/>
  <c r="B126" i="3" s="1"/>
  <c r="B127" i="3" s="1"/>
  <c r="B128" i="3" s="1"/>
  <c r="B129" i="3" s="1"/>
  <c r="B130" i="3" s="1"/>
  <c r="B131" i="3" s="1"/>
  <c r="B132" i="3" s="1"/>
  <c r="B133" i="3" s="1"/>
  <c r="B134" i="3" s="1"/>
  <c r="B135" i="3" s="1"/>
  <c r="B136" i="3" s="1"/>
  <c r="B137" i="3" s="1"/>
  <c r="B138" i="3" s="1"/>
  <c r="B139" i="3" s="1"/>
  <c r="B140" i="3" s="1"/>
  <c r="B141" i="3" s="1"/>
  <c r="B142" i="3" s="1"/>
  <c r="B143" i="3" s="1"/>
  <c r="B144" i="3" s="1"/>
  <c r="B145" i="3" s="1"/>
  <c r="B146" i="3" s="1"/>
  <c r="B147" i="3" s="1"/>
  <c r="B148" i="3" s="1"/>
  <c r="B149" i="3" s="1"/>
  <c r="B150" i="3" s="1"/>
  <c r="B151" i="3" s="1"/>
  <c r="J123" i="3"/>
  <c r="J122" i="3"/>
  <c r="B122" i="3"/>
  <c r="B123" i="3" s="1"/>
  <c r="J121" i="3"/>
  <c r="J120" i="3"/>
  <c r="J119" i="3"/>
  <c r="J118" i="3"/>
  <c r="J117" i="3"/>
  <c r="J116" i="3"/>
  <c r="J115" i="3"/>
  <c r="J114" i="3"/>
  <c r="J113" i="3"/>
  <c r="J112" i="3"/>
  <c r="J111" i="3"/>
  <c r="J110" i="3"/>
  <c r="J109" i="3"/>
  <c r="J108" i="3"/>
  <c r="J107" i="3"/>
  <c r="J106" i="3"/>
  <c r="J105" i="3"/>
  <c r="J104" i="3"/>
  <c r="J103" i="3"/>
  <c r="J102" i="3"/>
  <c r="J101" i="3"/>
  <c r="J100" i="3"/>
  <c r="J99" i="3"/>
  <c r="J98" i="3"/>
  <c r="J97" i="3"/>
  <c r="J96" i="3"/>
  <c r="J95" i="3"/>
  <c r="J94" i="3"/>
  <c r="J93" i="3"/>
  <c r="J92" i="3"/>
  <c r="J91" i="3"/>
  <c r="J90" i="3"/>
  <c r="J89" i="3"/>
  <c r="J88" i="3"/>
  <c r="J87" i="3"/>
  <c r="J86" i="3"/>
  <c r="J85" i="3"/>
  <c r="J84" i="3"/>
  <c r="G83" i="3"/>
  <c r="J83" i="3" s="1"/>
  <c r="J82" i="3"/>
  <c r="J81" i="3"/>
  <c r="J80" i="3"/>
  <c r="B80" i="3"/>
  <c r="B81" i="3" s="1"/>
  <c r="B82" i="3" s="1"/>
  <c r="B83" i="3" s="1"/>
  <c r="B84" i="3" s="1"/>
  <c r="B85" i="3" s="1"/>
  <c r="B86" i="3" s="1"/>
  <c r="B87" i="3" s="1"/>
  <c r="B88" i="3" s="1"/>
  <c r="B89" i="3" s="1"/>
  <c r="B90" i="3" s="1"/>
  <c r="B91" i="3" s="1"/>
  <c r="B92" i="3" s="1"/>
  <c r="B93" i="3" s="1"/>
  <c r="B94" i="3" s="1"/>
  <c r="B95" i="3" s="1"/>
  <c r="B96" i="3" s="1"/>
  <c r="B97" i="3" s="1"/>
  <c r="B98" i="3" s="1"/>
  <c r="B99" i="3" s="1"/>
  <c r="B100" i="3" s="1"/>
  <c r="B101" i="3" s="1"/>
  <c r="B102" i="3" s="1"/>
  <c r="B103" i="3" s="1"/>
  <c r="B104" i="3" s="1"/>
  <c r="B105" i="3" s="1"/>
  <c r="B106" i="3" s="1"/>
  <c r="B107" i="3" s="1"/>
  <c r="B108" i="3" s="1"/>
  <c r="B109" i="3" s="1"/>
  <c r="B110" i="3" s="1"/>
  <c r="B111" i="3" s="1"/>
  <c r="B112" i="3" s="1"/>
  <c r="B113" i="3" s="1"/>
  <c r="B114" i="3" s="1"/>
  <c r="B115" i="3" s="1"/>
  <c r="B116" i="3" s="1"/>
  <c r="B117" i="3" s="1"/>
  <c r="B118" i="3" s="1"/>
  <c r="B119" i="3" s="1"/>
  <c r="B120" i="3" s="1"/>
  <c r="J79" i="3"/>
  <c r="J78" i="3"/>
  <c r="J77" i="3"/>
  <c r="J76" i="3"/>
  <c r="J75" i="3"/>
  <c r="J74" i="3"/>
  <c r="J73" i="3"/>
  <c r="G72" i="3"/>
  <c r="J72" i="3" s="1"/>
  <c r="J71" i="3"/>
  <c r="J70" i="3"/>
  <c r="G69" i="3"/>
  <c r="J69" i="3" s="1"/>
  <c r="J68" i="3"/>
  <c r="J67" i="3"/>
  <c r="J66" i="3"/>
  <c r="J65" i="3"/>
  <c r="J64" i="3"/>
  <c r="J63" i="3"/>
  <c r="J62" i="3"/>
  <c r="J61" i="3"/>
  <c r="J60" i="3"/>
  <c r="J59" i="3"/>
  <c r="J58" i="3"/>
  <c r="J57" i="3"/>
  <c r="J56" i="3"/>
  <c r="B56" i="3"/>
  <c r="B57" i="3" s="1"/>
  <c r="B58" i="3" s="1"/>
  <c r="B59" i="3" s="1"/>
  <c r="B60" i="3" s="1"/>
  <c r="B61" i="3" s="1"/>
  <c r="B62" i="3" s="1"/>
  <c r="B63" i="3" s="1"/>
  <c r="B64" i="3" s="1"/>
  <c r="B65" i="3" s="1"/>
  <c r="B66" i="3" s="1"/>
  <c r="B67" i="3" s="1"/>
  <c r="B68" i="3" s="1"/>
  <c r="B69" i="3" s="1"/>
  <c r="B70" i="3" s="1"/>
  <c r="B71" i="3" s="1"/>
  <c r="B72" i="3" s="1"/>
  <c r="B73" i="3" s="1"/>
  <c r="B74" i="3" s="1"/>
  <c r="B75" i="3" s="1"/>
  <c r="B76" i="3" s="1"/>
  <c r="B77" i="3" s="1"/>
  <c r="B78" i="3" s="1"/>
  <c r="J55" i="3"/>
  <c r="J54" i="3"/>
  <c r="J53" i="3"/>
  <c r="J52" i="3"/>
  <c r="J51" i="3"/>
  <c r="J50" i="3"/>
  <c r="J49" i="3"/>
  <c r="J48" i="3"/>
  <c r="J47" i="3"/>
  <c r="J46" i="3"/>
  <c r="J45" i="3"/>
  <c r="J44" i="3"/>
  <c r="J43" i="3"/>
  <c r="G42" i="3"/>
  <c r="J42" i="3" s="1"/>
  <c r="J41" i="3"/>
  <c r="J40" i="3"/>
  <c r="J39" i="3"/>
  <c r="J38" i="3"/>
  <c r="J37" i="3"/>
  <c r="J36" i="3"/>
  <c r="J35" i="3"/>
  <c r="J34" i="3"/>
  <c r="G34" i="3"/>
  <c r="J33" i="3"/>
  <c r="J32" i="3"/>
  <c r="J31" i="3"/>
  <c r="J30" i="3"/>
  <c r="J29" i="3"/>
  <c r="J28" i="3"/>
  <c r="G27" i="3"/>
  <c r="J27" i="3" s="1"/>
  <c r="J26" i="3"/>
  <c r="J25" i="3"/>
  <c r="J24" i="3"/>
  <c r="J23" i="3"/>
  <c r="J22" i="3"/>
  <c r="J21" i="3"/>
  <c r="J20" i="3"/>
  <c r="J19" i="3"/>
  <c r="B19" i="3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B54" i="3" s="1"/>
  <c r="J18" i="3"/>
  <c r="J17" i="3"/>
  <c r="J15" i="3"/>
  <c r="J14" i="3"/>
  <c r="J13" i="3"/>
  <c r="J12" i="3"/>
  <c r="J11" i="3"/>
  <c r="J10" i="3"/>
  <c r="J9" i="3"/>
  <c r="J8" i="3"/>
  <c r="J7" i="3"/>
  <c r="J6" i="3"/>
  <c r="J5" i="3"/>
  <c r="J4" i="3"/>
  <c r="I956" i="2"/>
  <c r="H956" i="2"/>
  <c r="F952" i="2"/>
  <c r="H944" i="2"/>
  <c r="G944" i="2"/>
  <c r="I943" i="2"/>
  <c r="I942" i="2"/>
  <c r="I941" i="2"/>
  <c r="I940" i="2"/>
  <c r="I939" i="2"/>
  <c r="I938" i="2"/>
  <c r="I937" i="2"/>
  <c r="I936" i="2"/>
  <c r="I935" i="2"/>
  <c r="I934" i="2"/>
  <c r="I933" i="2"/>
  <c r="B933" i="2"/>
  <c r="B934" i="2" s="1"/>
  <c r="B935" i="2" s="1"/>
  <c r="B936" i="2" s="1"/>
  <c r="B937" i="2" s="1"/>
  <c r="B938" i="2" s="1"/>
  <c r="B939" i="2" s="1"/>
  <c r="B940" i="2" s="1"/>
  <c r="B941" i="2" s="1"/>
  <c r="B942" i="2" s="1"/>
  <c r="B943" i="2" s="1"/>
  <c r="I932" i="2"/>
  <c r="I931" i="2"/>
  <c r="B931" i="2"/>
  <c r="B932" i="2" s="1"/>
  <c r="I930" i="2"/>
  <c r="B930" i="2"/>
  <c r="K929" i="2"/>
  <c r="K930" i="2" s="1"/>
  <c r="K931" i="2" s="1"/>
  <c r="K932" i="2" s="1"/>
  <c r="K933" i="2" s="1"/>
  <c r="K934" i="2" s="1"/>
  <c r="K935" i="2" s="1"/>
  <c r="K936" i="2" s="1"/>
  <c r="K937" i="2" s="1"/>
  <c r="K938" i="2" s="1"/>
  <c r="K939" i="2" s="1"/>
  <c r="K940" i="2" s="1"/>
  <c r="K941" i="2" s="1"/>
  <c r="K942" i="2" s="1"/>
  <c r="K943" i="2" s="1"/>
  <c r="I929" i="2"/>
  <c r="B929" i="2"/>
  <c r="I928" i="2"/>
  <c r="F924" i="2"/>
  <c r="H916" i="2"/>
  <c r="G916" i="2"/>
  <c r="I915" i="2"/>
  <c r="I914" i="2"/>
  <c r="I913" i="2"/>
  <c r="I912" i="2"/>
  <c r="I911" i="2"/>
  <c r="I910" i="2"/>
  <c r="I909" i="2"/>
  <c r="K908" i="2"/>
  <c r="K909" i="2" s="1"/>
  <c r="K910" i="2" s="1"/>
  <c r="K911" i="2" s="1"/>
  <c r="K912" i="2" s="1"/>
  <c r="K913" i="2" s="1"/>
  <c r="K914" i="2" s="1"/>
  <c r="K915" i="2" s="1"/>
  <c r="I908" i="2"/>
  <c r="I907" i="2"/>
  <c r="K906" i="2"/>
  <c r="K907" i="2" s="1"/>
  <c r="I906" i="2"/>
  <c r="I905" i="2"/>
  <c r="I904" i="2"/>
  <c r="I903" i="2"/>
  <c r="I902" i="2"/>
  <c r="I901" i="2"/>
  <c r="K900" i="2"/>
  <c r="K901" i="2" s="1"/>
  <c r="K902" i="2" s="1"/>
  <c r="K903" i="2" s="1"/>
  <c r="K904" i="2" s="1"/>
  <c r="K905" i="2" s="1"/>
  <c r="I900" i="2"/>
  <c r="K899" i="2"/>
  <c r="I899" i="2"/>
  <c r="B899" i="2"/>
  <c r="B900" i="2" s="1"/>
  <c r="B901" i="2" s="1"/>
  <c r="B902" i="2" s="1"/>
  <c r="B903" i="2" s="1"/>
  <c r="B904" i="2" s="1"/>
  <c r="B905" i="2" s="1"/>
  <c r="B906" i="2" s="1"/>
  <c r="B907" i="2" s="1"/>
  <c r="B908" i="2" s="1"/>
  <c r="B909" i="2" s="1"/>
  <c r="B910" i="2" s="1"/>
  <c r="B911" i="2" s="1"/>
  <c r="B912" i="2" s="1"/>
  <c r="B913" i="2" s="1"/>
  <c r="B914" i="2" s="1"/>
  <c r="B915" i="2" s="1"/>
  <c r="I898" i="2"/>
  <c r="I916" i="2" s="1"/>
  <c r="G924" i="2" s="1"/>
  <c r="F894" i="2"/>
  <c r="H886" i="2"/>
  <c r="G886" i="2"/>
  <c r="I885" i="2"/>
  <c r="I884" i="2"/>
  <c r="I883" i="2"/>
  <c r="I882" i="2"/>
  <c r="G882" i="2"/>
  <c r="I881" i="2"/>
  <c r="I880" i="2"/>
  <c r="I879" i="2"/>
  <c r="I878" i="2"/>
  <c r="I877" i="2"/>
  <c r="I876" i="2"/>
  <c r="I875" i="2"/>
  <c r="I874" i="2"/>
  <c r="I873" i="2"/>
  <c r="I872" i="2"/>
  <c r="I871" i="2"/>
  <c r="I870" i="2"/>
  <c r="I869" i="2"/>
  <c r="I868" i="2"/>
  <c r="I867" i="2"/>
  <c r="K866" i="2"/>
  <c r="K867" i="2" s="1"/>
  <c r="K868" i="2" s="1"/>
  <c r="K869" i="2" s="1"/>
  <c r="K870" i="2" s="1"/>
  <c r="K871" i="2" s="1"/>
  <c r="K872" i="2" s="1"/>
  <c r="K873" i="2" s="1"/>
  <c r="K874" i="2" s="1"/>
  <c r="K875" i="2" s="1"/>
  <c r="K876" i="2" s="1"/>
  <c r="K877" i="2" s="1"/>
  <c r="K878" i="2" s="1"/>
  <c r="K879" i="2" s="1"/>
  <c r="K880" i="2" s="1"/>
  <c r="K881" i="2" s="1"/>
  <c r="K882" i="2" s="1"/>
  <c r="K883" i="2" s="1"/>
  <c r="K884" i="2" s="1"/>
  <c r="K885" i="2" s="1"/>
  <c r="I866" i="2"/>
  <c r="K865" i="2"/>
  <c r="I865" i="2"/>
  <c r="K864" i="2"/>
  <c r="I864" i="2"/>
  <c r="B864" i="2"/>
  <c r="B865" i="2" s="1"/>
  <c r="B866" i="2" s="1"/>
  <c r="B867" i="2" s="1"/>
  <c r="B868" i="2" s="1"/>
  <c r="B869" i="2" s="1"/>
  <c r="B870" i="2" s="1"/>
  <c r="B871" i="2" s="1"/>
  <c r="B872" i="2" s="1"/>
  <c r="B873" i="2" s="1"/>
  <c r="B874" i="2" s="1"/>
  <c r="B875" i="2" s="1"/>
  <c r="B876" i="2" s="1"/>
  <c r="B877" i="2" s="1"/>
  <c r="B878" i="2" s="1"/>
  <c r="B879" i="2" s="1"/>
  <c r="B880" i="2" s="1"/>
  <c r="B881" i="2" s="1"/>
  <c r="B882" i="2" s="1"/>
  <c r="B883" i="2" s="1"/>
  <c r="B884" i="2" s="1"/>
  <c r="B885" i="2" s="1"/>
  <c r="K863" i="2"/>
  <c r="I863" i="2"/>
  <c r="B863" i="2"/>
  <c r="I862" i="2"/>
  <c r="F858" i="2"/>
  <c r="H850" i="2"/>
  <c r="G850" i="2"/>
  <c r="I849" i="2"/>
  <c r="I848" i="2"/>
  <c r="I847" i="2"/>
  <c r="I846" i="2"/>
  <c r="I845" i="2"/>
  <c r="I844" i="2"/>
  <c r="I843" i="2"/>
  <c r="I842" i="2"/>
  <c r="I841" i="2"/>
  <c r="I840" i="2"/>
  <c r="I839" i="2"/>
  <c r="I838" i="2"/>
  <c r="I837" i="2"/>
  <c r="I836" i="2"/>
  <c r="I835" i="2"/>
  <c r="I834" i="2"/>
  <c r="K833" i="2"/>
  <c r="K834" i="2" s="1"/>
  <c r="K835" i="2" s="1"/>
  <c r="K836" i="2" s="1"/>
  <c r="K837" i="2" s="1"/>
  <c r="K838" i="2" s="1"/>
  <c r="K839" i="2" s="1"/>
  <c r="K840" i="2" s="1"/>
  <c r="K841" i="2" s="1"/>
  <c r="K842" i="2" s="1"/>
  <c r="K843" i="2" s="1"/>
  <c r="K844" i="2" s="1"/>
  <c r="K845" i="2" s="1"/>
  <c r="K846" i="2" s="1"/>
  <c r="K847" i="2" s="1"/>
  <c r="K848" i="2" s="1"/>
  <c r="K849" i="2" s="1"/>
  <c r="I833" i="2"/>
  <c r="I832" i="2"/>
  <c r="I831" i="2"/>
  <c r="I830" i="2"/>
  <c r="I829" i="2"/>
  <c r="B829" i="2"/>
  <c r="B830" i="2" s="1"/>
  <c r="B831" i="2" s="1"/>
  <c r="B832" i="2" s="1"/>
  <c r="B833" i="2" s="1"/>
  <c r="B834" i="2" s="1"/>
  <c r="B835" i="2" s="1"/>
  <c r="B836" i="2" s="1"/>
  <c r="B837" i="2" s="1"/>
  <c r="B838" i="2" s="1"/>
  <c r="B839" i="2" s="1"/>
  <c r="B840" i="2" s="1"/>
  <c r="B841" i="2" s="1"/>
  <c r="B842" i="2" s="1"/>
  <c r="B843" i="2" s="1"/>
  <c r="B844" i="2" s="1"/>
  <c r="B845" i="2" s="1"/>
  <c r="B846" i="2" s="1"/>
  <c r="B847" i="2" s="1"/>
  <c r="B848" i="2" s="1"/>
  <c r="B849" i="2" s="1"/>
  <c r="I828" i="2"/>
  <c r="I827" i="2"/>
  <c r="I826" i="2"/>
  <c r="I825" i="2"/>
  <c r="I824" i="2"/>
  <c r="K823" i="2"/>
  <c r="K824" i="2" s="1"/>
  <c r="K825" i="2" s="1"/>
  <c r="K826" i="2" s="1"/>
  <c r="K827" i="2" s="1"/>
  <c r="K828" i="2" s="1"/>
  <c r="K829" i="2" s="1"/>
  <c r="K830" i="2" s="1"/>
  <c r="K831" i="2" s="1"/>
  <c r="K832" i="2" s="1"/>
  <c r="I823" i="2"/>
  <c r="B823" i="2"/>
  <c r="B824" i="2" s="1"/>
  <c r="B825" i="2" s="1"/>
  <c r="B826" i="2" s="1"/>
  <c r="B827" i="2" s="1"/>
  <c r="B828" i="2" s="1"/>
  <c r="I822" i="2"/>
  <c r="F818" i="2"/>
  <c r="H810" i="2"/>
  <c r="G810" i="2"/>
  <c r="I809" i="2"/>
  <c r="I808" i="2"/>
  <c r="I807" i="2"/>
  <c r="I806" i="2"/>
  <c r="I805" i="2"/>
  <c r="I804" i="2"/>
  <c r="I803" i="2"/>
  <c r="I802" i="2"/>
  <c r="I801" i="2"/>
  <c r="I800" i="2"/>
  <c r="I799" i="2"/>
  <c r="I798" i="2"/>
  <c r="I797" i="2"/>
  <c r="K796" i="2"/>
  <c r="K797" i="2" s="1"/>
  <c r="K798" i="2" s="1"/>
  <c r="K799" i="2" s="1"/>
  <c r="K800" i="2" s="1"/>
  <c r="K801" i="2" s="1"/>
  <c r="K802" i="2" s="1"/>
  <c r="K803" i="2" s="1"/>
  <c r="K804" i="2" s="1"/>
  <c r="K805" i="2" s="1"/>
  <c r="K806" i="2" s="1"/>
  <c r="K807" i="2" s="1"/>
  <c r="K808" i="2" s="1"/>
  <c r="K809" i="2" s="1"/>
  <c r="I796" i="2"/>
  <c r="I795" i="2"/>
  <c r="I794" i="2"/>
  <c r="I793" i="2"/>
  <c r="K792" i="2"/>
  <c r="K793" i="2" s="1"/>
  <c r="K794" i="2" s="1"/>
  <c r="K795" i="2" s="1"/>
  <c r="G792" i="2"/>
  <c r="I792" i="2" s="1"/>
  <c r="B792" i="2"/>
  <c r="B793" i="2" s="1"/>
  <c r="B794" i="2" s="1"/>
  <c r="B795" i="2" s="1"/>
  <c r="B796" i="2" s="1"/>
  <c r="B797" i="2" s="1"/>
  <c r="B798" i="2" s="1"/>
  <c r="B799" i="2" s="1"/>
  <c r="B800" i="2" s="1"/>
  <c r="B801" i="2" s="1"/>
  <c r="B802" i="2" s="1"/>
  <c r="B803" i="2" s="1"/>
  <c r="B804" i="2" s="1"/>
  <c r="B805" i="2" s="1"/>
  <c r="B806" i="2" s="1"/>
  <c r="B807" i="2" s="1"/>
  <c r="B808" i="2" s="1"/>
  <c r="B809" i="2" s="1"/>
  <c r="I791" i="2"/>
  <c r="F787" i="2"/>
  <c r="H779" i="2"/>
  <c r="G779" i="2"/>
  <c r="I778" i="2"/>
  <c r="I777" i="2"/>
  <c r="I776" i="2"/>
  <c r="I775" i="2"/>
  <c r="I774" i="2"/>
  <c r="I773" i="2"/>
  <c r="I772" i="2"/>
  <c r="I771" i="2"/>
  <c r="I770" i="2"/>
  <c r="I769" i="2"/>
  <c r="B769" i="2"/>
  <c r="B770" i="2" s="1"/>
  <c r="B771" i="2" s="1"/>
  <c r="B772" i="2" s="1"/>
  <c r="B773" i="2" s="1"/>
  <c r="B774" i="2" s="1"/>
  <c r="B775" i="2" s="1"/>
  <c r="B776" i="2" s="1"/>
  <c r="B777" i="2" s="1"/>
  <c r="B778" i="2" s="1"/>
  <c r="I768" i="2"/>
  <c r="I767" i="2"/>
  <c r="I766" i="2"/>
  <c r="I765" i="2"/>
  <c r="K764" i="2"/>
  <c r="K765" i="2" s="1"/>
  <c r="K766" i="2" s="1"/>
  <c r="K767" i="2" s="1"/>
  <c r="K768" i="2" s="1"/>
  <c r="K769" i="2" s="1"/>
  <c r="K770" i="2" s="1"/>
  <c r="K771" i="2" s="1"/>
  <c r="K772" i="2" s="1"/>
  <c r="K773" i="2" s="1"/>
  <c r="K774" i="2" s="1"/>
  <c r="K775" i="2" s="1"/>
  <c r="K776" i="2" s="1"/>
  <c r="K777" i="2" s="1"/>
  <c r="K778" i="2" s="1"/>
  <c r="I764" i="2"/>
  <c r="I763" i="2"/>
  <c r="I762" i="2"/>
  <c r="I761" i="2"/>
  <c r="B761" i="2"/>
  <c r="B762" i="2" s="1"/>
  <c r="B763" i="2" s="1"/>
  <c r="B764" i="2" s="1"/>
  <c r="B765" i="2" s="1"/>
  <c r="B766" i="2" s="1"/>
  <c r="B767" i="2" s="1"/>
  <c r="B768" i="2" s="1"/>
  <c r="K760" i="2"/>
  <c r="K761" i="2" s="1"/>
  <c r="K762" i="2" s="1"/>
  <c r="K763" i="2" s="1"/>
  <c r="I760" i="2"/>
  <c r="B760" i="2"/>
  <c r="I759" i="2"/>
  <c r="F755" i="2"/>
  <c r="H747" i="2"/>
  <c r="I746" i="2"/>
  <c r="I745" i="2"/>
  <c r="I744" i="2"/>
  <c r="I743" i="2"/>
  <c r="I742" i="2"/>
  <c r="I741" i="2"/>
  <c r="I740" i="2"/>
  <c r="I739" i="2"/>
  <c r="G739" i="2"/>
  <c r="I738" i="2"/>
  <c r="I737" i="2"/>
  <c r="I736" i="2"/>
  <c r="I735" i="2"/>
  <c r="I734" i="2"/>
  <c r="I733" i="2"/>
  <c r="I732" i="2"/>
  <c r="I731" i="2"/>
  <c r="G731" i="2"/>
  <c r="G747" i="2" s="1"/>
  <c r="I730" i="2"/>
  <c r="I729" i="2"/>
  <c r="I728" i="2"/>
  <c r="B728" i="2"/>
  <c r="B729" i="2" s="1"/>
  <c r="B730" i="2" s="1"/>
  <c r="B731" i="2" s="1"/>
  <c r="B732" i="2" s="1"/>
  <c r="B733" i="2" s="1"/>
  <c r="B734" i="2" s="1"/>
  <c r="B735" i="2" s="1"/>
  <c r="B736" i="2" s="1"/>
  <c r="B737" i="2" s="1"/>
  <c r="B738" i="2" s="1"/>
  <c r="B739" i="2" s="1"/>
  <c r="B740" i="2" s="1"/>
  <c r="B741" i="2" s="1"/>
  <c r="B742" i="2" s="1"/>
  <c r="B743" i="2" s="1"/>
  <c r="B744" i="2" s="1"/>
  <c r="B745" i="2" s="1"/>
  <c r="B746" i="2" s="1"/>
  <c r="I727" i="2"/>
  <c r="I726" i="2"/>
  <c r="I725" i="2"/>
  <c r="I724" i="2"/>
  <c r="B724" i="2"/>
  <c r="B725" i="2" s="1"/>
  <c r="B726" i="2" s="1"/>
  <c r="B727" i="2" s="1"/>
  <c r="I723" i="2"/>
  <c r="B723" i="2"/>
  <c r="K722" i="2"/>
  <c r="K723" i="2" s="1"/>
  <c r="K724" i="2" s="1"/>
  <c r="K725" i="2" s="1"/>
  <c r="K726" i="2" s="1"/>
  <c r="K727" i="2" s="1"/>
  <c r="K728" i="2" s="1"/>
  <c r="K729" i="2" s="1"/>
  <c r="K730" i="2" s="1"/>
  <c r="K731" i="2" s="1"/>
  <c r="K732" i="2" s="1"/>
  <c r="K733" i="2" s="1"/>
  <c r="K734" i="2" s="1"/>
  <c r="K735" i="2" s="1"/>
  <c r="K736" i="2" s="1"/>
  <c r="K737" i="2" s="1"/>
  <c r="K738" i="2" s="1"/>
  <c r="K739" i="2" s="1"/>
  <c r="K740" i="2" s="1"/>
  <c r="K741" i="2" s="1"/>
  <c r="K742" i="2" s="1"/>
  <c r="K743" i="2" s="1"/>
  <c r="K744" i="2" s="1"/>
  <c r="K745" i="2" s="1"/>
  <c r="K746" i="2" s="1"/>
  <c r="I722" i="2"/>
  <c r="B722" i="2"/>
  <c r="I721" i="2"/>
  <c r="F716" i="2"/>
  <c r="H708" i="2"/>
  <c r="G708" i="2"/>
  <c r="I707" i="2"/>
  <c r="I706" i="2"/>
  <c r="I705" i="2"/>
  <c r="I704" i="2"/>
  <c r="I703" i="2"/>
  <c r="I702" i="2"/>
  <c r="K701" i="2"/>
  <c r="K702" i="2" s="1"/>
  <c r="K703" i="2" s="1"/>
  <c r="K704" i="2" s="1"/>
  <c r="K705" i="2" s="1"/>
  <c r="K706" i="2" s="1"/>
  <c r="K707" i="2" s="1"/>
  <c r="I701" i="2"/>
  <c r="K700" i="2"/>
  <c r="I700" i="2"/>
  <c r="B700" i="2"/>
  <c r="B701" i="2" s="1"/>
  <c r="B702" i="2" s="1"/>
  <c r="B703" i="2" s="1"/>
  <c r="B704" i="2" s="1"/>
  <c r="B705" i="2" s="1"/>
  <c r="B706" i="2" s="1"/>
  <c r="B707" i="2" s="1"/>
  <c r="I699" i="2"/>
  <c r="H699" i="2"/>
  <c r="G699" i="2"/>
  <c r="F695" i="2"/>
  <c r="H687" i="2"/>
  <c r="G687" i="2"/>
  <c r="I686" i="2"/>
  <c r="I685" i="2"/>
  <c r="I684" i="2"/>
  <c r="I683" i="2"/>
  <c r="I682" i="2"/>
  <c r="I681" i="2"/>
  <c r="I680" i="2"/>
  <c r="I679" i="2"/>
  <c r="I678" i="2"/>
  <c r="I677" i="2"/>
  <c r="I676" i="2"/>
  <c r="I675" i="2"/>
  <c r="I674" i="2"/>
  <c r="I673" i="2"/>
  <c r="G673" i="2"/>
  <c r="I672" i="2"/>
  <c r="I671" i="2"/>
  <c r="I670" i="2"/>
  <c r="I669" i="2"/>
  <c r="B669" i="2"/>
  <c r="B670" i="2" s="1"/>
  <c r="B671" i="2" s="1"/>
  <c r="B672" i="2" s="1"/>
  <c r="B673" i="2" s="1"/>
  <c r="B674" i="2" s="1"/>
  <c r="B675" i="2" s="1"/>
  <c r="B676" i="2" s="1"/>
  <c r="B677" i="2" s="1"/>
  <c r="B678" i="2" s="1"/>
  <c r="B679" i="2" s="1"/>
  <c r="B680" i="2" s="1"/>
  <c r="B681" i="2" s="1"/>
  <c r="B682" i="2" s="1"/>
  <c r="B683" i="2" s="1"/>
  <c r="B684" i="2" s="1"/>
  <c r="B685" i="2" s="1"/>
  <c r="B686" i="2" s="1"/>
  <c r="I668" i="2"/>
  <c r="I667" i="2"/>
  <c r="I666" i="2"/>
  <c r="K665" i="2"/>
  <c r="K666" i="2" s="1"/>
  <c r="K667" i="2" s="1"/>
  <c r="K668" i="2" s="1"/>
  <c r="K669" i="2" s="1"/>
  <c r="K670" i="2" s="1"/>
  <c r="K671" i="2" s="1"/>
  <c r="K672" i="2" s="1"/>
  <c r="K673" i="2" s="1"/>
  <c r="K674" i="2" s="1"/>
  <c r="K675" i="2" s="1"/>
  <c r="K676" i="2" s="1"/>
  <c r="K677" i="2" s="1"/>
  <c r="K678" i="2" s="1"/>
  <c r="K679" i="2" s="1"/>
  <c r="K680" i="2" s="1"/>
  <c r="K681" i="2" s="1"/>
  <c r="K682" i="2" s="1"/>
  <c r="K683" i="2" s="1"/>
  <c r="K684" i="2" s="1"/>
  <c r="K685" i="2" s="1"/>
  <c r="K686" i="2" s="1"/>
  <c r="I665" i="2"/>
  <c r="I664" i="2"/>
  <c r="I663" i="2"/>
  <c r="I662" i="2"/>
  <c r="B662" i="2"/>
  <c r="B663" i="2" s="1"/>
  <c r="B664" i="2" s="1"/>
  <c r="B665" i="2" s="1"/>
  <c r="B666" i="2" s="1"/>
  <c r="B667" i="2" s="1"/>
  <c r="B668" i="2" s="1"/>
  <c r="K661" i="2"/>
  <c r="K662" i="2" s="1"/>
  <c r="K663" i="2" s="1"/>
  <c r="K664" i="2" s="1"/>
  <c r="I661" i="2"/>
  <c r="B661" i="2"/>
  <c r="I660" i="2"/>
  <c r="F655" i="2"/>
  <c r="I647" i="2"/>
  <c r="G655" i="2" s="1"/>
  <c r="H647" i="2"/>
  <c r="G647" i="2"/>
  <c r="I646" i="2"/>
  <c r="I645" i="2"/>
  <c r="K644" i="2"/>
  <c r="K645" i="2" s="1"/>
  <c r="K646" i="2" s="1"/>
  <c r="I644" i="2"/>
  <c r="I643" i="2"/>
  <c r="I642" i="2"/>
  <c r="I641" i="2"/>
  <c r="K640" i="2"/>
  <c r="K641" i="2" s="1"/>
  <c r="K642" i="2" s="1"/>
  <c r="K643" i="2" s="1"/>
  <c r="I640" i="2"/>
  <c r="I639" i="2"/>
  <c r="I638" i="2"/>
  <c r="I637" i="2"/>
  <c r="I636" i="2"/>
  <c r="I635" i="2"/>
  <c r="I634" i="2"/>
  <c r="I633" i="2"/>
  <c r="I632" i="2"/>
  <c r="I631" i="2"/>
  <c r="I630" i="2"/>
  <c r="K629" i="2"/>
  <c r="K630" i="2" s="1"/>
  <c r="K631" i="2" s="1"/>
  <c r="K632" i="2" s="1"/>
  <c r="K633" i="2" s="1"/>
  <c r="K634" i="2" s="1"/>
  <c r="K635" i="2" s="1"/>
  <c r="K636" i="2" s="1"/>
  <c r="K637" i="2" s="1"/>
  <c r="K638" i="2" s="1"/>
  <c r="K639" i="2" s="1"/>
  <c r="I629" i="2"/>
  <c r="K628" i="2"/>
  <c r="I628" i="2"/>
  <c r="K627" i="2"/>
  <c r="I627" i="2"/>
  <c r="B627" i="2"/>
  <c r="B628" i="2" s="1"/>
  <c r="B629" i="2" s="1"/>
  <c r="B630" i="2" s="1"/>
  <c r="B631" i="2" s="1"/>
  <c r="B632" i="2" s="1"/>
  <c r="B633" i="2" s="1"/>
  <c r="B634" i="2" s="1"/>
  <c r="B635" i="2" s="1"/>
  <c r="B636" i="2" s="1"/>
  <c r="B637" i="2" s="1"/>
  <c r="B638" i="2" s="1"/>
  <c r="B639" i="2" s="1"/>
  <c r="B640" i="2" s="1"/>
  <c r="B641" i="2" s="1"/>
  <c r="B642" i="2" s="1"/>
  <c r="B643" i="2" s="1"/>
  <c r="B644" i="2" s="1"/>
  <c r="B645" i="2" s="1"/>
  <c r="B646" i="2" s="1"/>
  <c r="I626" i="2"/>
  <c r="I625" i="2"/>
  <c r="K624" i="2"/>
  <c r="K625" i="2" s="1"/>
  <c r="K626" i="2" s="1"/>
  <c r="I624" i="2"/>
  <c r="K623" i="2"/>
  <c r="I623" i="2"/>
  <c r="B623" i="2"/>
  <c r="B624" i="2" s="1"/>
  <c r="B625" i="2" s="1"/>
  <c r="B626" i="2" s="1"/>
  <c r="I622" i="2"/>
  <c r="F617" i="2"/>
  <c r="H609" i="2"/>
  <c r="I608" i="2"/>
  <c r="I607" i="2"/>
  <c r="I606" i="2"/>
  <c r="I605" i="2"/>
  <c r="I604" i="2"/>
  <c r="I603" i="2"/>
  <c r="I602" i="2"/>
  <c r="I601" i="2"/>
  <c r="I600" i="2"/>
  <c r="I599" i="2"/>
  <c r="I598" i="2"/>
  <c r="I597" i="2"/>
  <c r="I596" i="2"/>
  <c r="I595" i="2"/>
  <c r="I594" i="2"/>
  <c r="K593" i="2"/>
  <c r="K594" i="2" s="1"/>
  <c r="K595" i="2" s="1"/>
  <c r="K596" i="2" s="1"/>
  <c r="K597" i="2" s="1"/>
  <c r="K598" i="2" s="1"/>
  <c r="K599" i="2" s="1"/>
  <c r="K600" i="2" s="1"/>
  <c r="K601" i="2" s="1"/>
  <c r="K602" i="2" s="1"/>
  <c r="K603" i="2" s="1"/>
  <c r="K604" i="2" s="1"/>
  <c r="K605" i="2" s="1"/>
  <c r="K606" i="2" s="1"/>
  <c r="K607" i="2" s="1"/>
  <c r="K608" i="2" s="1"/>
  <c r="I593" i="2"/>
  <c r="I592" i="2"/>
  <c r="I591" i="2"/>
  <c r="B591" i="2"/>
  <c r="B592" i="2" s="1"/>
  <c r="B593" i="2" s="1"/>
  <c r="B594" i="2" s="1"/>
  <c r="B595" i="2" s="1"/>
  <c r="B596" i="2" s="1"/>
  <c r="B597" i="2" s="1"/>
  <c r="B598" i="2" s="1"/>
  <c r="B599" i="2" s="1"/>
  <c r="B600" i="2" s="1"/>
  <c r="B601" i="2" s="1"/>
  <c r="B602" i="2" s="1"/>
  <c r="B603" i="2" s="1"/>
  <c r="B604" i="2" s="1"/>
  <c r="B605" i="2" s="1"/>
  <c r="B606" i="2" s="1"/>
  <c r="B607" i="2" s="1"/>
  <c r="B608" i="2" s="1"/>
  <c r="I590" i="2"/>
  <c r="I589" i="2"/>
  <c r="I588" i="2"/>
  <c r="I587" i="2"/>
  <c r="I586" i="2"/>
  <c r="G586" i="2"/>
  <c r="G609" i="2" s="1"/>
  <c r="I585" i="2"/>
  <c r="I584" i="2"/>
  <c r="K583" i="2"/>
  <c r="K584" i="2" s="1"/>
  <c r="K585" i="2" s="1"/>
  <c r="K586" i="2" s="1"/>
  <c r="K587" i="2" s="1"/>
  <c r="K588" i="2" s="1"/>
  <c r="K589" i="2" s="1"/>
  <c r="K590" i="2" s="1"/>
  <c r="K591" i="2" s="1"/>
  <c r="K592" i="2" s="1"/>
  <c r="I583" i="2"/>
  <c r="I582" i="2"/>
  <c r="I581" i="2"/>
  <c r="I580" i="2"/>
  <c r="B580" i="2"/>
  <c r="B581" i="2" s="1"/>
  <c r="B582" i="2" s="1"/>
  <c r="B583" i="2" s="1"/>
  <c r="B584" i="2" s="1"/>
  <c r="B585" i="2" s="1"/>
  <c r="B586" i="2" s="1"/>
  <c r="B587" i="2" s="1"/>
  <c r="B588" i="2" s="1"/>
  <c r="B589" i="2" s="1"/>
  <c r="B590" i="2" s="1"/>
  <c r="K579" i="2"/>
  <c r="K580" i="2" s="1"/>
  <c r="K581" i="2" s="1"/>
  <c r="K582" i="2" s="1"/>
  <c r="I579" i="2"/>
  <c r="G579" i="2"/>
  <c r="B579" i="2"/>
  <c r="I578" i="2"/>
  <c r="F573" i="2"/>
  <c r="H565" i="2"/>
  <c r="I564" i="2"/>
  <c r="I563" i="2"/>
  <c r="I562" i="2"/>
  <c r="I561" i="2"/>
  <c r="I560" i="2"/>
  <c r="I559" i="2"/>
  <c r="I558" i="2"/>
  <c r="G558" i="2"/>
  <c r="I557" i="2"/>
  <c r="I556" i="2"/>
  <c r="I555" i="2"/>
  <c r="H554" i="2"/>
  <c r="G554" i="2"/>
  <c r="I554" i="2" s="1"/>
  <c r="I553" i="2"/>
  <c r="I552" i="2"/>
  <c r="I551" i="2"/>
  <c r="I550" i="2"/>
  <c r="H550" i="2"/>
  <c r="G550" i="2"/>
  <c r="H549" i="2"/>
  <c r="G549" i="2"/>
  <c r="I549" i="2" s="1"/>
  <c r="I548" i="2"/>
  <c r="I547" i="2"/>
  <c r="I546" i="2"/>
  <c r="I545" i="2"/>
  <c r="G544" i="2"/>
  <c r="B544" i="2"/>
  <c r="B545" i="2" s="1"/>
  <c r="B546" i="2" s="1"/>
  <c r="B547" i="2" s="1"/>
  <c r="B548" i="2" s="1"/>
  <c r="B549" i="2" s="1"/>
  <c r="B550" i="2" s="1"/>
  <c r="B551" i="2" s="1"/>
  <c r="B552" i="2" s="1"/>
  <c r="B553" i="2" s="1"/>
  <c r="B554" i="2" s="1"/>
  <c r="B555" i="2" s="1"/>
  <c r="B556" i="2" s="1"/>
  <c r="B557" i="2" s="1"/>
  <c r="B558" i="2" s="1"/>
  <c r="B559" i="2" s="1"/>
  <c r="B560" i="2" s="1"/>
  <c r="B561" i="2" s="1"/>
  <c r="B562" i="2" s="1"/>
  <c r="B563" i="2" s="1"/>
  <c r="B564" i="2" s="1"/>
  <c r="I543" i="2"/>
  <c r="B543" i="2"/>
  <c r="K542" i="2"/>
  <c r="K543" i="2" s="1"/>
  <c r="K544" i="2" s="1"/>
  <c r="K545" i="2" s="1"/>
  <c r="K546" i="2" s="1"/>
  <c r="K547" i="2" s="1"/>
  <c r="K548" i="2" s="1"/>
  <c r="K549" i="2" s="1"/>
  <c r="K550" i="2" s="1"/>
  <c r="K551" i="2" s="1"/>
  <c r="K552" i="2" s="1"/>
  <c r="K553" i="2" s="1"/>
  <c r="K554" i="2" s="1"/>
  <c r="K555" i="2" s="1"/>
  <c r="K556" i="2" s="1"/>
  <c r="K557" i="2" s="1"/>
  <c r="K558" i="2" s="1"/>
  <c r="K559" i="2" s="1"/>
  <c r="K560" i="2" s="1"/>
  <c r="K561" i="2" s="1"/>
  <c r="K562" i="2" s="1"/>
  <c r="K563" i="2" s="1"/>
  <c r="K564" i="2" s="1"/>
  <c r="I542" i="2"/>
  <c r="K541" i="2"/>
  <c r="I541" i="2"/>
  <c r="B541" i="2"/>
  <c r="B542" i="2" s="1"/>
  <c r="I540" i="2"/>
  <c r="F536" i="2"/>
  <c r="I527" i="2"/>
  <c r="I526" i="2"/>
  <c r="I525" i="2"/>
  <c r="H524" i="2"/>
  <c r="H528" i="2" s="1"/>
  <c r="G524" i="2"/>
  <c r="I523" i="2"/>
  <c r="G522" i="2"/>
  <c r="I521" i="2"/>
  <c r="I520" i="2"/>
  <c r="I519" i="2"/>
  <c r="I518" i="2"/>
  <c r="I517" i="2"/>
  <c r="I516" i="2"/>
  <c r="I515" i="2"/>
  <c r="I514" i="2"/>
  <c r="I513" i="2"/>
  <c r="I512" i="2"/>
  <c r="I511" i="2"/>
  <c r="I510" i="2"/>
  <c r="I509" i="2"/>
  <c r="B509" i="2"/>
  <c r="B510" i="2" s="1"/>
  <c r="B511" i="2" s="1"/>
  <c r="B512" i="2" s="1"/>
  <c r="B513" i="2" s="1"/>
  <c r="B514" i="2" s="1"/>
  <c r="B515" i="2" s="1"/>
  <c r="B516" i="2" s="1"/>
  <c r="B517" i="2" s="1"/>
  <c r="B518" i="2" s="1"/>
  <c r="B519" i="2" s="1"/>
  <c r="B520" i="2" s="1"/>
  <c r="B521" i="2" s="1"/>
  <c r="B522" i="2" s="1"/>
  <c r="B523" i="2" s="1"/>
  <c r="B524" i="2" s="1"/>
  <c r="B525" i="2" s="1"/>
  <c r="B526" i="2" s="1"/>
  <c r="B527" i="2" s="1"/>
  <c r="K508" i="2"/>
  <c r="K509" i="2" s="1"/>
  <c r="K510" i="2" s="1"/>
  <c r="K511" i="2" s="1"/>
  <c r="K512" i="2" s="1"/>
  <c r="K513" i="2" s="1"/>
  <c r="K514" i="2" s="1"/>
  <c r="K515" i="2" s="1"/>
  <c r="K516" i="2" s="1"/>
  <c r="K517" i="2" s="1"/>
  <c r="K518" i="2" s="1"/>
  <c r="K519" i="2" s="1"/>
  <c r="K520" i="2" s="1"/>
  <c r="K521" i="2" s="1"/>
  <c r="K522" i="2" s="1"/>
  <c r="K523" i="2" s="1"/>
  <c r="K524" i="2" s="1"/>
  <c r="K525" i="2" s="1"/>
  <c r="K526" i="2" s="1"/>
  <c r="K527" i="2" s="1"/>
  <c r="I508" i="2"/>
  <c r="I507" i="2"/>
  <c r="I506" i="2"/>
  <c r="I505" i="2"/>
  <c r="B505" i="2"/>
  <c r="B506" i="2" s="1"/>
  <c r="B507" i="2" s="1"/>
  <c r="B508" i="2" s="1"/>
  <c r="K504" i="2"/>
  <c r="K505" i="2" s="1"/>
  <c r="K506" i="2" s="1"/>
  <c r="K507" i="2" s="1"/>
  <c r="I504" i="2"/>
  <c r="B504" i="2"/>
  <c r="I503" i="2"/>
  <c r="F498" i="2"/>
  <c r="H490" i="2"/>
  <c r="G490" i="2"/>
  <c r="I489" i="2"/>
  <c r="I488" i="2"/>
  <c r="I487" i="2"/>
  <c r="I486" i="2"/>
  <c r="K485" i="2"/>
  <c r="K486" i="2" s="1"/>
  <c r="K487" i="2" s="1"/>
  <c r="K488" i="2" s="1"/>
  <c r="K489" i="2" s="1"/>
  <c r="I485" i="2"/>
  <c r="K484" i="2"/>
  <c r="I484" i="2"/>
  <c r="K483" i="2"/>
  <c r="I483" i="2"/>
  <c r="B483" i="2"/>
  <c r="B484" i="2" s="1"/>
  <c r="B485" i="2" s="1"/>
  <c r="B486" i="2" s="1"/>
  <c r="B487" i="2" s="1"/>
  <c r="B488" i="2" s="1"/>
  <c r="B489" i="2" s="1"/>
  <c r="I482" i="2"/>
  <c r="F478" i="2"/>
  <c r="H470" i="2"/>
  <c r="I469" i="2"/>
  <c r="I468" i="2"/>
  <c r="I467" i="2"/>
  <c r="I466" i="2"/>
  <c r="I465" i="2"/>
  <c r="I464" i="2"/>
  <c r="I463" i="2"/>
  <c r="I462" i="2"/>
  <c r="K461" i="2"/>
  <c r="K462" i="2" s="1"/>
  <c r="K463" i="2" s="1"/>
  <c r="K464" i="2" s="1"/>
  <c r="K465" i="2" s="1"/>
  <c r="K466" i="2" s="1"/>
  <c r="K467" i="2" s="1"/>
  <c r="K468" i="2" s="1"/>
  <c r="K469" i="2" s="1"/>
  <c r="I461" i="2"/>
  <c r="I460" i="2"/>
  <c r="I459" i="2"/>
  <c r="I458" i="2"/>
  <c r="I457" i="2"/>
  <c r="I456" i="2"/>
  <c r="I455" i="2"/>
  <c r="I454" i="2"/>
  <c r="I453" i="2"/>
  <c r="I452" i="2"/>
  <c r="I451" i="2"/>
  <c r="B451" i="2"/>
  <c r="B452" i="2" s="1"/>
  <c r="B453" i="2" s="1"/>
  <c r="B454" i="2" s="1"/>
  <c r="B455" i="2" s="1"/>
  <c r="B456" i="2" s="1"/>
  <c r="B457" i="2" s="1"/>
  <c r="B458" i="2" s="1"/>
  <c r="B459" i="2" s="1"/>
  <c r="B460" i="2" s="1"/>
  <c r="B461" i="2" s="1"/>
  <c r="B462" i="2" s="1"/>
  <c r="B463" i="2" s="1"/>
  <c r="B464" i="2" s="1"/>
  <c r="B465" i="2" s="1"/>
  <c r="B466" i="2" s="1"/>
  <c r="B467" i="2" s="1"/>
  <c r="B468" i="2" s="1"/>
  <c r="B469" i="2" s="1"/>
  <c r="K450" i="2"/>
  <c r="K451" i="2" s="1"/>
  <c r="K452" i="2" s="1"/>
  <c r="K453" i="2" s="1"/>
  <c r="K454" i="2" s="1"/>
  <c r="K455" i="2" s="1"/>
  <c r="K456" i="2" s="1"/>
  <c r="K457" i="2" s="1"/>
  <c r="K458" i="2" s="1"/>
  <c r="K459" i="2" s="1"/>
  <c r="K460" i="2" s="1"/>
  <c r="G450" i="2"/>
  <c r="I450" i="2" s="1"/>
  <c r="B450" i="2"/>
  <c r="I449" i="2"/>
  <c r="F444" i="2"/>
  <c r="I435" i="2"/>
  <c r="I434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H409" i="2"/>
  <c r="H436" i="2" s="1"/>
  <c r="G409" i="2"/>
  <c r="G436" i="2" s="1"/>
  <c r="I408" i="2"/>
  <c r="I407" i="2"/>
  <c r="I406" i="2"/>
  <c r="I405" i="2"/>
  <c r="I404" i="2"/>
  <c r="I403" i="2"/>
  <c r="I402" i="2"/>
  <c r="I401" i="2"/>
  <c r="I400" i="2"/>
  <c r="B400" i="2"/>
  <c r="B401" i="2" s="1"/>
  <c r="B402" i="2" s="1"/>
  <c r="B403" i="2" s="1"/>
  <c r="B404" i="2" s="1"/>
  <c r="B405" i="2" s="1"/>
  <c r="B406" i="2" s="1"/>
  <c r="B407" i="2" s="1"/>
  <c r="B408" i="2" s="1"/>
  <c r="B409" i="2" s="1"/>
  <c r="B410" i="2" s="1"/>
  <c r="B411" i="2" s="1"/>
  <c r="B412" i="2" s="1"/>
  <c r="B413" i="2" s="1"/>
  <c r="B414" i="2" s="1"/>
  <c r="B415" i="2" s="1"/>
  <c r="B416" i="2" s="1"/>
  <c r="B417" i="2" s="1"/>
  <c r="B418" i="2" s="1"/>
  <c r="B419" i="2" s="1"/>
  <c r="B420" i="2" s="1"/>
  <c r="B421" i="2" s="1"/>
  <c r="B422" i="2" s="1"/>
  <c r="B423" i="2" s="1"/>
  <c r="B424" i="2" s="1"/>
  <c r="B425" i="2" s="1"/>
  <c r="B426" i="2" s="1"/>
  <c r="B427" i="2" s="1"/>
  <c r="B428" i="2" s="1"/>
  <c r="B429" i="2" s="1"/>
  <c r="B430" i="2" s="1"/>
  <c r="B431" i="2" s="1"/>
  <c r="B432" i="2" s="1"/>
  <c r="B433" i="2" s="1"/>
  <c r="B434" i="2" s="1"/>
  <c r="B435" i="2" s="1"/>
  <c r="K399" i="2"/>
  <c r="K400" i="2" s="1"/>
  <c r="K401" i="2" s="1"/>
  <c r="K402" i="2" s="1"/>
  <c r="K403" i="2" s="1"/>
  <c r="K404" i="2" s="1"/>
  <c r="K405" i="2" s="1"/>
  <c r="K406" i="2" s="1"/>
  <c r="K407" i="2" s="1"/>
  <c r="K408" i="2" s="1"/>
  <c r="K409" i="2" s="1"/>
  <c r="K410" i="2" s="1"/>
  <c r="K411" i="2" s="1"/>
  <c r="K412" i="2" s="1"/>
  <c r="K413" i="2" s="1"/>
  <c r="K414" i="2" s="1"/>
  <c r="K415" i="2" s="1"/>
  <c r="K416" i="2" s="1"/>
  <c r="K417" i="2" s="1"/>
  <c r="K418" i="2" s="1"/>
  <c r="K419" i="2" s="1"/>
  <c r="K420" i="2" s="1"/>
  <c r="K421" i="2" s="1"/>
  <c r="K422" i="2" s="1"/>
  <c r="K423" i="2" s="1"/>
  <c r="K424" i="2" s="1"/>
  <c r="K425" i="2" s="1"/>
  <c r="K426" i="2" s="1"/>
  <c r="K427" i="2" s="1"/>
  <c r="K428" i="2" s="1"/>
  <c r="K429" i="2" s="1"/>
  <c r="K430" i="2" s="1"/>
  <c r="K431" i="2" s="1"/>
  <c r="K432" i="2" s="1"/>
  <c r="K433" i="2" s="1"/>
  <c r="K434" i="2" s="1"/>
  <c r="K435" i="2" s="1"/>
  <c r="I399" i="2"/>
  <c r="B399" i="2"/>
  <c r="I398" i="2"/>
  <c r="F393" i="2"/>
  <c r="H385" i="2"/>
  <c r="G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B369" i="2"/>
  <c r="B370" i="2" s="1"/>
  <c r="B371" i="2" s="1"/>
  <c r="B372" i="2" s="1"/>
  <c r="B373" i="2" s="1"/>
  <c r="B374" i="2" s="1"/>
  <c r="B375" i="2" s="1"/>
  <c r="B376" i="2" s="1"/>
  <c r="B377" i="2" s="1"/>
  <c r="B378" i="2" s="1"/>
  <c r="B379" i="2" s="1"/>
  <c r="B380" i="2" s="1"/>
  <c r="B381" i="2" s="1"/>
  <c r="B382" i="2" s="1"/>
  <c r="B383" i="2" s="1"/>
  <c r="B384" i="2" s="1"/>
  <c r="K368" i="2"/>
  <c r="K369" i="2" s="1"/>
  <c r="K370" i="2" s="1"/>
  <c r="K371" i="2" s="1"/>
  <c r="K372" i="2" s="1"/>
  <c r="K373" i="2" s="1"/>
  <c r="K374" i="2" s="1"/>
  <c r="K375" i="2" s="1"/>
  <c r="K376" i="2" s="1"/>
  <c r="K377" i="2" s="1"/>
  <c r="K378" i="2" s="1"/>
  <c r="K379" i="2" s="1"/>
  <c r="K380" i="2" s="1"/>
  <c r="K381" i="2" s="1"/>
  <c r="K382" i="2" s="1"/>
  <c r="K383" i="2" s="1"/>
  <c r="K384" i="2" s="1"/>
  <c r="I368" i="2"/>
  <c r="B368" i="2"/>
  <c r="K367" i="2"/>
  <c r="I367" i="2"/>
  <c r="B367" i="2"/>
  <c r="I366" i="2"/>
  <c r="I385" i="2" s="1"/>
  <c r="G393" i="2" s="1"/>
  <c r="F362" i="2"/>
  <c r="H354" i="2"/>
  <c r="G354" i="2"/>
  <c r="I353" i="2"/>
  <c r="I352" i="2"/>
  <c r="I351" i="2"/>
  <c r="I350" i="2"/>
  <c r="I349" i="2"/>
  <c r="I348" i="2"/>
  <c r="I347" i="2"/>
  <c r="I346" i="2"/>
  <c r="I345" i="2"/>
  <c r="I344" i="2"/>
  <c r="I343" i="2"/>
  <c r="G343" i="2"/>
  <c r="I342" i="2"/>
  <c r="I341" i="2"/>
  <c r="I340" i="2"/>
  <c r="I339" i="2"/>
  <c r="I338" i="2"/>
  <c r="I337" i="2"/>
  <c r="I336" i="2"/>
  <c r="I335" i="2"/>
  <c r="I334" i="2"/>
  <c r="I333" i="2"/>
  <c r="I332" i="2"/>
  <c r="B332" i="2"/>
  <c r="B333" i="2" s="1"/>
  <c r="B334" i="2" s="1"/>
  <c r="B335" i="2" s="1"/>
  <c r="B336" i="2" s="1"/>
  <c r="B337" i="2" s="1"/>
  <c r="B338" i="2" s="1"/>
  <c r="B339" i="2" s="1"/>
  <c r="B340" i="2" s="1"/>
  <c r="B341" i="2" s="1"/>
  <c r="B342" i="2" s="1"/>
  <c r="B343" i="2" s="1"/>
  <c r="B344" i="2" s="1"/>
  <c r="B345" i="2" s="1"/>
  <c r="B346" i="2" s="1"/>
  <c r="B347" i="2" s="1"/>
  <c r="B348" i="2" s="1"/>
  <c r="B349" i="2" s="1"/>
  <c r="B350" i="2" s="1"/>
  <c r="B351" i="2" s="1"/>
  <c r="B352" i="2" s="1"/>
  <c r="B353" i="2" s="1"/>
  <c r="I331" i="2"/>
  <c r="I330" i="2"/>
  <c r="I329" i="2"/>
  <c r="I328" i="2"/>
  <c r="I327" i="2"/>
  <c r="I326" i="2"/>
  <c r="K325" i="2"/>
  <c r="K326" i="2" s="1"/>
  <c r="K327" i="2" s="1"/>
  <c r="K328" i="2" s="1"/>
  <c r="K329" i="2" s="1"/>
  <c r="K330" i="2" s="1"/>
  <c r="K331" i="2" s="1"/>
  <c r="K332" i="2" s="1"/>
  <c r="K333" i="2" s="1"/>
  <c r="K334" i="2" s="1"/>
  <c r="K335" i="2" s="1"/>
  <c r="K336" i="2" s="1"/>
  <c r="K337" i="2" s="1"/>
  <c r="K338" i="2" s="1"/>
  <c r="K339" i="2" s="1"/>
  <c r="K340" i="2" s="1"/>
  <c r="K341" i="2" s="1"/>
  <c r="K342" i="2" s="1"/>
  <c r="K343" i="2" s="1"/>
  <c r="K344" i="2" s="1"/>
  <c r="K345" i="2" s="1"/>
  <c r="K346" i="2" s="1"/>
  <c r="K347" i="2" s="1"/>
  <c r="K348" i="2" s="1"/>
  <c r="K349" i="2" s="1"/>
  <c r="K350" i="2" s="1"/>
  <c r="K351" i="2" s="1"/>
  <c r="K352" i="2" s="1"/>
  <c r="K353" i="2" s="1"/>
  <c r="I325" i="2"/>
  <c r="I324" i="2"/>
  <c r="B324" i="2"/>
  <c r="B325" i="2" s="1"/>
  <c r="B326" i="2" s="1"/>
  <c r="B327" i="2" s="1"/>
  <c r="B328" i="2" s="1"/>
  <c r="B329" i="2" s="1"/>
  <c r="B330" i="2" s="1"/>
  <c r="B331" i="2" s="1"/>
  <c r="K323" i="2"/>
  <c r="K324" i="2" s="1"/>
  <c r="I323" i="2"/>
  <c r="B323" i="2"/>
  <c r="I322" i="2"/>
  <c r="F318" i="2"/>
  <c r="H310" i="2"/>
  <c r="I309" i="2"/>
  <c r="I308" i="2"/>
  <c r="I307" i="2"/>
  <c r="I306" i="2"/>
  <c r="I305" i="2"/>
  <c r="I304" i="2"/>
  <c r="I303" i="2"/>
  <c r="G302" i="2"/>
  <c r="I302" i="2" s="1"/>
  <c r="I301" i="2"/>
  <c r="I300" i="2"/>
  <c r="I299" i="2"/>
  <c r="I298" i="2"/>
  <c r="I297" i="2"/>
  <c r="I296" i="2"/>
  <c r="I295" i="2"/>
  <c r="G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B281" i="2"/>
  <c r="B282" i="2" s="1"/>
  <c r="B283" i="2" s="1"/>
  <c r="B284" i="2" s="1"/>
  <c r="B285" i="2" s="1"/>
  <c r="B286" i="2" s="1"/>
  <c r="B287" i="2" s="1"/>
  <c r="B288" i="2" s="1"/>
  <c r="B289" i="2" s="1"/>
  <c r="B290" i="2" s="1"/>
  <c r="B291" i="2" s="1"/>
  <c r="B292" i="2" s="1"/>
  <c r="B293" i="2" s="1"/>
  <c r="B294" i="2" s="1"/>
  <c r="B295" i="2" s="1"/>
  <c r="B296" i="2" s="1"/>
  <c r="B297" i="2" s="1"/>
  <c r="B298" i="2" s="1"/>
  <c r="B299" i="2" s="1"/>
  <c r="B300" i="2" s="1"/>
  <c r="B301" i="2" s="1"/>
  <c r="B302" i="2" s="1"/>
  <c r="B303" i="2" s="1"/>
  <c r="B304" i="2" s="1"/>
  <c r="B305" i="2" s="1"/>
  <c r="B306" i="2" s="1"/>
  <c r="B307" i="2" s="1"/>
  <c r="B308" i="2" s="1"/>
  <c r="B309" i="2" s="1"/>
  <c r="I280" i="2"/>
  <c r="B280" i="2"/>
  <c r="I279" i="2"/>
  <c r="B279" i="2"/>
  <c r="K278" i="2"/>
  <c r="K279" i="2" s="1"/>
  <c r="K280" i="2" s="1"/>
  <c r="K281" i="2" s="1"/>
  <c r="K282" i="2" s="1"/>
  <c r="K283" i="2" s="1"/>
  <c r="K284" i="2" s="1"/>
  <c r="K285" i="2" s="1"/>
  <c r="K286" i="2" s="1"/>
  <c r="K287" i="2" s="1"/>
  <c r="K288" i="2" s="1"/>
  <c r="K289" i="2" s="1"/>
  <c r="K290" i="2" s="1"/>
  <c r="K291" i="2" s="1"/>
  <c r="K292" i="2" s="1"/>
  <c r="K293" i="2" s="1"/>
  <c r="K294" i="2" s="1"/>
  <c r="K295" i="2" s="1"/>
  <c r="K296" i="2" s="1"/>
  <c r="K297" i="2" s="1"/>
  <c r="K298" i="2" s="1"/>
  <c r="K299" i="2" s="1"/>
  <c r="K300" i="2" s="1"/>
  <c r="K301" i="2" s="1"/>
  <c r="K302" i="2" s="1"/>
  <c r="K303" i="2" s="1"/>
  <c r="K304" i="2" s="1"/>
  <c r="K305" i="2" s="1"/>
  <c r="K306" i="2" s="1"/>
  <c r="K307" i="2" s="1"/>
  <c r="K308" i="2" s="1"/>
  <c r="K309" i="2" s="1"/>
  <c r="I278" i="2"/>
  <c r="B278" i="2"/>
  <c r="G277" i="2"/>
  <c r="I277" i="2" s="1"/>
  <c r="F272" i="2"/>
  <c r="H264" i="2"/>
  <c r="G264" i="2"/>
  <c r="I263" i="2"/>
  <c r="I262" i="2"/>
  <c r="K261" i="2"/>
  <c r="K262" i="2" s="1"/>
  <c r="K263" i="2" s="1"/>
  <c r="I261" i="2"/>
  <c r="K260" i="2"/>
  <c r="I260" i="2"/>
  <c r="K259" i="2"/>
  <c r="I259" i="2"/>
  <c r="B259" i="2"/>
  <c r="B260" i="2" s="1"/>
  <c r="B261" i="2" s="1"/>
  <c r="B262" i="2" s="1"/>
  <c r="B263" i="2" s="1"/>
  <c r="I258" i="2"/>
  <c r="I264" i="2" s="1"/>
  <c r="G272" i="2" s="1"/>
  <c r="F254" i="2"/>
  <c r="H246" i="2"/>
  <c r="G246" i="2"/>
  <c r="I245" i="2"/>
  <c r="I244" i="2"/>
  <c r="I243" i="2"/>
  <c r="I242" i="2"/>
  <c r="I241" i="2"/>
  <c r="I240" i="2"/>
  <c r="I239" i="2"/>
  <c r="I238" i="2"/>
  <c r="I237" i="2"/>
  <c r="K236" i="2"/>
  <c r="K237" i="2" s="1"/>
  <c r="K238" i="2" s="1"/>
  <c r="K239" i="2" s="1"/>
  <c r="K240" i="2" s="1"/>
  <c r="K241" i="2" s="1"/>
  <c r="K242" i="2" s="1"/>
  <c r="K243" i="2" s="1"/>
  <c r="K244" i="2" s="1"/>
  <c r="K245" i="2" s="1"/>
  <c r="I236" i="2"/>
  <c r="I235" i="2"/>
  <c r="I234" i="2"/>
  <c r="I233" i="2"/>
  <c r="I232" i="2"/>
  <c r="I231" i="2"/>
  <c r="B231" i="2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I230" i="2"/>
  <c r="I229" i="2"/>
  <c r="I228" i="2"/>
  <c r="B228" i="2"/>
  <c r="B229" i="2" s="1"/>
  <c r="B230" i="2" s="1"/>
  <c r="I227" i="2"/>
  <c r="I226" i="2"/>
  <c r="I225" i="2"/>
  <c r="I224" i="2"/>
  <c r="I223" i="2"/>
  <c r="I222" i="2"/>
  <c r="I221" i="2"/>
  <c r="I220" i="2"/>
  <c r="B220" i="2"/>
  <c r="B221" i="2" s="1"/>
  <c r="B222" i="2" s="1"/>
  <c r="B223" i="2" s="1"/>
  <c r="B224" i="2" s="1"/>
  <c r="B225" i="2" s="1"/>
  <c r="B226" i="2" s="1"/>
  <c r="B227" i="2" s="1"/>
  <c r="I219" i="2"/>
  <c r="B219" i="2"/>
  <c r="I218" i="2"/>
  <c r="B218" i="2"/>
  <c r="K217" i="2"/>
  <c r="K218" i="2" s="1"/>
  <c r="K219" i="2" s="1"/>
  <c r="K220" i="2" s="1"/>
  <c r="K221" i="2" s="1"/>
  <c r="K222" i="2" s="1"/>
  <c r="K223" i="2" s="1"/>
  <c r="K224" i="2" s="1"/>
  <c r="K225" i="2" s="1"/>
  <c r="K226" i="2" s="1"/>
  <c r="K227" i="2" s="1"/>
  <c r="K228" i="2" s="1"/>
  <c r="K229" i="2" s="1"/>
  <c r="K230" i="2" s="1"/>
  <c r="K231" i="2" s="1"/>
  <c r="K232" i="2" s="1"/>
  <c r="K233" i="2" s="1"/>
  <c r="K234" i="2" s="1"/>
  <c r="K235" i="2" s="1"/>
  <c r="I217" i="2"/>
  <c r="B217" i="2"/>
  <c r="I216" i="2"/>
  <c r="F211" i="2"/>
  <c r="H203" i="2"/>
  <c r="I202" i="2"/>
  <c r="I201" i="2"/>
  <c r="I200" i="2"/>
  <c r="I199" i="2"/>
  <c r="I198" i="2"/>
  <c r="I197" i="2"/>
  <c r="I196" i="2"/>
  <c r="I195" i="2"/>
  <c r="I194" i="2"/>
  <c r="I193" i="2"/>
  <c r="I192" i="2"/>
  <c r="G191" i="2"/>
  <c r="I191" i="2" s="1"/>
  <c r="I190" i="2"/>
  <c r="G190" i="2"/>
  <c r="G203" i="2" s="1"/>
  <c r="I189" i="2"/>
  <c r="I188" i="2"/>
  <c r="I187" i="2"/>
  <c r="I186" i="2"/>
  <c r="I185" i="2"/>
  <c r="I184" i="2"/>
  <c r="I183" i="2"/>
  <c r="K182" i="2"/>
  <c r="K183" i="2" s="1"/>
  <c r="K184" i="2" s="1"/>
  <c r="K185" i="2" s="1"/>
  <c r="K186" i="2" s="1"/>
  <c r="K187" i="2" s="1"/>
  <c r="K188" i="2" s="1"/>
  <c r="K189" i="2" s="1"/>
  <c r="K190" i="2" s="1"/>
  <c r="K191" i="2" s="1"/>
  <c r="K192" i="2" s="1"/>
  <c r="K193" i="2" s="1"/>
  <c r="K194" i="2" s="1"/>
  <c r="K195" i="2" s="1"/>
  <c r="K196" i="2" s="1"/>
  <c r="K197" i="2" s="1"/>
  <c r="K198" i="2" s="1"/>
  <c r="K199" i="2" s="1"/>
  <c r="K200" i="2" s="1"/>
  <c r="K201" i="2" s="1"/>
  <c r="K202" i="2" s="1"/>
  <c r="I182" i="2"/>
  <c r="I181" i="2"/>
  <c r="I180" i="2"/>
  <c r="I179" i="2"/>
  <c r="I178" i="2"/>
  <c r="I177" i="2"/>
  <c r="B177" i="2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I176" i="2"/>
  <c r="K175" i="2"/>
  <c r="K176" i="2" s="1"/>
  <c r="K177" i="2" s="1"/>
  <c r="K178" i="2" s="1"/>
  <c r="K179" i="2" s="1"/>
  <c r="K180" i="2" s="1"/>
  <c r="K181" i="2" s="1"/>
  <c r="I175" i="2"/>
  <c r="K174" i="2"/>
  <c r="I174" i="2"/>
  <c r="B174" i="2"/>
  <c r="B175" i="2" s="1"/>
  <c r="B176" i="2" s="1"/>
  <c r="K173" i="2"/>
  <c r="I173" i="2"/>
  <c r="B173" i="2"/>
  <c r="I172" i="2"/>
  <c r="F168" i="2"/>
  <c r="H160" i="2"/>
  <c r="G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K123" i="2"/>
  <c r="K124" i="2" s="1"/>
  <c r="K125" i="2" s="1"/>
  <c r="K126" i="2" s="1"/>
  <c r="K127" i="2" s="1"/>
  <c r="K128" i="2" s="1"/>
  <c r="K129" i="2" s="1"/>
  <c r="K130" i="2" s="1"/>
  <c r="K131" i="2" s="1"/>
  <c r="K132" i="2" s="1"/>
  <c r="K133" i="2" s="1"/>
  <c r="K134" i="2" s="1"/>
  <c r="K135" i="2" s="1"/>
  <c r="K136" i="2" s="1"/>
  <c r="K137" i="2" s="1"/>
  <c r="K138" i="2" s="1"/>
  <c r="K139" i="2" s="1"/>
  <c r="K140" i="2" s="1"/>
  <c r="K141" i="2" s="1"/>
  <c r="K142" i="2" s="1"/>
  <c r="K143" i="2" s="1"/>
  <c r="K144" i="2" s="1"/>
  <c r="K145" i="2" s="1"/>
  <c r="K146" i="2" s="1"/>
  <c r="K147" i="2" s="1"/>
  <c r="K148" i="2" s="1"/>
  <c r="K149" i="2" s="1"/>
  <c r="K150" i="2" s="1"/>
  <c r="K151" i="2" s="1"/>
  <c r="K152" i="2" s="1"/>
  <c r="K153" i="2" s="1"/>
  <c r="K154" i="2" s="1"/>
  <c r="K155" i="2" s="1"/>
  <c r="K156" i="2" s="1"/>
  <c r="K157" i="2" s="1"/>
  <c r="K158" i="2" s="1"/>
  <c r="K159" i="2" s="1"/>
  <c r="I123" i="2"/>
  <c r="B123" i="2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G122" i="2"/>
  <c r="I122" i="2" s="1"/>
  <c r="I121" i="2"/>
  <c r="K120" i="2"/>
  <c r="K121" i="2" s="1"/>
  <c r="K122" i="2" s="1"/>
  <c r="I120" i="2"/>
  <c r="K119" i="2"/>
  <c r="I119" i="2"/>
  <c r="B119" i="2"/>
  <c r="B120" i="2" s="1"/>
  <c r="B121" i="2" s="1"/>
  <c r="B122" i="2" s="1"/>
  <c r="I118" i="2"/>
  <c r="F114" i="2"/>
  <c r="F111" i="2"/>
  <c r="H106" i="2"/>
  <c r="I105" i="2"/>
  <c r="I104" i="2"/>
  <c r="I103" i="2"/>
  <c r="I102" i="2"/>
  <c r="I101" i="2"/>
  <c r="I100" i="2"/>
  <c r="I99" i="2"/>
  <c r="G99" i="2"/>
  <c r="G106" i="2" s="1"/>
  <c r="I98" i="2"/>
  <c r="I97" i="2"/>
  <c r="G96" i="2"/>
  <c r="I96" i="2" s="1"/>
  <c r="I95" i="2"/>
  <c r="I94" i="2"/>
  <c r="I93" i="2"/>
  <c r="I92" i="2"/>
  <c r="I91" i="2"/>
  <c r="I90" i="2"/>
  <c r="B90" i="2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I89" i="2"/>
  <c r="I88" i="2"/>
  <c r="I87" i="2"/>
  <c r="I86" i="2"/>
  <c r="I85" i="2"/>
  <c r="K84" i="2"/>
  <c r="K85" i="2" s="1"/>
  <c r="K86" i="2" s="1"/>
  <c r="K87" i="2" s="1"/>
  <c r="K88" i="2" s="1"/>
  <c r="K89" i="2" s="1"/>
  <c r="K90" i="2" s="1"/>
  <c r="K91" i="2" s="1"/>
  <c r="K92" i="2" s="1"/>
  <c r="K93" i="2" s="1"/>
  <c r="K94" i="2" s="1"/>
  <c r="K95" i="2" s="1"/>
  <c r="K96" i="2" s="1"/>
  <c r="K97" i="2" s="1"/>
  <c r="K98" i="2" s="1"/>
  <c r="K99" i="2" s="1"/>
  <c r="K100" i="2" s="1"/>
  <c r="K101" i="2" s="1"/>
  <c r="K102" i="2" s="1"/>
  <c r="K103" i="2" s="1"/>
  <c r="K104" i="2" s="1"/>
  <c r="K105" i="2" s="1"/>
  <c r="I84" i="2"/>
  <c r="B84" i="2"/>
  <c r="B85" i="2" s="1"/>
  <c r="B86" i="2" s="1"/>
  <c r="B87" i="2" s="1"/>
  <c r="B88" i="2" s="1"/>
  <c r="B89" i="2" s="1"/>
  <c r="K83" i="2"/>
  <c r="I83" i="2"/>
  <c r="B83" i="2"/>
  <c r="I82" i="2"/>
  <c r="F77" i="2"/>
  <c r="H69" i="2"/>
  <c r="I68" i="2"/>
  <c r="I67" i="2"/>
  <c r="I66" i="2"/>
  <c r="I65" i="2"/>
  <c r="I64" i="2"/>
  <c r="I63" i="2"/>
  <c r="I62" i="2"/>
  <c r="I61" i="2"/>
  <c r="I60" i="2"/>
  <c r="I59" i="2"/>
  <c r="I58" i="2"/>
  <c r="I57" i="2"/>
  <c r="G56" i="2"/>
  <c r="I56" i="2" s="1"/>
  <c r="I55" i="2"/>
  <c r="I54" i="2"/>
  <c r="I53" i="2"/>
  <c r="I52" i="2"/>
  <c r="I51" i="2"/>
  <c r="I50" i="2"/>
  <c r="I49" i="2"/>
  <c r="I48" i="2"/>
  <c r="G48" i="2"/>
  <c r="G69" i="2" s="1"/>
  <c r="I47" i="2"/>
  <c r="I46" i="2"/>
  <c r="I45" i="2"/>
  <c r="I44" i="2"/>
  <c r="I43" i="2"/>
  <c r="I42" i="2"/>
  <c r="I41" i="2"/>
  <c r="G41" i="2"/>
  <c r="I40" i="2"/>
  <c r="I39" i="2"/>
  <c r="I38" i="2"/>
  <c r="I37" i="2"/>
  <c r="I36" i="2"/>
  <c r="K35" i="2"/>
  <c r="K36" i="2" s="1"/>
  <c r="K37" i="2" s="1"/>
  <c r="K38" i="2" s="1"/>
  <c r="K39" i="2" s="1"/>
  <c r="K40" i="2" s="1"/>
  <c r="K41" i="2" s="1"/>
  <c r="K42" i="2" s="1"/>
  <c r="K43" i="2" s="1"/>
  <c r="K44" i="2" s="1"/>
  <c r="K45" i="2" s="1"/>
  <c r="K46" i="2" s="1"/>
  <c r="K47" i="2" s="1"/>
  <c r="K48" i="2" s="1"/>
  <c r="K49" i="2" s="1"/>
  <c r="K50" i="2" s="1"/>
  <c r="K51" i="2" s="1"/>
  <c r="K52" i="2" s="1"/>
  <c r="K53" i="2" s="1"/>
  <c r="K54" i="2" s="1"/>
  <c r="K55" i="2" s="1"/>
  <c r="K56" i="2" s="1"/>
  <c r="K57" i="2" s="1"/>
  <c r="K58" i="2" s="1"/>
  <c r="K59" i="2" s="1"/>
  <c r="K60" i="2" s="1"/>
  <c r="K61" i="2" s="1"/>
  <c r="K62" i="2" s="1"/>
  <c r="K63" i="2" s="1"/>
  <c r="K64" i="2" s="1"/>
  <c r="K65" i="2" s="1"/>
  <c r="K66" i="2" s="1"/>
  <c r="K67" i="2" s="1"/>
  <c r="K68" i="2" s="1"/>
  <c r="I35" i="2"/>
  <c r="I34" i="2"/>
  <c r="K33" i="2"/>
  <c r="K34" i="2" s="1"/>
  <c r="I33" i="2"/>
  <c r="B33" i="2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I32" i="2"/>
  <c r="F26" i="2"/>
  <c r="G18" i="2"/>
  <c r="I17" i="2"/>
  <c r="I15" i="2"/>
  <c r="I14" i="2"/>
  <c r="I13" i="2"/>
  <c r="I12" i="2"/>
  <c r="I11" i="2"/>
  <c r="I10" i="2"/>
  <c r="I9" i="2"/>
  <c r="I8" i="2"/>
  <c r="I7" i="2"/>
  <c r="I6" i="2"/>
  <c r="I5" i="2"/>
  <c r="I4" i="2"/>
  <c r="I18" i="2" s="1"/>
  <c r="I31" i="4" l="1"/>
  <c r="J373" i="3"/>
  <c r="I106" i="2"/>
  <c r="G114" i="2" s="1"/>
  <c r="I354" i="2"/>
  <c r="G362" i="2" s="1"/>
  <c r="I203" i="2"/>
  <c r="G211" i="2" s="1"/>
  <c r="I160" i="2"/>
  <c r="G168" i="2" s="1"/>
  <c r="I310" i="2"/>
  <c r="G318" i="2" s="1"/>
  <c r="I246" i="2"/>
  <c r="G254" i="2" s="1"/>
  <c r="I69" i="2"/>
  <c r="G77" i="2" s="1"/>
  <c r="I522" i="2"/>
  <c r="I528" i="2" s="1"/>
  <c r="G536" i="2" s="1"/>
  <c r="G528" i="2"/>
  <c r="I609" i="2"/>
  <c r="G617" i="2" s="1"/>
  <c r="I747" i="2"/>
  <c r="G755" i="2" s="1"/>
  <c r="G310" i="2"/>
  <c r="I436" i="2"/>
  <c r="G444" i="2" s="1"/>
  <c r="I944" i="2"/>
  <c r="G952" i="2" s="1"/>
  <c r="G565" i="2"/>
  <c r="I544" i="2"/>
  <c r="I565" i="2" s="1"/>
  <c r="G573" i="2" s="1"/>
  <c r="G470" i="2"/>
  <c r="I524" i="2"/>
  <c r="I687" i="2"/>
  <c r="G695" i="2" s="1"/>
  <c r="I708" i="2"/>
  <c r="G716" i="2" s="1"/>
  <c r="I470" i="2"/>
  <c r="G478" i="2" s="1"/>
  <c r="I779" i="2"/>
  <c r="G787" i="2" s="1"/>
  <c r="I810" i="2"/>
  <c r="G818" i="2" s="1"/>
  <c r="I850" i="2"/>
  <c r="G858" i="2" s="1"/>
  <c r="I886" i="2"/>
  <c r="G894" i="2" s="1"/>
  <c r="I409" i="2"/>
  <c r="I490" i="2"/>
  <c r="G498" i="2" s="1"/>
</calcChain>
</file>

<file path=xl/sharedStrings.xml><?xml version="1.0" encoding="utf-8"?>
<sst xmlns="http://schemas.openxmlformats.org/spreadsheetml/2006/main" count="2203" uniqueCount="1046">
  <si>
    <t>LIQUIDACIÓN DEL DIA SABADO 01 AGOSTO 2026</t>
  </si>
  <si>
    <t>ITEM</t>
  </si>
  <si>
    <t>FECHA</t>
  </si>
  <si>
    <t>NOMBRE PACIENTE</t>
  </si>
  <si>
    <t>CANTIDAD</t>
  </si>
  <si>
    <t>FORMA DE PAGO</t>
  </si>
  <si>
    <t>VALOR DE FACTURA</t>
  </si>
  <si>
    <t>DESCUENTO</t>
  </si>
  <si>
    <t xml:space="preserve"> PAGO RECIBIDO </t>
  </si>
  <si>
    <t>COMENTARIO</t>
  </si>
  <si>
    <t>FACTURA</t>
  </si>
  <si>
    <t>Amy Yorleny Pineda Ramos</t>
  </si>
  <si>
    <t>Dra. Eleny Palma</t>
  </si>
  <si>
    <t>Miriam Margot Nolasco Castellanos</t>
  </si>
  <si>
    <t>Dispensario San Jose S de RL de CV</t>
  </si>
  <si>
    <t>Miriam Elisa Martinez Rodriguez</t>
  </si>
  <si>
    <t xml:space="preserve"> </t>
  </si>
  <si>
    <t>Iris Yolanda Calix Lara</t>
  </si>
  <si>
    <t>Alejandra Viera Zelaya</t>
  </si>
  <si>
    <t>Scarlett Yadira Maldonado Trimiño</t>
  </si>
  <si>
    <t>Delmy Xiomara Mateo Aguilar</t>
  </si>
  <si>
    <t>Hilda Marina Melgar Montufar</t>
  </si>
  <si>
    <t xml:space="preserve">Eulalilio Burgos Murillo </t>
  </si>
  <si>
    <t>Beatriz Yolanda Sevilla</t>
  </si>
  <si>
    <t>Oscar Humberto Martinez Sales</t>
  </si>
  <si>
    <t>Servicios Médicos E Integrales</t>
  </si>
  <si>
    <t>TOTAL</t>
  </si>
  <si>
    <t xml:space="preserve">                                                          </t>
  </si>
  <si>
    <t>Liquidación</t>
  </si>
  <si>
    <t>Valores</t>
  </si>
  <si>
    <t>1.-Total Recibido en Efectivo</t>
  </si>
  <si>
    <t xml:space="preserve">2.-Total Recibido en Cheques </t>
  </si>
  <si>
    <t>3.-Total Recibido en T/C POS</t>
  </si>
  <si>
    <t>4.-Total Recibido en Transferencia</t>
  </si>
  <si>
    <t>5.-Facturas al  Crédito</t>
  </si>
  <si>
    <t>Total Ventas Diarias</t>
  </si>
  <si>
    <t>LIQUIDACIÓN DEL DIA LUNES 03 AGOSTO 2026</t>
  </si>
  <si>
    <t>Salomon Ochoa Castellanos</t>
  </si>
  <si>
    <t>Laboratorios Medicos S. de R.L.</t>
  </si>
  <si>
    <t>Lidia Amparo Jaco Ventura</t>
  </si>
  <si>
    <t>Ivis Yisely Turcios Rubi</t>
  </si>
  <si>
    <t>Maria Tarcila Montoya Hernandez</t>
  </si>
  <si>
    <t>Maria Margarita Martinez Cortez</t>
  </si>
  <si>
    <t>Miriam Sulema Nuñez Ortega</t>
  </si>
  <si>
    <t>Jessy Nicolle Garcia Quiroz</t>
  </si>
  <si>
    <t>Herminia Teruel Fernandez</t>
  </si>
  <si>
    <t>Milton Anael Lopez Velasquez</t>
  </si>
  <si>
    <t>Maria Mercedes Suazo Nuila</t>
  </si>
  <si>
    <t>Dra. Keisy Lemus</t>
  </si>
  <si>
    <t>Blanca Lidia Valladares</t>
  </si>
  <si>
    <t>Gabriela Maria Pineda Ramos</t>
  </si>
  <si>
    <t>Dra. Antonia Diaz</t>
  </si>
  <si>
    <t>Anulada</t>
  </si>
  <si>
    <t>Factura Anulada</t>
  </si>
  <si>
    <t>Carlos Humberto Valle Lara</t>
  </si>
  <si>
    <t>Hilda Rosmery Yanes Espinal</t>
  </si>
  <si>
    <t>Alejandra Viara Zelaya</t>
  </si>
  <si>
    <t>Enma Alicia Enamorado Iglesias</t>
  </si>
  <si>
    <t>Ingrid Raquel Avila Gomez</t>
  </si>
  <si>
    <t xml:space="preserve">Jose Maria Paz Paz </t>
  </si>
  <si>
    <t>Norma Nelly Motiño Lopez</t>
  </si>
  <si>
    <t>Dra. Fany Yuliza Moreno Ayala</t>
  </si>
  <si>
    <t>Herminia Aguilar Diaz</t>
  </si>
  <si>
    <t>Jennyfer Rocio Paz Sarmiento</t>
  </si>
  <si>
    <t>Hospital Cemesa</t>
  </si>
  <si>
    <t>Dra. Astrid Varinia Ramirez Avila</t>
  </si>
  <si>
    <t>Dra. Diana Maria Medina Rivera</t>
  </si>
  <si>
    <t>Cemesa</t>
  </si>
  <si>
    <t>Inversiones del Valle de Sula</t>
  </si>
  <si>
    <t>Clinica Bendaña</t>
  </si>
  <si>
    <t>Pula Andrea Yanez</t>
  </si>
  <si>
    <t>Melissa Rico</t>
  </si>
  <si>
    <t>Ashonplafa</t>
  </si>
  <si>
    <t>Belkis Vanessa Suazo Regalado</t>
  </si>
  <si>
    <t>LIQUIDACIÓN DEL DIA MARTES 04 AGOSTO 2026</t>
  </si>
  <si>
    <t>Hospital Cimeq</t>
  </si>
  <si>
    <t>Dr. Gerardo Ohara</t>
  </si>
  <si>
    <t>Vilma del Sagrario Acosta Espinoza</t>
  </si>
  <si>
    <t>Isidora Hernandez Padilla</t>
  </si>
  <si>
    <t>Maria Elena Lemuz del Cid</t>
  </si>
  <si>
    <t>Yesi Yakelin Portillo Ramirez</t>
  </si>
  <si>
    <t>Jerson Xelaya</t>
  </si>
  <si>
    <t>Irma del Cid Ramos</t>
  </si>
  <si>
    <t>Ruben Dario Borjas Turcios</t>
  </si>
  <si>
    <t>Aracely Fernandez Paz</t>
  </si>
  <si>
    <t>Sonia Maritza Rodriguez Lopez</t>
  </si>
  <si>
    <t>Juan Jose Soriano Garcia</t>
  </si>
  <si>
    <t>Maria Berta Mejia Mejia</t>
  </si>
  <si>
    <t>Rosa Melida Garcia Quintanilla</t>
  </si>
  <si>
    <t>Clinica Medicas OGYNE</t>
  </si>
  <si>
    <t>Ana Dolores Castañeda</t>
  </si>
  <si>
    <t>Hector Manuel Cano Maldonado</t>
  </si>
  <si>
    <t>Vivian Beatriz Flores Cruz</t>
  </si>
  <si>
    <t>Yenie Cecilia Villegas Murillo</t>
  </si>
  <si>
    <t>Odett Mahomar Nicoli</t>
  </si>
  <si>
    <t>Mayra Eleonor Vogelsang Kilgore</t>
  </si>
  <si>
    <t>Lourdes Lisseth Mejia Mejia</t>
  </si>
  <si>
    <t>Nor,a Esperanza Paz Rodriguez</t>
  </si>
  <si>
    <t>LIQUIDACIÓN DEL DIA MIERCOLES 05 AGOSTO 2026</t>
  </si>
  <si>
    <t>Dra. Paula Andrea Yanes</t>
  </si>
  <si>
    <t>Dr. Allan Roy Stefan</t>
  </si>
  <si>
    <t>Dr. Jorge Antonio Cerna</t>
  </si>
  <si>
    <t>Leidy Yonidia Perez Sanchez</t>
  </si>
  <si>
    <t>Nolvia Alicia Vasquez Gamez</t>
  </si>
  <si>
    <t>Thirsa Gabriela Lopez Solis</t>
  </si>
  <si>
    <t>Medicentro San Rafael</t>
  </si>
  <si>
    <t>VIERA FLORES &amp;ASOCIADOS Center Center</t>
  </si>
  <si>
    <t>Dra. Diana Lizeth Mejia Gaido</t>
  </si>
  <si>
    <t>Keren Marelina Serrano Mendoza</t>
  </si>
  <si>
    <t>Dr. Juan Jose Ayala</t>
  </si>
  <si>
    <t>Claudia Flores</t>
  </si>
  <si>
    <t>Yolanda Gomez Aguilar</t>
  </si>
  <si>
    <t>Kenia Gissel Garza Lopez</t>
  </si>
  <si>
    <t>Randall Enrique Alvarado Molina</t>
  </si>
  <si>
    <t>Yenny Jackeline Aguilar Cardenas</t>
  </si>
  <si>
    <t>Francisco Arturo Dubon Vasquez</t>
  </si>
  <si>
    <t>Bernardina Membreño Franco</t>
  </si>
  <si>
    <t>Sergio Efrain Suazo Oliva</t>
  </si>
  <si>
    <t>Gloria Tahiry Mejia Cruz</t>
  </si>
  <si>
    <t>Inversiones Médicas Palore</t>
  </si>
  <si>
    <t>Hercilia Ordoñez Granados</t>
  </si>
  <si>
    <t>Izabel Enamorado Avelar</t>
  </si>
  <si>
    <t>Clínica Bendaña</t>
  </si>
  <si>
    <t>Wendy Yamileth Melendez Matute</t>
  </si>
  <si>
    <t>Maria Marlen Sanchez Garcia</t>
  </si>
  <si>
    <t>Andrea Alejandra Cruz Gomez</t>
  </si>
  <si>
    <t>Maryuris Julissa Benitez Luna</t>
  </si>
  <si>
    <t>Inversiones Del Valle De Sula Sa De Cv</t>
  </si>
  <si>
    <t>Perla Fabiola Escobar Lopez</t>
  </si>
  <si>
    <t>Carmen Josefa Reyes Coto</t>
  </si>
  <si>
    <t>Dra. Scarleth Cruz</t>
  </si>
  <si>
    <t>Hospital Salutem</t>
  </si>
  <si>
    <t>LIQUIDACIÓN DEL DIA JUEVES 06 AGOSTO 2026</t>
  </si>
  <si>
    <t>Laboratorios Medicos S de R.L</t>
  </si>
  <si>
    <t xml:space="preserve">Claudia Flores </t>
  </si>
  <si>
    <t>Maria Cristina Lopez Fugon</t>
  </si>
  <si>
    <t>Cruz Esmeralda Martinez Mendez</t>
  </si>
  <si>
    <t>Dr. Luis Gabriel Tinoco Guadamuz</t>
  </si>
  <si>
    <t>Marlin Azucena Vasquez Luna</t>
  </si>
  <si>
    <t>Merling Suyapa Trejo Chavez</t>
  </si>
  <si>
    <t>Alex Ademid Fajardo Sagastume</t>
  </si>
  <si>
    <t>Nancy Carolina Maldonado Lopez</t>
  </si>
  <si>
    <t>BIO IMAGEN</t>
  </si>
  <si>
    <t>Joshua Isai Euceda Hernandez</t>
  </si>
  <si>
    <t>Inversiones y Servicios Médicos Corporativos DMedic</t>
  </si>
  <si>
    <t>Dra Kenia Redondo</t>
  </si>
  <si>
    <t>Jose Reineris Jimenes Hernandez</t>
  </si>
  <si>
    <t>Haydy Gelina Funes Guity</t>
  </si>
  <si>
    <t>Carlos Reyes Lopez</t>
  </si>
  <si>
    <t>Hospital Militar Regional Del Norte</t>
  </si>
  <si>
    <t>Heidy Contreras</t>
  </si>
  <si>
    <t>Dra. Melida Yamileth Bueso</t>
  </si>
  <si>
    <t>Gabriela Alejandra Lopez Robles</t>
  </si>
  <si>
    <t>Ivonn Anahi Paz Matute</t>
  </si>
  <si>
    <t>Jack Yude Kafaty Kafaty</t>
  </si>
  <si>
    <t>Centro Endoscopico Quirúrgico Sa De Cv</t>
  </si>
  <si>
    <t>Dra. Iris Yamileth Santos Romero</t>
  </si>
  <si>
    <t>LIQUIDACIÓN DEL DIA VIERNES 07 AGOSTO 2026</t>
  </si>
  <si>
    <t>Dra. Jessica Sabillon</t>
  </si>
  <si>
    <t>Mayra Faustina Cruz Lagos</t>
  </si>
  <si>
    <t>Astrid Leticia Maldonado Orellana</t>
  </si>
  <si>
    <t>Daniela Sarahi Lopez Caballero</t>
  </si>
  <si>
    <t>Lucas Eucebio Lopez Velasquez</t>
  </si>
  <si>
    <t xml:space="preserve">Hospital Cimeq </t>
  </si>
  <si>
    <t>Jahaira Noemi Castro Rivera</t>
  </si>
  <si>
    <t>Irma Lidia Espinoza Hernandez</t>
  </si>
  <si>
    <t>Servicios Médicos Oncoscan</t>
  </si>
  <si>
    <t>Luis Alidio Urbina</t>
  </si>
  <si>
    <t>Vanessa Leonor Mejia Acosta</t>
  </si>
  <si>
    <t>Microbiólogos Asociados S.A.</t>
  </si>
  <si>
    <t>Hector Moises Mejia Diaz</t>
  </si>
  <si>
    <t xml:space="preserve">Karla Elibenia Maldonado Alvarenga </t>
  </si>
  <si>
    <t>Mirian Esperanza Rodriguez Lozano</t>
  </si>
  <si>
    <t>Reyna Zulema Lazo Carias</t>
  </si>
  <si>
    <t>Cesia Jemina Gonzales Dubon</t>
  </si>
  <si>
    <t>Alex Dario Rivera Muñoz</t>
  </si>
  <si>
    <t>Glenda Samira Carvajal</t>
  </si>
  <si>
    <t>Yeini Yamileth Lopez Bernardez</t>
  </si>
  <si>
    <t>Juan Ramon Tabora Maltez</t>
  </si>
  <si>
    <t>Dra. Diana María Medina Rivera</t>
  </si>
  <si>
    <t>Clinica Medica Rodas</t>
  </si>
  <si>
    <t>LIQUIDACIÓN DEL DIA SABADO 08 AGOSTO 2026</t>
  </si>
  <si>
    <t>Maria de los Angeles Padilla Amaya</t>
  </si>
  <si>
    <t>Luis David Hernandez Martinez</t>
  </si>
  <si>
    <t>Doris Ondina Oseguera Nuñez</t>
  </si>
  <si>
    <t>Alfredo Eli Aguilera Arauz</t>
  </si>
  <si>
    <t>Alva Luz Romero Lopez</t>
  </si>
  <si>
    <t>Alejandra Maria Mejia Ochoa</t>
  </si>
  <si>
    <t>LIQUIDACIÓN DEL DIA LUNES 10 AGOSTO 2026</t>
  </si>
  <si>
    <t>Josefina Pineda</t>
  </si>
  <si>
    <t>Dra. Arlen Tatiana Lopez</t>
  </si>
  <si>
    <t>Dora Deysi Inestroza Rodriguez</t>
  </si>
  <si>
    <t>Jesus Enrique Amador Oseguera</t>
  </si>
  <si>
    <t>Tania Carolina Andino Castro</t>
  </si>
  <si>
    <t>Ronis Joel Osorto Rodriguez</t>
  </si>
  <si>
    <t>Leidy Abigail Gonzales Lopez</t>
  </si>
  <si>
    <t>Gina Patricia Erazo Caceres</t>
  </si>
  <si>
    <t xml:space="preserve"> Evelyn Alejandra Arteaga Nuñez</t>
  </si>
  <si>
    <t>Evelyn Alejandra Arteaga Nuñez</t>
  </si>
  <si>
    <t>Victorina Caballero Hernandez</t>
  </si>
  <si>
    <t>Jose Raul Lara Medina</t>
  </si>
  <si>
    <t>Leticia Canales Carcamo</t>
  </si>
  <si>
    <t>Dora Alicia Miranda Monjes</t>
  </si>
  <si>
    <t>Norma Rafaela Acosta</t>
  </si>
  <si>
    <t>Dra. Karen Aguilar</t>
  </si>
  <si>
    <t>Claudia Roxana Coello Ramirez</t>
  </si>
  <si>
    <t>Rosa Aracely Escalante Torres</t>
  </si>
  <si>
    <t>Marcelo Raul Ayala Suazo</t>
  </si>
  <si>
    <t>LIQUIDACIÓN DEL DIA MARTES 11 AGOSTO 2026</t>
  </si>
  <si>
    <t xml:space="preserve">Scarleth Cruz </t>
  </si>
  <si>
    <t>Inversiones y Servicios Fe y de Esperanza S de R.L</t>
  </si>
  <si>
    <t>Dr. Martin Altamirano</t>
  </si>
  <si>
    <t>Plaza Medica</t>
  </si>
  <si>
    <t>Dunia Belinda Ordoñez Espinal</t>
  </si>
  <si>
    <t>Irma Sarmiento Amaya</t>
  </si>
  <si>
    <t>Carlos Edgardo Castillo</t>
  </si>
  <si>
    <t>Luis Alberto Gonzales Flores</t>
  </si>
  <si>
    <t>Jesus Gabriel Pineda Chacon</t>
  </si>
  <si>
    <t xml:space="preserve">Keisy Lemus </t>
  </si>
  <si>
    <t>Maximiliano Lopez Menendez</t>
  </si>
  <si>
    <t>Marta Lidia Torres Torres</t>
  </si>
  <si>
    <t>Blanca Lidia Valladares Ramos</t>
  </si>
  <si>
    <t>Flor Idania Pavon Garcia</t>
  </si>
  <si>
    <t>Olga Emerita Diaz Sarmiento</t>
  </si>
  <si>
    <t>Gladys Maribel Euceda Velasquez</t>
  </si>
  <si>
    <t>Maria Olga Mejia Peña</t>
  </si>
  <si>
    <t>Dora Digna Bonilla Nuñez</t>
  </si>
  <si>
    <t>Icela Jamileth Fuentes Leiva</t>
  </si>
  <si>
    <t>Adelina Giron Castellanos</t>
  </si>
  <si>
    <t>Dra. Cinthia Johana Rodriguez Lara</t>
  </si>
  <si>
    <t>Andrea Maria Coello Garcia</t>
  </si>
  <si>
    <t>Dylan Santiago Florian Mejia</t>
  </si>
  <si>
    <t>Flor de Maria Dominguez Castro</t>
  </si>
  <si>
    <t>Jinhua Situ</t>
  </si>
  <si>
    <t>CLÍNICA MÉDICA INTEGRAL</t>
  </si>
  <si>
    <t>Wilberto Giron Aguilar</t>
  </si>
  <si>
    <t>LIQUIDACIÓN DEL DIA MIERCOLES 12 AGOSTO 2026</t>
  </si>
  <si>
    <t>DIMEDI</t>
  </si>
  <si>
    <t>Wendi Patricia Munguia Figueroa</t>
  </si>
  <si>
    <t>Nandy Esmerania Rivera Aguilar</t>
  </si>
  <si>
    <t>Francisco Elmer Castillo Rodriguez</t>
  </si>
  <si>
    <t>Bryan Daniel Garcia Medina</t>
  </si>
  <si>
    <t>Karen Iveth Padilla</t>
  </si>
  <si>
    <t xml:space="preserve">Dr. Martin Altamirano </t>
  </si>
  <si>
    <t>Eduvin Rolando Villamil Perez</t>
  </si>
  <si>
    <t>Karla Xiomara Rivera Flores</t>
  </si>
  <si>
    <t>Karen Patricia Avilez Guzman</t>
  </si>
  <si>
    <t>Marlin Asdrubal Castillo Machado</t>
  </si>
  <si>
    <t>Maria Victoria Ortega Rivas</t>
  </si>
  <si>
    <t>Indira Yamileth Ayala Rios</t>
  </si>
  <si>
    <t>Esmelda Yamileth Reyes Barrientos</t>
  </si>
  <si>
    <t>Olivar Enamorado Rivera</t>
  </si>
  <si>
    <t>Maholi Ayari Rivera Rapalo</t>
  </si>
  <si>
    <t>LIQUIDACIÓN DEL DIA JUEVES 13 AGOSTO 2026</t>
  </si>
  <si>
    <t>Kelin Ester Garcia Mejia</t>
  </si>
  <si>
    <t>Maritza Isabel Fernandez Brizuela</t>
  </si>
  <si>
    <t>Bryhan Ramiro Maldonado Melgar</t>
  </si>
  <si>
    <t>Ada Mely Enamorado Enamorado</t>
  </si>
  <si>
    <t>Maria Elena Orellana Jerezano</t>
  </si>
  <si>
    <t xml:space="preserve">Roque Reyes </t>
  </si>
  <si>
    <t>Ricardo Arturo Zacapa Mejia</t>
  </si>
  <si>
    <t>Heidy Elizabeth Castillo Cosme</t>
  </si>
  <si>
    <t>Maria Ester Vallecillo Gonzales</t>
  </si>
  <si>
    <t>Danessa Yamielth Benites Orellana</t>
  </si>
  <si>
    <t>Jose Arauz Lazo</t>
  </si>
  <si>
    <t>Maribel Sabillon Rivera</t>
  </si>
  <si>
    <t>Paola Michelle Varela Aplicano</t>
  </si>
  <si>
    <t>Fausto Jouseph Reyes Ferrera</t>
  </si>
  <si>
    <t>Indira Vanessa Castellanos Enamorado</t>
  </si>
  <si>
    <t>Iris Azucena Perdomo Sanchez</t>
  </si>
  <si>
    <t>Maria Eusebia Morales Murillo</t>
  </si>
  <si>
    <t>Nora Lizeth Escobar Henriquez</t>
  </si>
  <si>
    <t>Materiales y Accesorios Para Laboratorio</t>
  </si>
  <si>
    <t>Scarlett Yadira Maldonado Triminio</t>
  </si>
  <si>
    <t>LIQUIDACIÓN DEL DIA VIERNES 14 AGOSTO 2026</t>
  </si>
  <si>
    <t>Lilian Antonia Cruz Rosales</t>
  </si>
  <si>
    <t>Jose Arcangel Mendoza Castro</t>
  </si>
  <si>
    <t>Keidy Jasmin Aguilar Pacheco</t>
  </si>
  <si>
    <t>Tomasa Rodriguez Guardado</t>
  </si>
  <si>
    <t>Kryzzia Ibelisse Giron Caceres</t>
  </si>
  <si>
    <t>Maria Angelica Erazo Chacon</t>
  </si>
  <si>
    <t>Rosa Lidia Romero Hernandez</t>
  </si>
  <si>
    <t>Jada Kimberlin Garcia Mercado</t>
  </si>
  <si>
    <t>Celia Antonia Rodriguez</t>
  </si>
  <si>
    <t xml:space="preserve">Marlen Lizeth Rodriguez Fonseca </t>
  </si>
  <si>
    <t>Ermelinda Cardona Perdomo</t>
  </si>
  <si>
    <t>Maria Dolores Castro</t>
  </si>
  <si>
    <t>Dra. Ana Jimenez</t>
  </si>
  <si>
    <t>Multiservicios y autopartes AR</t>
  </si>
  <si>
    <t>Mirna Yolanda Prince Pineda</t>
  </si>
  <si>
    <t>Medicenter Ochoa</t>
  </si>
  <si>
    <t>LIQUIDACIÓN DEL DIA SABADO 15 AGOSTO 2026</t>
  </si>
  <si>
    <t>Dioxana Reyes Flores</t>
  </si>
  <si>
    <t>Adveli Odili Flores Galindo</t>
  </si>
  <si>
    <t>Dulce Maria Ulloa</t>
  </si>
  <si>
    <t>Leidi Maria Suazo Maldonado</t>
  </si>
  <si>
    <t>Dania Marilyn Galdamez Avila</t>
  </si>
  <si>
    <t>Yuri Yessenia Almendares Velasques</t>
  </si>
  <si>
    <t>LIQUIDACIÓN DEL DIA LUNES 17 AGOSTO 2026</t>
  </si>
  <si>
    <t>Damary Vanessa Antunez Ramos</t>
  </si>
  <si>
    <t>Fanny Yanina Ulloa Reyes</t>
  </si>
  <si>
    <t>Cleotilde Garcia</t>
  </si>
  <si>
    <t>Yisel Dabany Mendoza Enamorado</t>
  </si>
  <si>
    <t>Sebastiana Mejia Lara</t>
  </si>
  <si>
    <t>Jesus Neptalia Orellana Amaya</t>
  </si>
  <si>
    <t>Luis Gerardo Romero Ohara</t>
  </si>
  <si>
    <t>Angie Janeidy Benitez Videz</t>
  </si>
  <si>
    <t>Hermelinda Perdomo Perdomo</t>
  </si>
  <si>
    <t>Felipa Perez Guevara</t>
  </si>
  <si>
    <t>Maria Fernanda Membreño Gonzales</t>
  </si>
  <si>
    <t>Alejandro David Euceda Reyes</t>
  </si>
  <si>
    <t>Hector Rolando Alvarado Rodriguez</t>
  </si>
  <si>
    <t>Santos Segundo Paz Fernandez</t>
  </si>
  <si>
    <t>LIQUIDACIÓN DEL DIA MARTES 18 AGOSTO 2026</t>
  </si>
  <si>
    <t>Ada Sagrario Meza Reyes</t>
  </si>
  <si>
    <t>Jose Wesceslao Muñoz</t>
  </si>
  <si>
    <t>Agustina Martinez Vasquez</t>
  </si>
  <si>
    <t>Carlos Osman Guevara</t>
  </si>
  <si>
    <t>William Federico Collins Rodriguez</t>
  </si>
  <si>
    <t>Lidia Anandy Guzman Garcia</t>
  </si>
  <si>
    <t>Nancy Nayarith Alvarado Vaquis</t>
  </si>
  <si>
    <t>Candido Paz</t>
  </si>
  <si>
    <t>Raul Quezada Garcia</t>
  </si>
  <si>
    <t>Fidel Domisiano Bonilla Bernandez</t>
  </si>
  <si>
    <t>Juan Antonio Murcia Medrano</t>
  </si>
  <si>
    <t>Roger Midence Hernandez</t>
  </si>
  <si>
    <t>Jose Antonio Gonzales Caceres</t>
  </si>
  <si>
    <t>Maria del Rosario Alcerro Giron</t>
  </si>
  <si>
    <t>Jose Angel Perez</t>
  </si>
  <si>
    <t>Alexa Nicole Chirinos Mencia</t>
  </si>
  <si>
    <t>Rossany Etelinda Escalante Lopez</t>
  </si>
  <si>
    <t>Hilda Betulia Gonzales Morales</t>
  </si>
  <si>
    <t>Dra. Jessy Zuniga</t>
  </si>
  <si>
    <t>Diana María Medina Rivera</t>
  </si>
  <si>
    <t xml:space="preserve">Olga Marina Torrez Vargas </t>
  </si>
  <si>
    <t>LIQUIDACIÓN DEL DIA MIERCOLES 19 AGOSTO 2026</t>
  </si>
  <si>
    <t>Angel Antonio Carpio Lazo</t>
  </si>
  <si>
    <t>Rosa Elvira Lemus</t>
  </si>
  <si>
    <t>Centro Medico Vitalsalud S De Rl</t>
  </si>
  <si>
    <t>Juan Carlos Mendez Avila</t>
  </si>
  <si>
    <t>Gissela Ivelise Muñoz Alvarado</t>
  </si>
  <si>
    <t xml:space="preserve"> Carlos Perdomo Chavez</t>
  </si>
  <si>
    <t>Reyna Amador</t>
  </si>
  <si>
    <t>Kenia Sarahi Gutierrez Guada</t>
  </si>
  <si>
    <t>Viena Guissel Coello Mendez</t>
  </si>
  <si>
    <t>Rosenda Urbina Martinez</t>
  </si>
  <si>
    <t>Nolvia Esmeralda Perez Garcia</t>
  </si>
  <si>
    <t>Anthony Jair Garcia Diaz</t>
  </si>
  <si>
    <t>Gladys Nohemy Ortega Zavala</t>
  </si>
  <si>
    <t>Miriam Armida Linares</t>
  </si>
  <si>
    <t>Reyna Amado</t>
  </si>
  <si>
    <t>Johanna Argentina Argueta Guerrero</t>
  </si>
  <si>
    <t>Jenmy Gracibel Cardona Ferman</t>
  </si>
  <si>
    <t>Sara Liliana Escobar Rivera</t>
  </si>
  <si>
    <t>Melania Estela Pavon</t>
  </si>
  <si>
    <t>Genaro Rodriguez Rodriguez</t>
  </si>
  <si>
    <t>Doris Janeth Salguero Sandoval</t>
  </si>
  <si>
    <t>LIQUIDACIÓN DEL DIA JUEVES 20 AGOSTO 2026</t>
  </si>
  <si>
    <t>Linda Yaneth Sabillon Avila</t>
  </si>
  <si>
    <t>Milagro Del Rosario Somoza Cruz</t>
  </si>
  <si>
    <t>Rosa Marixa Cordova Palma</t>
  </si>
  <si>
    <t>Sarah Linda Djedai</t>
  </si>
  <si>
    <t>Keylin Grissel Zelaya Martinez</t>
  </si>
  <si>
    <t>Linsy Nahomy Castellanos Morales</t>
  </si>
  <si>
    <t>Flor Marina Portillo Alvares</t>
  </si>
  <si>
    <t>Marlin Osiris Escoto Palma</t>
  </si>
  <si>
    <t>Angelica Nazareth Godoy Chinchilla</t>
  </si>
  <si>
    <t>Orquidea Daresy Giron Garcia</t>
  </si>
  <si>
    <t>Kenia Redondo</t>
  </si>
  <si>
    <t>Inversiones y Servicios Médicos Corporativos Dmedic</t>
  </si>
  <si>
    <t>Edgar Joel Florentino Muñoz</t>
  </si>
  <si>
    <t>Clemencia Petrona Tinoco Quintanilla</t>
  </si>
  <si>
    <t>LIQUIDACIÓN DEL DIA VIERNES 21 AGOSTO 2026</t>
  </si>
  <si>
    <t>Hospital CimeqH</t>
  </si>
  <si>
    <t>Fatima del Carmen Arita Castañeda</t>
  </si>
  <si>
    <t>Astri Yonileth Diaz Garcia</t>
  </si>
  <si>
    <t>Dilcia Jahaira Castellon Flores</t>
  </si>
  <si>
    <t>Cemesi Occidente</t>
  </si>
  <si>
    <t>Gilberto Velasquez Gutierrez</t>
  </si>
  <si>
    <t>Santos Felipa Ramirez Mendoza</t>
  </si>
  <si>
    <t>Luis Humberto Villanueva Beselinoff</t>
  </si>
  <si>
    <t>Cain Josue Hernandez Rivas</t>
  </si>
  <si>
    <t>Lidia Maria Castillo Chavarria</t>
  </si>
  <si>
    <t>Edwin Gustavo Montes Ramirez</t>
  </si>
  <si>
    <t>Dra. Elma Suyapa Guzman Mancia</t>
  </si>
  <si>
    <t>Flor Marina Reyes</t>
  </si>
  <si>
    <t>Jose Daniel Reyes Fuentes</t>
  </si>
  <si>
    <t>Katherine Nicolle Flores Catalan</t>
  </si>
  <si>
    <t>Chelsea</t>
  </si>
  <si>
    <t>Claudia Maria Sabillon Mejia</t>
  </si>
  <si>
    <t>Cinthia Yamileth Macedo Hernandez</t>
  </si>
  <si>
    <t>LIQUIDACIÓN DEL DIA SABADO 22 AGOSTO 2026</t>
  </si>
  <si>
    <t>LIQUIDACIÓN DEL DIA LUNES 24 AGOSTO 2026</t>
  </si>
  <si>
    <t>LIQUIDACIÓN DEL DIA MARTES 25 AGOSTO 2026</t>
  </si>
  <si>
    <t>LIQUIDACIÓN DEL DIA MIERCOLES 26 AGOSTO 2026</t>
  </si>
  <si>
    <t>LIQUIDACIÓN DEL DIA JUEVES 27 AGOSTO 2026</t>
  </si>
  <si>
    <t>LIQUIDACIÓN DEL DIA VIERNES 28 AGOSTO 2026</t>
  </si>
  <si>
    <t>LIQUIDACIÓN DEL DIA SABADO 29 AGOSTO 2026</t>
  </si>
  <si>
    <t>LIQUIDACIÓN DEL DIA LUNES 31 AGOSTO 2026</t>
  </si>
  <si>
    <t>Detalle</t>
  </si>
  <si>
    <t>Gravadas</t>
  </si>
  <si>
    <t>Exentas</t>
  </si>
  <si>
    <t>Descuentos</t>
  </si>
  <si>
    <t>IVA</t>
  </si>
  <si>
    <t>Total</t>
  </si>
  <si>
    <t>Ventas</t>
  </si>
  <si>
    <t>No. de Factura</t>
  </si>
  <si>
    <t>000-001-01-00028755</t>
  </si>
  <si>
    <t>000-001-01-00028756</t>
  </si>
  <si>
    <t>000-001-01-00028757</t>
  </si>
  <si>
    <t>000-001-01-00028758</t>
  </si>
  <si>
    <t>000-001-01-00028759</t>
  </si>
  <si>
    <t>000-001-01-00028760</t>
  </si>
  <si>
    <t>000-001-01-00028761</t>
  </si>
  <si>
    <t>000-001-01-00028762</t>
  </si>
  <si>
    <t>000-001-01-00028763</t>
  </si>
  <si>
    <t>000-001-01-00028764</t>
  </si>
  <si>
    <t>000-001-01-00028765</t>
  </si>
  <si>
    <t>000-001-01-00028766</t>
  </si>
  <si>
    <t>000-001-01-00028767</t>
  </si>
  <si>
    <t>000-001-01-00028768</t>
  </si>
  <si>
    <t>000-001-01-00028769</t>
  </si>
  <si>
    <t>000-001-01-00028770</t>
  </si>
  <si>
    <t>000-001-01-00028771</t>
  </si>
  <si>
    <t>000-001-01-00028772</t>
  </si>
  <si>
    <t>000-001-01-00028773</t>
  </si>
  <si>
    <t>000-001-01-00028774</t>
  </si>
  <si>
    <t>000-001-01-00028775</t>
  </si>
  <si>
    <t>000-001-01-00028776</t>
  </si>
  <si>
    <t>000-001-01-00028777</t>
  </si>
  <si>
    <t>000-001-01-00028778</t>
  </si>
  <si>
    <t>000-001-01-00028779</t>
  </si>
  <si>
    <t>000-001-01-00028780</t>
  </si>
  <si>
    <t>000-001-01-00028781</t>
  </si>
  <si>
    <t>000-001-01-00028782</t>
  </si>
  <si>
    <t>000-001-01-00028783</t>
  </si>
  <si>
    <t>000-001-01-00028784</t>
  </si>
  <si>
    <t>000-001-01-00028785</t>
  </si>
  <si>
    <t>000-001-01-00028786</t>
  </si>
  <si>
    <t>000-001-01-00028787</t>
  </si>
  <si>
    <t>000-001-01-00028788</t>
  </si>
  <si>
    <t>000-001-01-00028789</t>
  </si>
  <si>
    <t>000-001-01-00028790</t>
  </si>
  <si>
    <t>000-001-01-00028791</t>
  </si>
  <si>
    <t>000-001-01-00028792</t>
  </si>
  <si>
    <t>000-001-01-00028793</t>
  </si>
  <si>
    <t>000-001-01-00028794</t>
  </si>
  <si>
    <t>000-001-01-00028795</t>
  </si>
  <si>
    <t>000-001-01-00028796</t>
  </si>
  <si>
    <t>000-001-01-00028797</t>
  </si>
  <si>
    <t>000-001-01-00028798</t>
  </si>
  <si>
    <t>000-001-01-00028799</t>
  </si>
  <si>
    <t>000-001-01-00028800</t>
  </si>
  <si>
    <t>000-001-01-00028801</t>
  </si>
  <si>
    <t>000-001-01-00028802</t>
  </si>
  <si>
    <t>000-001-01-00028803</t>
  </si>
  <si>
    <t>000-001-01-00028804</t>
  </si>
  <si>
    <t>000-001-01-00028805</t>
  </si>
  <si>
    <t>000-001-01-00028806</t>
  </si>
  <si>
    <t>000-001-01-00028807</t>
  </si>
  <si>
    <t>000-001-01-00028808</t>
  </si>
  <si>
    <t>000-001-01-00028809</t>
  </si>
  <si>
    <t>000-001-01-00028810</t>
  </si>
  <si>
    <t>000-001-01-00028811</t>
  </si>
  <si>
    <t>000-001-01-00028812</t>
  </si>
  <si>
    <t>000-001-01-00028813</t>
  </si>
  <si>
    <t>000-001-01-00028814</t>
  </si>
  <si>
    <t>000-001-01-00028815</t>
  </si>
  <si>
    <t>000-001-01-00028816</t>
  </si>
  <si>
    <t>000-001-01-00028817</t>
  </si>
  <si>
    <t>000-001-01-00028818</t>
  </si>
  <si>
    <t>000-001-01-00028819</t>
  </si>
  <si>
    <t>000-001-01-00028820</t>
  </si>
  <si>
    <t>000-001-01-00028821</t>
  </si>
  <si>
    <t>000-001-01-00028822</t>
  </si>
  <si>
    <t>000-001-01-00028823</t>
  </si>
  <si>
    <t>000-001-01-00028824</t>
  </si>
  <si>
    <t>000-001-01-00028825</t>
  </si>
  <si>
    <t>000-001-01-00028826</t>
  </si>
  <si>
    <t>000-001-01-00028827</t>
  </si>
  <si>
    <t>000-001-01-00028828</t>
  </si>
  <si>
    <t>000-001-01-00028829</t>
  </si>
  <si>
    <t>000-001-01-00028830</t>
  </si>
  <si>
    <t>000-001-01-00028831</t>
  </si>
  <si>
    <t>000-001-01-00028832</t>
  </si>
  <si>
    <t>000-001-01-00028833</t>
  </si>
  <si>
    <t>000-001-01-00028834</t>
  </si>
  <si>
    <t>000-001-01-00028835</t>
  </si>
  <si>
    <t>000-001-01-00028836</t>
  </si>
  <si>
    <t>000-001-01-00028837</t>
  </si>
  <si>
    <t>000-001-01-00028838</t>
  </si>
  <si>
    <t>000-001-01-00028839</t>
  </si>
  <si>
    <t>000-001-01-00028840</t>
  </si>
  <si>
    <t>000-001-01-00028841</t>
  </si>
  <si>
    <t>000-001-01-00028842</t>
  </si>
  <si>
    <t>000-001-01-00028843</t>
  </si>
  <si>
    <t>000-001-01-00028844</t>
  </si>
  <si>
    <t>000-001-01-00028845</t>
  </si>
  <si>
    <t>000-001-01-00028846</t>
  </si>
  <si>
    <t>000-001-01-00028847</t>
  </si>
  <si>
    <t>000-001-01-00028848</t>
  </si>
  <si>
    <t>000-001-01-00028849</t>
  </si>
  <si>
    <t>000-001-01-00028850</t>
  </si>
  <si>
    <t>000-001-01-00028851</t>
  </si>
  <si>
    <t>000-001-01-00028852</t>
  </si>
  <si>
    <t>000-001-01-00028853</t>
  </si>
  <si>
    <t>000-001-01-00028854</t>
  </si>
  <si>
    <t>000-001-01-00028855</t>
  </si>
  <si>
    <t>000-001-01-00028856</t>
  </si>
  <si>
    <t>000-001-01-00028857</t>
  </si>
  <si>
    <t>000-001-01-00028858</t>
  </si>
  <si>
    <t>000-001-01-00028859</t>
  </si>
  <si>
    <t>000-001-01-00028860</t>
  </si>
  <si>
    <t>000-001-01-00028861</t>
  </si>
  <si>
    <t>000-001-01-00028862</t>
  </si>
  <si>
    <t>000-001-01-00028863</t>
  </si>
  <si>
    <t>000-001-01-00028864</t>
  </si>
  <si>
    <t>000-001-01-00028865</t>
  </si>
  <si>
    <t>000-001-01-00028866</t>
  </si>
  <si>
    <t>000-001-01-00028867</t>
  </si>
  <si>
    <t>000-001-01-00028868</t>
  </si>
  <si>
    <t>000-001-01-00028869</t>
  </si>
  <si>
    <t>000-001-01-00028870</t>
  </si>
  <si>
    <t>000-001-01-00028871</t>
  </si>
  <si>
    <t>000-001-01-00028872</t>
  </si>
  <si>
    <t>000-001-01-00028873</t>
  </si>
  <si>
    <t>000-001-01-00028874</t>
  </si>
  <si>
    <t>000-001-01-00028875</t>
  </si>
  <si>
    <t>000-001-01-00028876</t>
  </si>
  <si>
    <t>000-001-01-00028877</t>
  </si>
  <si>
    <t>000-001-01-00028878</t>
  </si>
  <si>
    <t>000-001-01-00028879</t>
  </si>
  <si>
    <t>000-001-01-00028880</t>
  </si>
  <si>
    <t>000-001-01-00028881</t>
  </si>
  <si>
    <t>000-001-01-00028882</t>
  </si>
  <si>
    <t>000-001-01-00028883</t>
  </si>
  <si>
    <t>000-001-01-00028884</t>
  </si>
  <si>
    <t>000-001-01-00028885</t>
  </si>
  <si>
    <t>000-001-01-00028886</t>
  </si>
  <si>
    <t>000-001-01-00028887</t>
  </si>
  <si>
    <t>000-001-01-00028888</t>
  </si>
  <si>
    <t>000-001-01-00028889</t>
  </si>
  <si>
    <t>000-001-01-00028890</t>
  </si>
  <si>
    <t>000-001-01-00028891</t>
  </si>
  <si>
    <t>000-001-01-00028892</t>
  </si>
  <si>
    <t>000-001-01-00028893</t>
  </si>
  <si>
    <t>000-001-01-00028894</t>
  </si>
  <si>
    <t>000-001-01-00028895</t>
  </si>
  <si>
    <t>000-001-01-00028896</t>
  </si>
  <si>
    <t>000-001-01-00028897</t>
  </si>
  <si>
    <t>000-001-01-00028898</t>
  </si>
  <si>
    <t>000-001-01-00028899</t>
  </si>
  <si>
    <t>000-001-01-00028900</t>
  </si>
  <si>
    <t>000-001-01-00028901</t>
  </si>
  <si>
    <t>000-001-01-00028902</t>
  </si>
  <si>
    <t>000-001-01-00028903</t>
  </si>
  <si>
    <t>000-001-01-00028904</t>
  </si>
  <si>
    <t>000-001-01-00028905</t>
  </si>
  <si>
    <t>000-001-01-00028906</t>
  </si>
  <si>
    <t>000-001-01-00028907</t>
  </si>
  <si>
    <t>000-001-01-00028908</t>
  </si>
  <si>
    <t>000-001-01-00028909</t>
  </si>
  <si>
    <t>000-001-01-00028910</t>
  </si>
  <si>
    <t>000-001-01-00028911</t>
  </si>
  <si>
    <t>000-001-01-00028912</t>
  </si>
  <si>
    <t>000-001-01-00028913</t>
  </si>
  <si>
    <t>000-001-01-00028914</t>
  </si>
  <si>
    <t>000-001-01-00028915</t>
  </si>
  <si>
    <t>000-001-01-00028916</t>
  </si>
  <si>
    <t>000-001-01-00028917</t>
  </si>
  <si>
    <t>000-001-01-00028918</t>
  </si>
  <si>
    <t>000-001-01-00028919</t>
  </si>
  <si>
    <t>000-001-01-00028920</t>
  </si>
  <si>
    <t>000-001-01-00028921</t>
  </si>
  <si>
    <t>000-001-01-00028922</t>
  </si>
  <si>
    <t>000-001-01-00028923</t>
  </si>
  <si>
    <t>000-001-01-00028924</t>
  </si>
  <si>
    <t>000-001-01-00028925</t>
  </si>
  <si>
    <t>000-001-01-00028926</t>
  </si>
  <si>
    <t>000-001-01-00028927</t>
  </si>
  <si>
    <t>000-001-01-00028928</t>
  </si>
  <si>
    <t>000-001-01-00028929</t>
  </si>
  <si>
    <t>000-001-01-00028930</t>
  </si>
  <si>
    <t>000-001-01-00028931</t>
  </si>
  <si>
    <t>000-001-01-00028932</t>
  </si>
  <si>
    <t>000-001-01-00028933</t>
  </si>
  <si>
    <t>000-001-01-00028934</t>
  </si>
  <si>
    <t>000-001-01-00028935</t>
  </si>
  <si>
    <t>000-001-01-00028936</t>
  </si>
  <si>
    <t>000-001-01-00028937</t>
  </si>
  <si>
    <t>000-001-01-00028938</t>
  </si>
  <si>
    <t>000-001-01-00028939</t>
  </si>
  <si>
    <t>000-001-01-00028940</t>
  </si>
  <si>
    <t>000-001-01-00028941</t>
  </si>
  <si>
    <t>000-001-01-00028942</t>
  </si>
  <si>
    <t>000-001-01-00028943</t>
  </si>
  <si>
    <t>000-001-01-00028944</t>
  </si>
  <si>
    <t>000-001-01-00028945</t>
  </si>
  <si>
    <t>000-001-01-00028946</t>
  </si>
  <si>
    <t>000-001-01-00028947</t>
  </si>
  <si>
    <t>000-001-01-00028948</t>
  </si>
  <si>
    <t>000-001-01-00028949</t>
  </si>
  <si>
    <t>000-001-01-00028950</t>
  </si>
  <si>
    <t>000-001-01-00028951</t>
  </si>
  <si>
    <t>000-001-01-00028952</t>
  </si>
  <si>
    <t>000-001-01-00028953</t>
  </si>
  <si>
    <t>000-001-01-00028954</t>
  </si>
  <si>
    <t>000-001-01-00028955</t>
  </si>
  <si>
    <t>000-001-01-00028956</t>
  </si>
  <si>
    <t>000-001-01-00028957</t>
  </si>
  <si>
    <t>000-001-01-00028958</t>
  </si>
  <si>
    <t>000-001-01-00028959</t>
  </si>
  <si>
    <t>000-001-01-00028960</t>
  </si>
  <si>
    <t>000-001-01-00028961</t>
  </si>
  <si>
    <t>000-001-01-00028962</t>
  </si>
  <si>
    <t>000-001-01-00028963</t>
  </si>
  <si>
    <t>000-001-01-00028964</t>
  </si>
  <si>
    <t>000-001-01-00028965</t>
  </si>
  <si>
    <t>000-001-01-00028966</t>
  </si>
  <si>
    <t>000-001-01-00028967</t>
  </si>
  <si>
    <t>000-001-01-00028968</t>
  </si>
  <si>
    <t>000-001-01-00028969</t>
  </si>
  <si>
    <t>000-001-01-00028970</t>
  </si>
  <si>
    <t>000-001-01-00028971</t>
  </si>
  <si>
    <t>000-001-01-00028972</t>
  </si>
  <si>
    <t>000-001-01-00028973</t>
  </si>
  <si>
    <t>000-001-01-00028974</t>
  </si>
  <si>
    <t>000-001-01-00028975</t>
  </si>
  <si>
    <t>000-001-01-00028976</t>
  </si>
  <si>
    <t>000-001-01-00028977</t>
  </si>
  <si>
    <t>000-001-01-00028978</t>
  </si>
  <si>
    <t>000-001-01-00028979</t>
  </si>
  <si>
    <t>000-001-01-00028980</t>
  </si>
  <si>
    <t>000-001-01-00028981</t>
  </si>
  <si>
    <t>000-001-01-00028982</t>
  </si>
  <si>
    <t>000-001-01-00028983</t>
  </si>
  <si>
    <t>000-001-01-00028984</t>
  </si>
  <si>
    <t>000-001-01-00028985</t>
  </si>
  <si>
    <t>000-001-01-00028986</t>
  </si>
  <si>
    <t>000-001-01-00028987</t>
  </si>
  <si>
    <t>000-001-01-00028988</t>
  </si>
  <si>
    <t>000-001-01-00028989</t>
  </si>
  <si>
    <t>000-001-01-00028990</t>
  </si>
  <si>
    <t>000-001-01-00028991</t>
  </si>
  <si>
    <t>000-001-01-00028992</t>
  </si>
  <si>
    <t>000-001-01-00028993</t>
  </si>
  <si>
    <t>000-001-01-00028994</t>
  </si>
  <si>
    <t>000-001-01-00028995</t>
  </si>
  <si>
    <t>000-001-01-00028996</t>
  </si>
  <si>
    <t>000-001-01-00028997</t>
  </si>
  <si>
    <t>000-001-01-00028998</t>
  </si>
  <si>
    <t>000-001-01-00028999</t>
  </si>
  <si>
    <t>000-001-01-00029000</t>
  </si>
  <si>
    <t>000-001-01-00029001</t>
  </si>
  <si>
    <t>000-001-01-00029002</t>
  </si>
  <si>
    <t>000-001-01-00029003</t>
  </si>
  <si>
    <t>000-001-01-00029004</t>
  </si>
  <si>
    <t>000-001-01-00029005</t>
  </si>
  <si>
    <t>000-001-01-00029006</t>
  </si>
  <si>
    <t>000-001-01-00029007</t>
  </si>
  <si>
    <t>000-001-01-00029008</t>
  </si>
  <si>
    <t>000-001-01-00029009</t>
  </si>
  <si>
    <t>000-001-01-00029010</t>
  </si>
  <si>
    <t>000-001-01-00029011</t>
  </si>
  <si>
    <t>000-001-01-00029012</t>
  </si>
  <si>
    <t>000-001-01-00029013</t>
  </si>
  <si>
    <t>000-001-01-00029014</t>
  </si>
  <si>
    <t>000-001-01-00029015</t>
  </si>
  <si>
    <t>000-001-01-00029016</t>
  </si>
  <si>
    <t>000-001-01-00029017</t>
  </si>
  <si>
    <t>000-001-01-00029018</t>
  </si>
  <si>
    <t>000-001-01-00029019</t>
  </si>
  <si>
    <t>000-001-01-00029020</t>
  </si>
  <si>
    <t>000-001-01-00029021</t>
  </si>
  <si>
    <t>000-001-01-00029022</t>
  </si>
  <si>
    <t>000-001-01-00029023</t>
  </si>
  <si>
    <t>000-001-01-00029024</t>
  </si>
  <si>
    <t>000-001-01-00029025</t>
  </si>
  <si>
    <t>000-001-01-00029026</t>
  </si>
  <si>
    <t>000-001-01-00029027</t>
  </si>
  <si>
    <t>000-001-01-00029028</t>
  </si>
  <si>
    <t>000-001-01-00029029</t>
  </si>
  <si>
    <t>000-001-01-00029030</t>
  </si>
  <si>
    <t>000-001-01-00029031</t>
  </si>
  <si>
    <t>000-001-01-00029032</t>
  </si>
  <si>
    <t>000-001-01-00029033</t>
  </si>
  <si>
    <t>000-001-01-00029034</t>
  </si>
  <si>
    <t>000-001-01-00029035</t>
  </si>
  <si>
    <t>000-001-01-00029036</t>
  </si>
  <si>
    <t>000-001-01-00029037</t>
  </si>
  <si>
    <t>000-001-01-00029038</t>
  </si>
  <si>
    <t>000-001-01-00029039</t>
  </si>
  <si>
    <t>000-001-01-00029040</t>
  </si>
  <si>
    <t>000-001-01-00029041</t>
  </si>
  <si>
    <t>000-001-01-00029042</t>
  </si>
  <si>
    <t>000-001-01-00029043</t>
  </si>
  <si>
    <t>000-001-01-00029044</t>
  </si>
  <si>
    <t>000-001-01-00029045</t>
  </si>
  <si>
    <t>000-001-01-00029046</t>
  </si>
  <si>
    <t>000-001-01-00029047</t>
  </si>
  <si>
    <t>000-001-01-00029048</t>
  </si>
  <si>
    <t>000-001-01-00029049</t>
  </si>
  <si>
    <t>000-001-01-00029050</t>
  </si>
  <si>
    <t>000-001-01-00029051</t>
  </si>
  <si>
    <t>000-001-01-00029052</t>
  </si>
  <si>
    <t>000-001-01-00029053</t>
  </si>
  <si>
    <t>000-001-01-00029054</t>
  </si>
  <si>
    <t>000-001-01-00029055</t>
  </si>
  <si>
    <t>000-001-01-00029056</t>
  </si>
  <si>
    <t>000-001-01-00029057</t>
  </si>
  <si>
    <t>000-001-01-00029058</t>
  </si>
  <si>
    <t>000-001-01-00029059</t>
  </si>
  <si>
    <t>000-001-01-00029060</t>
  </si>
  <si>
    <t>000-001-01-00029061</t>
  </si>
  <si>
    <t>000-001-01-00029062</t>
  </si>
  <si>
    <t>000-001-01-00029063</t>
  </si>
  <si>
    <t>000-001-01-00029064</t>
  </si>
  <si>
    <t>000-001-01-00029065</t>
  </si>
  <si>
    <t>000-001-01-00029066</t>
  </si>
  <si>
    <t>000-001-01-00029067</t>
  </si>
  <si>
    <t>000-001-01-00029068</t>
  </si>
  <si>
    <t>000-001-01-00029069</t>
  </si>
  <si>
    <t>000-001-01-00029070</t>
  </si>
  <si>
    <t>000-001-01-00029071</t>
  </si>
  <si>
    <t>000-001-01-00029072</t>
  </si>
  <si>
    <t>000-001-01-00029073</t>
  </si>
  <si>
    <t>000-001-01-00029074</t>
  </si>
  <si>
    <t>000-001-01-00029075</t>
  </si>
  <si>
    <t>000-001-01-00029076</t>
  </si>
  <si>
    <t>000-001-01-00029077</t>
  </si>
  <si>
    <t>000-001-01-00029078</t>
  </si>
  <si>
    <t>000-001-01-00029079</t>
  </si>
  <si>
    <t>000-001-01-00029080</t>
  </si>
  <si>
    <t>000-001-01-00029081</t>
  </si>
  <si>
    <t>000-001-01-00029082</t>
  </si>
  <si>
    <t>000-001-01-00029083</t>
  </si>
  <si>
    <t>000-001-01-00029084</t>
  </si>
  <si>
    <t>000-001-01-00029085</t>
  </si>
  <si>
    <t>000-001-01-00029086</t>
  </si>
  <si>
    <t>000-001-01-00029087</t>
  </si>
  <si>
    <t>000-001-01-00029088</t>
  </si>
  <si>
    <t>000-001-01-00029089</t>
  </si>
  <si>
    <t>000-001-01-00029090</t>
  </si>
  <si>
    <t>000-001-01-00029091</t>
  </si>
  <si>
    <t>000-001-01-00029092</t>
  </si>
  <si>
    <t>000-001-01-00029093</t>
  </si>
  <si>
    <t>000-001-01-00029094</t>
  </si>
  <si>
    <t>000-001-01-00029095</t>
  </si>
  <si>
    <t>000-001-01-00029096</t>
  </si>
  <si>
    <t>000-001-01-00029097</t>
  </si>
  <si>
    <t>000-001-01-00029098</t>
  </si>
  <si>
    <t>000-001-01-00029099</t>
  </si>
  <si>
    <t>000-001-01-00029100</t>
  </si>
  <si>
    <t>000-001-01-00029101</t>
  </si>
  <si>
    <t>000-001-01-00029102</t>
  </si>
  <si>
    <t>000-001-01-00029103</t>
  </si>
  <si>
    <t>000-001-01-00029104</t>
  </si>
  <si>
    <t>000-001-01-00029105</t>
  </si>
  <si>
    <t>000-001-01-00029106</t>
  </si>
  <si>
    <t>000-001-01-00029107</t>
  </si>
  <si>
    <t>000-001-01-00029108</t>
  </si>
  <si>
    <t>000-001-01-00029109</t>
  </si>
  <si>
    <t>000-001-01-00029110</t>
  </si>
  <si>
    <t>000-001-01-00029111</t>
  </si>
  <si>
    <t>000-001-01-00029112</t>
  </si>
  <si>
    <t>000-001-01-00029113</t>
  </si>
  <si>
    <t>000-001-01-00029114</t>
  </si>
  <si>
    <t>000-001-01-00029115</t>
  </si>
  <si>
    <t>000-001-01-00029116</t>
  </si>
  <si>
    <t>000-001-01-00029117</t>
  </si>
  <si>
    <t>000-001-01-00029118</t>
  </si>
  <si>
    <t>000-001-01-00029119</t>
  </si>
  <si>
    <t>000-001-01-00029120</t>
  </si>
  <si>
    <t>000-001-01-00029121</t>
  </si>
  <si>
    <t>000-001-01-00029122</t>
  </si>
  <si>
    <t>000-001-01-00029123</t>
  </si>
  <si>
    <t>000-001-01-00029124</t>
  </si>
  <si>
    <t>000-001-01-00029125</t>
  </si>
  <si>
    <t>000-001-01-00029126</t>
  </si>
  <si>
    <t>000-001-01-00029127</t>
  </si>
  <si>
    <t>000-001-01-00029128</t>
  </si>
  <si>
    <t>000-001-01-00029129</t>
  </si>
  <si>
    <t>000-001-01-00029130</t>
  </si>
  <si>
    <t>000-001-01-00029131</t>
  </si>
  <si>
    <t>000-001-01-00029132</t>
  </si>
  <si>
    <t>000-001-01-00029133</t>
  </si>
  <si>
    <t>000-001-01-00029134</t>
  </si>
  <si>
    <t>000-001-01-00029135</t>
  </si>
  <si>
    <t>000-001-01-00029136</t>
  </si>
  <si>
    <t>000-001-01-00029137</t>
  </si>
  <si>
    <t>000-001-01-00029138</t>
  </si>
  <si>
    <t>000-001-01-00029139</t>
  </si>
  <si>
    <t>000-001-01-00029140</t>
  </si>
  <si>
    <t>000-001-01-00029141</t>
  </si>
  <si>
    <t>000-001-01-00029142</t>
  </si>
  <si>
    <t>000-001-01-00029143</t>
  </si>
  <si>
    <t>000-001-01-00029144</t>
  </si>
  <si>
    <t>000-001-01-00029145</t>
  </si>
  <si>
    <t>000-001-01-00029146</t>
  </si>
  <si>
    <t>000-001-01-00029147</t>
  </si>
  <si>
    <t>000-001-01-00029148</t>
  </si>
  <si>
    <t>000-001-01-00029149</t>
  </si>
  <si>
    <t>000-001-01-00029150</t>
  </si>
  <si>
    <t>000-001-01-00029151</t>
  </si>
  <si>
    <t>000-001-01-00029152</t>
  </si>
  <si>
    <t>000-001-01-00029153</t>
  </si>
  <si>
    <t>000-001-01-00029154</t>
  </si>
  <si>
    <t>000-001-01-00029155</t>
  </si>
  <si>
    <t>000-001-01-00029156</t>
  </si>
  <si>
    <t>000-001-01-00029157</t>
  </si>
  <si>
    <t>000-001-01-00029158</t>
  </si>
  <si>
    <t>000-001-01-00029159</t>
  </si>
  <si>
    <t>000-001-01-00029160</t>
  </si>
  <si>
    <t>000-001-01-00029161</t>
  </si>
  <si>
    <t>000-001-01-00029162</t>
  </si>
  <si>
    <t>000-001-01-00029163</t>
  </si>
  <si>
    <t>000-001-01-00029164</t>
  </si>
  <si>
    <t>000-001-01-00029165</t>
  </si>
  <si>
    <t>000-001-01-00029166</t>
  </si>
  <si>
    <t>000-001-01-00029167</t>
  </si>
  <si>
    <t>000-001-01-00029168</t>
  </si>
  <si>
    <t>000-001-01-00029169</t>
  </si>
  <si>
    <t>000-001-01-00029170</t>
  </si>
  <si>
    <t>000-001-01-00029171</t>
  </si>
  <si>
    <t>000-001-01-00029172</t>
  </si>
  <si>
    <t>000-001-01-00029173</t>
  </si>
  <si>
    <t>000-001-01-00029174</t>
  </si>
  <si>
    <t>000-001-01-00029175</t>
  </si>
  <si>
    <t>000-001-01-00029176</t>
  </si>
  <si>
    <t>000-001-01-00029177</t>
  </si>
  <si>
    <t>000-001-01-00029178</t>
  </si>
  <si>
    <t>000-001-01-00029179</t>
  </si>
  <si>
    <t>000-001-01-00029180</t>
  </si>
  <si>
    <t>000-001-01-00029181</t>
  </si>
  <si>
    <t>000-001-01-00029182</t>
  </si>
  <si>
    <t>000-001-01-00029183</t>
  </si>
  <si>
    <t>000-001-01-00029184</t>
  </si>
  <si>
    <t>000-001-01-00029185</t>
  </si>
  <si>
    <t>000-001-01-00029186</t>
  </si>
  <si>
    <t>000-001-01-00029187</t>
  </si>
  <si>
    <t>000-001-01-00029188</t>
  </si>
  <si>
    <t>000-001-01-00029189</t>
  </si>
  <si>
    <t>000-001-01-00029190</t>
  </si>
  <si>
    <t>000-001-01-00029191</t>
  </si>
  <si>
    <t>000-001-01-00029192</t>
  </si>
  <si>
    <t>000-001-01-00029193</t>
  </si>
  <si>
    <t>000-001-01-00029194</t>
  </si>
  <si>
    <t>000-001-01-00029195</t>
  </si>
  <si>
    <t>000-001-01-00029196</t>
  </si>
  <si>
    <t>000-001-01-00029197</t>
  </si>
  <si>
    <t>000-001-01-00029198</t>
  </si>
  <si>
    <t>000-001-01-00029199</t>
  </si>
  <si>
    <t>000-001-01-00029200</t>
  </si>
  <si>
    <t>000-001-01-00029201</t>
  </si>
  <si>
    <t>000-001-01-00029202</t>
  </si>
  <si>
    <t>000-001-01-00029203</t>
  </si>
  <si>
    <t>000-001-01-00029204</t>
  </si>
  <si>
    <t>000-001-01-00029205</t>
  </si>
  <si>
    <t>000-001-01-00029206</t>
  </si>
  <si>
    <t>000-001-01-00029207</t>
  </si>
  <si>
    <t>000-001-01-00029208</t>
  </si>
  <si>
    <t>000-001-01-00029209</t>
  </si>
  <si>
    <t>000-001-01-00029210</t>
  </si>
  <si>
    <t>000-001-01-00029211</t>
  </si>
  <si>
    <t>000-001-01-00029212</t>
  </si>
  <si>
    <t>000-001-01-00029213</t>
  </si>
  <si>
    <t>000-001-01-00029214</t>
  </si>
  <si>
    <t>000-001-01-00029215</t>
  </si>
  <si>
    <t>000-001-01-00029216</t>
  </si>
  <si>
    <t>000-001-01-00029217</t>
  </si>
  <si>
    <t>000-001-01-00029218</t>
  </si>
  <si>
    <t>000-001-01-00029219</t>
  </si>
  <si>
    <t>000-001-01-00029220</t>
  </si>
  <si>
    <t>000-001-01-00029221</t>
  </si>
  <si>
    <t>000-001-01-00029222</t>
  </si>
  <si>
    <t>000-001-01-00029223</t>
  </si>
  <si>
    <t>000-001-01-00029224</t>
  </si>
  <si>
    <t>000-001-01-00029225</t>
  </si>
  <si>
    <t>000-001-01-00029226</t>
  </si>
  <si>
    <t>000-001-01-00029227</t>
  </si>
  <si>
    <t>000-001-01-00029228</t>
  </si>
  <si>
    <t>000-001-01-00029229</t>
  </si>
  <si>
    <t>000-001-01-00029230</t>
  </si>
  <si>
    <t>000-001-01-00029231</t>
  </si>
  <si>
    <t>000-001-01-00029232</t>
  </si>
  <si>
    <t>000-001-01-00029233</t>
  </si>
  <si>
    <t>000-001-01-00029234</t>
  </si>
  <si>
    <t>000-001-01-00029235</t>
  </si>
  <si>
    <t>000-001-01-00029236</t>
  </si>
  <si>
    <t>000-001-01-00029237</t>
  </si>
  <si>
    <t>000-001-01-00029238</t>
  </si>
  <si>
    <t>000-001-01-00029239</t>
  </si>
  <si>
    <t>000-001-01-00029240</t>
  </si>
  <si>
    <t>000-001-01-00029241</t>
  </si>
  <si>
    <t>000-001-01-00029242</t>
  </si>
  <si>
    <t>000-001-01-00029243</t>
  </si>
  <si>
    <t>000-001-01-00029244</t>
  </si>
  <si>
    <t>000-001-01-00029245</t>
  </si>
  <si>
    <t>000-001-01-00029246</t>
  </si>
  <si>
    <t>000-001-01-00029247</t>
  </si>
  <si>
    <t>000-001-01-00029248</t>
  </si>
  <si>
    <t>000-001-01-00029249</t>
  </si>
  <si>
    <t>000-001-01-00029250</t>
  </si>
  <si>
    <t>000-001-01-00029251</t>
  </si>
  <si>
    <t>000-001-01-00029252</t>
  </si>
  <si>
    <t>000-001-01-00029253</t>
  </si>
  <si>
    <t>000-001-01-00029254</t>
  </si>
  <si>
    <t>000-001-01-00029255</t>
  </si>
  <si>
    <t>000-001-01-00029256</t>
  </si>
  <si>
    <t>000-001-01-00029257</t>
  </si>
  <si>
    <t>000-001-01-00029258</t>
  </si>
  <si>
    <t>000-001-01-00029259</t>
  </si>
  <si>
    <t>000-001-01-00029260</t>
  </si>
  <si>
    <t>000-001-01-00029261</t>
  </si>
  <si>
    <t>000-001-01-00029262</t>
  </si>
  <si>
    <t>000-001-01-00029263</t>
  </si>
  <si>
    <t>000-001-01-00029264</t>
  </si>
  <si>
    <t>000-001-01-00029265</t>
  </si>
  <si>
    <t>000-001-01-00029266</t>
  </si>
  <si>
    <t>000-001-01-00029267</t>
  </si>
  <si>
    <t>000-001-01-00029268</t>
  </si>
  <si>
    <t>000-001-01-00029269</t>
  </si>
  <si>
    <t>000-001-01-00029270</t>
  </si>
  <si>
    <t>000-001-01-00029271</t>
  </si>
  <si>
    <t>000-001-01-00029272</t>
  </si>
  <si>
    <t>000-001-01-00029273</t>
  </si>
  <si>
    <t>000-001-01-00029274</t>
  </si>
  <si>
    <t>000-001-01-00029275</t>
  </si>
  <si>
    <t>000-001-01-00029276</t>
  </si>
  <si>
    <t>000-001-01-00029277</t>
  </si>
  <si>
    <t>000-001-01-00029278</t>
  </si>
  <si>
    <t>000-001-01-00029279</t>
  </si>
  <si>
    <t>000-001-01-00029280</t>
  </si>
  <si>
    <t>000-001-01-00029281</t>
  </si>
  <si>
    <t>000-001-01-00029282</t>
  </si>
  <si>
    <t>000-001-01-00029283</t>
  </si>
  <si>
    <t>000-001-01-00029284</t>
  </si>
  <si>
    <t>000-001-01-00029285</t>
  </si>
  <si>
    <t>000-001-01-00029286</t>
  </si>
  <si>
    <t>000-001-01-00029287</t>
  </si>
  <si>
    <t>000-001-01-00029288</t>
  </si>
  <si>
    <t>000-001-01-00029289</t>
  </si>
  <si>
    <t>000-001-01-00029290</t>
  </si>
  <si>
    <t>000-001-01-00029291</t>
  </si>
  <si>
    <t>000-001-01-00029292</t>
  </si>
  <si>
    <t>000-001-01-00029293</t>
  </si>
  <si>
    <t>000-001-01-00029294</t>
  </si>
  <si>
    <t>000-001-01-00029295</t>
  </si>
  <si>
    <t>000-001-01-00029296</t>
  </si>
  <si>
    <t>000-001-01-00029297</t>
  </si>
  <si>
    <t>000-001-01-00029298</t>
  </si>
  <si>
    <t>000-001-01-00029299</t>
  </si>
  <si>
    <t>000-001-01-00029300</t>
  </si>
  <si>
    <t>000-001-01-00029301</t>
  </si>
  <si>
    <t>000-001-01-00029302</t>
  </si>
  <si>
    <t>000-001-01-00029303</t>
  </si>
  <si>
    <t>000-001-01-00029304</t>
  </si>
  <si>
    <t>000-001-01-00029305</t>
  </si>
  <si>
    <t>000-001-01-00029306</t>
  </si>
  <si>
    <t>000-001-01-00029307</t>
  </si>
  <si>
    <t>000-001-01-00029308</t>
  </si>
  <si>
    <t>000-001-01-00029309</t>
  </si>
  <si>
    <t>000-001-01-00029310</t>
  </si>
  <si>
    <t>000-001-01-00029311</t>
  </si>
  <si>
    <t>000-001-01-00029312</t>
  </si>
  <si>
    <t>000-001-01-00029313</t>
  </si>
  <si>
    <t>000-001-01-00029314</t>
  </si>
  <si>
    <t>000-001-01-00029315</t>
  </si>
  <si>
    <t>000-001-01-00029316</t>
  </si>
  <si>
    <t>000-001-01-00029317</t>
  </si>
  <si>
    <t>000-001-01-00029318</t>
  </si>
  <si>
    <t>000-001-01-00029319</t>
  </si>
  <si>
    <t>000-001-01-00029320</t>
  </si>
  <si>
    <t>000-001-01-00029321</t>
  </si>
  <si>
    <t>000-001-01-00029322</t>
  </si>
  <si>
    <t>000-001-01-00029323</t>
  </si>
  <si>
    <t>000-001-01-00029324</t>
  </si>
  <si>
    <t>000-001-01-00029325</t>
  </si>
  <si>
    <t>000-001-01-00029326</t>
  </si>
  <si>
    <t>000-001-01-00029327</t>
  </si>
  <si>
    <t>000-001-01-00029328</t>
  </si>
  <si>
    <t>000-001-01-00029329</t>
  </si>
  <si>
    <t>000-001-01-00029330</t>
  </si>
  <si>
    <t>000-001-01-00029331</t>
  </si>
  <si>
    <t>000-001-01-00029332</t>
  </si>
  <si>
    <t>000-001-01-00029333</t>
  </si>
  <si>
    <t>000-001-01-00029334</t>
  </si>
  <si>
    <t>000-001-01-00029335</t>
  </si>
  <si>
    <t>000-001-01-00029336</t>
  </si>
  <si>
    <t>000-001-01-00029337</t>
  </si>
  <si>
    <t>000-001-01-00029338</t>
  </si>
  <si>
    <t>000-001-01-00029339</t>
  </si>
  <si>
    <t>000-001-01-00029340</t>
  </si>
  <si>
    <t>000-001-01-00029341</t>
  </si>
  <si>
    <t>000-001-01-00029342</t>
  </si>
  <si>
    <t>000-001-01-00029343</t>
  </si>
  <si>
    <t>000-001-01-00029344</t>
  </si>
  <si>
    <t>000-001-01-00029345</t>
  </si>
  <si>
    <t>000-001-01-00029346</t>
  </si>
  <si>
    <t>000-001-01-00029347</t>
  </si>
  <si>
    <t>000-001-01-00029348</t>
  </si>
  <si>
    <t>000-001-01-00029349</t>
  </si>
  <si>
    <t>000-001-01-00029350</t>
  </si>
  <si>
    <t>000-001-01-00029351</t>
  </si>
  <si>
    <t>000-001-01-00029352</t>
  </si>
  <si>
    <t>000-001-01-00029353</t>
  </si>
  <si>
    <t>000-001-01-00029354</t>
  </si>
  <si>
    <t>000-001-01-00029355</t>
  </si>
  <si>
    <t>000-001-01-00029356</t>
  </si>
  <si>
    <t>000-001-01-00029357</t>
  </si>
  <si>
    <t>000-001-01-00029358</t>
  </si>
  <si>
    <t>000-001-01-00029359</t>
  </si>
  <si>
    <t>000-001-01-00029360</t>
  </si>
  <si>
    <t>000-001-01-00029361</t>
  </si>
  <si>
    <t>000-001-01-00029362</t>
  </si>
  <si>
    <t>000-001-01-00029363</t>
  </si>
  <si>
    <t>000-001-01-00029364</t>
  </si>
  <si>
    <t>000-001-01-00029365</t>
  </si>
  <si>
    <t>000-001-01-00029366</t>
  </si>
  <si>
    <t>000-001-01-00029367</t>
  </si>
  <si>
    <t>000-001-01-00029368</t>
  </si>
  <si>
    <t>000-001-01-00029369</t>
  </si>
  <si>
    <t>000-001-01-00029370</t>
  </si>
  <si>
    <t>000-001-01-00029371</t>
  </si>
  <si>
    <t>000-001-01-00029372</t>
  </si>
  <si>
    <t>000-001-01-00029373</t>
  </si>
  <si>
    <t>000-001-01-00029374</t>
  </si>
  <si>
    <t>000-001-01-00029375</t>
  </si>
  <si>
    <t>000-001-01-00029376</t>
  </si>
  <si>
    <t>000-001-01-00029377</t>
  </si>
  <si>
    <t>000-001-01-00029378</t>
  </si>
  <si>
    <t>000-001-01-00029379</t>
  </si>
  <si>
    <t>000-001-01-00029380</t>
  </si>
  <si>
    <t>000-001-01-00029381</t>
  </si>
  <si>
    <t>000-001-01-00029382</t>
  </si>
  <si>
    <t>exentas</t>
  </si>
  <si>
    <t>PATOLAB S. DE R.L.</t>
  </si>
  <si>
    <t>RESUMEN DE VENTAS DEL MES DE AGOSTO DEL 2026</t>
  </si>
  <si>
    <t>Fecha</t>
  </si>
  <si>
    <t>No. de Fact</t>
  </si>
  <si>
    <t>Cliente</t>
  </si>
  <si>
    <t>Consumudor Final</t>
  </si>
  <si>
    <t>000-001-01-0002838</t>
  </si>
  <si>
    <t>000-001-01-00029904</t>
  </si>
  <si>
    <t>000-001-01-0002958</t>
  </si>
  <si>
    <t>Ventas del mes de Afosto 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</si>
</sst>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L&quot;* #,##0.00_-;\-&quot;L&quot;* #,##0.00_-;_-&quot;L&quot;* &quot;-&quot;??_-;_-@_-"/>
    <numFmt numFmtId="165" formatCode="_-* #,##0.00_-;\-* #,##0.00_-;_-* &quot;-&quot;??_-;_-@_-"/>
    <numFmt numFmtId="166" formatCode="_-[$L-480A]* #,##0.00_-;\-[$L-480A]* #,##0.00_-;_-[$L-480A]* &quot;-&quot;??_-;_-@_-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rgb="FF000000"/>
      <name val="Aptos Narrow"/>
      <family val="2"/>
      <scheme val="minor"/>
    </font>
    <font>
      <b/>
      <sz val="9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8"/>
      <color rgb="FF000000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u val="singleAccounting"/>
      <sz val="9"/>
      <color theme="1"/>
      <name val="Aptos Narrow"/>
      <family val="2"/>
      <scheme val="minor"/>
    </font>
    <font>
      <b/>
      <u val="singleAccounting"/>
      <sz val="11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sz val="9"/>
      <color rgb="FF000000"/>
      <name val="Calibri"/>
      <family val="2"/>
    </font>
    <font>
      <sz val="9"/>
      <color rgb="FF242424"/>
      <name val="Aptos Narrow"/>
      <family val="2"/>
    </font>
    <font>
      <b/>
      <i/>
      <u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2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 vertical="center" wrapText="1"/>
    </xf>
    <xf numFmtId="164" fontId="3" fillId="2" borderId="3" xfId="0" applyNumberFormat="1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/>
    </xf>
    <xf numFmtId="0" fontId="5" fillId="0" borderId="5" xfId="0" applyFont="1" applyBorder="1" applyAlignment="1">
      <alignment horizontal="center"/>
    </xf>
    <xf numFmtId="14" fontId="6" fillId="0" borderId="6" xfId="0" applyNumberFormat="1" applyFont="1" applyBorder="1" applyAlignment="1">
      <alignment horizontal="center"/>
    </xf>
    <xf numFmtId="0" fontId="6" fillId="0" borderId="0" xfId="0" applyFont="1"/>
    <xf numFmtId="0" fontId="6" fillId="0" borderId="7" xfId="0" applyFont="1" applyBorder="1" applyAlignment="1">
      <alignment horizontal="center"/>
    </xf>
    <xf numFmtId="0" fontId="6" fillId="0" borderId="7" xfId="0" applyFont="1" applyBorder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 wrapText="1"/>
    </xf>
    <xf numFmtId="165" fontId="6" fillId="0" borderId="8" xfId="0" applyNumberFormat="1" applyFont="1" applyBorder="1" applyAlignment="1">
      <alignment horizontal="center" vertical="center" wrapText="1"/>
    </xf>
    <xf numFmtId="165" fontId="6" fillId="0" borderId="9" xfId="1" applyNumberFormat="1" applyFont="1" applyBorder="1"/>
    <xf numFmtId="16" fontId="6" fillId="0" borderId="10" xfId="0" applyNumberFormat="1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14" fontId="6" fillId="0" borderId="13" xfId="0" applyNumberFormat="1" applyFont="1" applyBorder="1" applyAlignment="1">
      <alignment horizontal="center"/>
    </xf>
    <xf numFmtId="0" fontId="6" fillId="0" borderId="14" xfId="0" applyFont="1" applyBorder="1"/>
    <xf numFmtId="0" fontId="6" fillId="0" borderId="14" xfId="0" applyFont="1" applyBorder="1" applyAlignment="1">
      <alignment horizontal="center"/>
    </xf>
    <xf numFmtId="0" fontId="6" fillId="0" borderId="14" xfId="0" applyFont="1" applyBorder="1" applyAlignment="1">
      <alignment horizontal="center" vertical="center" wrapText="1"/>
    </xf>
    <xf numFmtId="165" fontId="6" fillId="0" borderId="14" xfId="0" applyNumberFormat="1" applyFont="1" applyBorder="1" applyAlignment="1">
      <alignment horizontal="center" vertical="center" wrapText="1"/>
    </xf>
    <xf numFmtId="165" fontId="6" fillId="0" borderId="15" xfId="1" applyNumberFormat="1" applyFont="1" applyBorder="1"/>
    <xf numFmtId="16" fontId="6" fillId="3" borderId="14" xfId="0" applyNumberFormat="1" applyFont="1" applyFill="1" applyBorder="1" applyAlignment="1">
      <alignment horizontal="center"/>
    </xf>
    <xf numFmtId="16" fontId="6" fillId="0" borderId="14" xfId="0" applyNumberFormat="1" applyFont="1" applyBorder="1" applyAlignment="1">
      <alignment horizontal="center" vertical="center"/>
    </xf>
    <xf numFmtId="16" fontId="6" fillId="0" borderId="14" xfId="0" applyNumberFormat="1" applyFont="1" applyBorder="1" applyAlignment="1">
      <alignment horizontal="center"/>
    </xf>
    <xf numFmtId="0" fontId="5" fillId="0" borderId="12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/>
    </xf>
    <xf numFmtId="0" fontId="6" fillId="0" borderId="16" xfId="0" applyFont="1" applyBorder="1" applyAlignment="1">
      <alignment horizontal="center" vertical="center" wrapText="1"/>
    </xf>
    <xf numFmtId="165" fontId="6" fillId="0" borderId="16" xfId="0" applyNumberFormat="1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/>
    </xf>
    <xf numFmtId="165" fontId="6" fillId="0" borderId="14" xfId="0" applyNumberFormat="1" applyFont="1" applyBorder="1" applyAlignment="1">
      <alignment horizontal="center" vertical="center"/>
    </xf>
    <xf numFmtId="165" fontId="6" fillId="0" borderId="14" xfId="0" applyNumberFormat="1" applyFont="1" applyBorder="1" applyAlignment="1">
      <alignment horizontal="center"/>
    </xf>
    <xf numFmtId="1" fontId="6" fillId="0" borderId="14" xfId="0" applyNumberFormat="1" applyFont="1" applyBorder="1" applyAlignment="1">
      <alignment horizontal="center" vertical="center"/>
    </xf>
    <xf numFmtId="16" fontId="6" fillId="0" borderId="14" xfId="0" applyNumberFormat="1" applyFont="1" applyBorder="1"/>
    <xf numFmtId="0" fontId="7" fillId="0" borderId="17" xfId="0" applyFont="1" applyBorder="1" applyAlignment="1">
      <alignment horizontal="center"/>
    </xf>
    <xf numFmtId="165" fontId="7" fillId="0" borderId="17" xfId="0" applyNumberFormat="1" applyFont="1" applyBorder="1" applyAlignment="1">
      <alignment horizontal="center"/>
    </xf>
    <xf numFmtId="166" fontId="7" fillId="0" borderId="17" xfId="1" applyNumberFormat="1" applyFont="1" applyBorder="1"/>
    <xf numFmtId="165" fontId="0" fillId="0" borderId="0" xfId="0" applyNumberFormat="1"/>
    <xf numFmtId="0" fontId="4" fillId="2" borderId="14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164" fontId="4" fillId="2" borderId="0" xfId="0" applyNumberFormat="1" applyFont="1" applyFill="1" applyAlignment="1">
      <alignment horizontal="center"/>
    </xf>
    <xf numFmtId="164" fontId="0" fillId="0" borderId="0" xfId="0" applyNumberFormat="1"/>
    <xf numFmtId="0" fontId="8" fillId="2" borderId="14" xfId="0" applyFont="1" applyFill="1" applyBorder="1" applyAlignment="1">
      <alignment horizontal="right"/>
    </xf>
    <xf numFmtId="165" fontId="8" fillId="2" borderId="14" xfId="1" applyNumberFormat="1" applyFont="1" applyFill="1" applyBorder="1"/>
    <xf numFmtId="166" fontId="9" fillId="2" borderId="0" xfId="1" applyNumberFormat="1" applyFont="1" applyFill="1" applyBorder="1"/>
    <xf numFmtId="164" fontId="9" fillId="2" borderId="0" xfId="0" applyNumberFormat="1" applyFont="1" applyFill="1" applyAlignment="1">
      <alignment horizontal="center"/>
    </xf>
    <xf numFmtId="2" fontId="0" fillId="0" borderId="0" xfId="0" applyNumberFormat="1"/>
    <xf numFmtId="165" fontId="6" fillId="0" borderId="14" xfId="1" applyNumberFormat="1" applyFont="1" applyBorder="1"/>
    <xf numFmtId="166" fontId="0" fillId="0" borderId="0" xfId="1" applyNumberFormat="1" applyFont="1" applyBorder="1"/>
    <xf numFmtId="165" fontId="8" fillId="0" borderId="14" xfId="1" applyNumberFormat="1" applyFont="1" applyBorder="1"/>
    <xf numFmtId="166" fontId="9" fillId="0" borderId="0" xfId="1" applyNumberFormat="1" applyFont="1" applyBorder="1"/>
    <xf numFmtId="0" fontId="3" fillId="2" borderId="0" xfId="0" applyFont="1" applyFill="1" applyAlignment="1">
      <alignment horizontal="center"/>
    </xf>
    <xf numFmtId="166" fontId="10" fillId="0" borderId="18" xfId="1" applyNumberFormat="1" applyFont="1" applyBorder="1"/>
    <xf numFmtId="166" fontId="11" fillId="0" borderId="0" xfId="1" applyNumberFormat="1" applyFont="1" applyBorder="1"/>
    <xf numFmtId="0" fontId="6" fillId="0" borderId="19" xfId="0" applyFont="1" applyBorder="1" applyAlignment="1">
      <alignment horizontal="center"/>
    </xf>
    <xf numFmtId="165" fontId="6" fillId="0" borderId="19" xfId="0" applyNumberFormat="1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165" fontId="7" fillId="0" borderId="3" xfId="0" applyNumberFormat="1" applyFont="1" applyBorder="1" applyAlignment="1">
      <alignment horizontal="center"/>
    </xf>
    <xf numFmtId="0" fontId="6" fillId="0" borderId="19" xfId="0" applyFont="1" applyBorder="1"/>
    <xf numFmtId="0" fontId="3" fillId="2" borderId="0" xfId="0" applyFont="1" applyFill="1" applyAlignment="1">
      <alignment horizontal="center"/>
    </xf>
    <xf numFmtId="166" fontId="10" fillId="0" borderId="0" xfId="1" applyNumberFormat="1" applyFont="1" applyBorder="1"/>
    <xf numFmtId="0" fontId="6" fillId="0" borderId="20" xfId="0" applyFont="1" applyBorder="1"/>
    <xf numFmtId="0" fontId="6" fillId="0" borderId="15" xfId="0" applyFont="1" applyBorder="1"/>
    <xf numFmtId="165" fontId="6" fillId="0" borderId="16" xfId="1" applyNumberFormat="1" applyFont="1" applyBorder="1"/>
    <xf numFmtId="0" fontId="6" fillId="0" borderId="21" xfId="0" applyFont="1" applyBorder="1"/>
    <xf numFmtId="0" fontId="6" fillId="0" borderId="22" xfId="0" applyFont="1" applyBorder="1"/>
    <xf numFmtId="0" fontId="12" fillId="2" borderId="4" xfId="0" applyFont="1" applyFill="1" applyBorder="1" applyAlignment="1">
      <alignment horizontal="center"/>
    </xf>
    <xf numFmtId="0" fontId="6" fillId="2" borderId="14" xfId="0" applyFont="1" applyFill="1" applyBorder="1"/>
    <xf numFmtId="0" fontId="6" fillId="0" borderId="6" xfId="0" applyFont="1" applyBorder="1"/>
    <xf numFmtId="0" fontId="13" fillId="0" borderId="21" xfId="0" applyFont="1" applyBorder="1"/>
    <xf numFmtId="0" fontId="14" fillId="0" borderId="21" xfId="0" applyFont="1" applyBorder="1"/>
    <xf numFmtId="0" fontId="13" fillId="0" borderId="0" xfId="0" applyFont="1"/>
    <xf numFmtId="0" fontId="13" fillId="0" borderId="6" xfId="0" applyFont="1" applyBorder="1"/>
    <xf numFmtId="0" fontId="6" fillId="0" borderId="12" xfId="0" applyFont="1" applyBorder="1"/>
    <xf numFmtId="0" fontId="0" fillId="0" borderId="0" xfId="0" applyAlignment="1">
      <alignment horizontal="center"/>
    </xf>
    <xf numFmtId="164" fontId="7" fillId="0" borderId="0" xfId="0" applyNumberFormat="1" applyFont="1"/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164" fontId="3" fillId="2" borderId="0" xfId="0" applyNumberFormat="1" applyFont="1" applyFill="1" applyAlignment="1">
      <alignment horizontal="center" vertical="center" wrapText="1"/>
    </xf>
    <xf numFmtId="0" fontId="5" fillId="0" borderId="0" xfId="0" applyFont="1" applyAlignment="1">
      <alignment horizontal="center"/>
    </xf>
    <xf numFmtId="14" fontId="6" fillId="0" borderId="0" xfId="0" applyNumberFormat="1" applyFont="1" applyAlignment="1">
      <alignment horizontal="center"/>
    </xf>
    <xf numFmtId="165" fontId="6" fillId="0" borderId="0" xfId="0" applyNumberFormat="1" applyFont="1"/>
    <xf numFmtId="165" fontId="6" fillId="0" borderId="0" xfId="1" applyNumberFormat="1" applyFont="1" applyBorder="1"/>
    <xf numFmtId="16" fontId="6" fillId="0" borderId="0" xfId="0" applyNumberFormat="1" applyFont="1" applyAlignment="1">
      <alignment horizontal="center"/>
    </xf>
    <xf numFmtId="16" fontId="6" fillId="3" borderId="0" xfId="0" applyNumberFormat="1" applyFont="1" applyFill="1" applyAlignment="1">
      <alignment horizontal="center"/>
    </xf>
    <xf numFmtId="16" fontId="6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center"/>
    </xf>
    <xf numFmtId="16" fontId="6" fillId="0" borderId="0" xfId="0" applyNumberFormat="1" applyFont="1"/>
    <xf numFmtId="0" fontId="6" fillId="2" borderId="0" xfId="0" applyFont="1" applyFill="1"/>
    <xf numFmtId="0" fontId="14" fillId="0" borderId="0" xfId="0" applyFont="1"/>
    <xf numFmtId="164" fontId="7" fillId="0" borderId="18" xfId="0" applyNumberFormat="1" applyFont="1" applyBorder="1"/>
    <xf numFmtId="0" fontId="1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4" fontId="7" fillId="0" borderId="0" xfId="0" applyNumberFormat="1" applyFont="1" applyAlignment="1">
      <alignment horizontal="center"/>
    </xf>
  </cellXfs>
  <cellStyles count="2">
    <cellStyle name="Currency 2" xfId="1" xr:uid="{CBC3C239-FFD2-4ADA-871E-7E58E60E173A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17</xdr:row>
      <xdr:rowOff>0</xdr:rowOff>
    </xdr:from>
    <xdr:ext cx="304800" cy="304800"/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4B562075-ACC0-4C5B-A0D4-D21559DECEA3}"/>
            </a:ext>
          </a:extLst>
        </xdr:cNvPr>
        <xdr:cNvSpPr>
          <a:spLocks noChangeAspect="1" noChangeArrowheads="1"/>
        </xdr:cNvSpPr>
      </xdr:nvSpPr>
      <xdr:spPr bwMode="auto">
        <a:xfrm>
          <a:off x="1390650" y="334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17</xdr:row>
      <xdr:rowOff>0</xdr:rowOff>
    </xdr:from>
    <xdr:ext cx="304800" cy="304800"/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FF39C3A0-A83F-425A-AD75-EF25D17F73C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334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27</xdr:row>
      <xdr:rowOff>0</xdr:rowOff>
    </xdr:from>
    <xdr:ext cx="304800" cy="304800"/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01DE62FF-13B5-464F-BAC1-94C48619ED5F}"/>
            </a:ext>
          </a:extLst>
        </xdr:cNvPr>
        <xdr:cNvSpPr>
          <a:spLocks noChangeAspect="1" noChangeArrowheads="1"/>
        </xdr:cNvSpPr>
      </xdr:nvSpPr>
      <xdr:spPr bwMode="auto">
        <a:xfrm>
          <a:off x="1390650" y="523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27</xdr:row>
      <xdr:rowOff>0</xdr:rowOff>
    </xdr:from>
    <xdr:ext cx="304800" cy="304800"/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51D7B956-3E9F-41DB-9738-81CB695619B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523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27</xdr:row>
      <xdr:rowOff>0</xdr:rowOff>
    </xdr:from>
    <xdr:ext cx="304800" cy="304800"/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EF08E8B3-BC1B-4A9C-BCC2-CA5AC99DD45C}"/>
            </a:ext>
          </a:extLst>
        </xdr:cNvPr>
        <xdr:cNvSpPr>
          <a:spLocks noChangeAspect="1" noChangeArrowheads="1"/>
        </xdr:cNvSpPr>
      </xdr:nvSpPr>
      <xdr:spPr bwMode="auto">
        <a:xfrm>
          <a:off x="1390650" y="523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27</xdr:row>
      <xdr:rowOff>0</xdr:rowOff>
    </xdr:from>
    <xdr:ext cx="304800" cy="304800"/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D48F4180-F893-447C-891F-BB7422E38983}"/>
            </a:ext>
          </a:extLst>
        </xdr:cNvPr>
        <xdr:cNvSpPr>
          <a:spLocks noChangeAspect="1" noChangeArrowheads="1"/>
        </xdr:cNvSpPr>
      </xdr:nvSpPr>
      <xdr:spPr bwMode="auto">
        <a:xfrm>
          <a:off x="1390650" y="523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27</xdr:row>
      <xdr:rowOff>0</xdr:rowOff>
    </xdr:from>
    <xdr:ext cx="304800" cy="304800"/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392605B5-AF1B-4422-9D1A-3F71FC397B5F}"/>
            </a:ext>
          </a:extLst>
        </xdr:cNvPr>
        <xdr:cNvSpPr>
          <a:spLocks noChangeAspect="1" noChangeArrowheads="1"/>
        </xdr:cNvSpPr>
      </xdr:nvSpPr>
      <xdr:spPr bwMode="auto">
        <a:xfrm>
          <a:off x="1390650" y="523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27</xdr:row>
      <xdr:rowOff>0</xdr:rowOff>
    </xdr:from>
    <xdr:ext cx="304800" cy="304800"/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4D0DDD20-69EC-407A-8893-0D30BCE4E93E}"/>
            </a:ext>
          </a:extLst>
        </xdr:cNvPr>
        <xdr:cNvSpPr>
          <a:spLocks noChangeAspect="1" noChangeArrowheads="1"/>
        </xdr:cNvSpPr>
      </xdr:nvSpPr>
      <xdr:spPr bwMode="auto">
        <a:xfrm>
          <a:off x="1390650" y="523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27</xdr:row>
      <xdr:rowOff>0</xdr:rowOff>
    </xdr:from>
    <xdr:ext cx="304800" cy="304800"/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367E1E06-9B41-49D1-8B38-7E2A49425B9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523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27</xdr:row>
      <xdr:rowOff>0</xdr:rowOff>
    </xdr:from>
    <xdr:ext cx="304800" cy="304800"/>
    <xdr:sp macro="" textlink="">
      <xdr:nvSpPr>
        <xdr:cNvPr id="11" name="AutoShape 1">
          <a:extLst>
            <a:ext uri="{FF2B5EF4-FFF2-40B4-BE49-F238E27FC236}">
              <a16:creationId xmlns:a16="http://schemas.microsoft.com/office/drawing/2014/main" id="{7F7945AF-3C19-4228-A56A-FB0EAC61FB81}"/>
            </a:ext>
          </a:extLst>
        </xdr:cNvPr>
        <xdr:cNvSpPr>
          <a:spLocks noChangeAspect="1" noChangeArrowheads="1"/>
        </xdr:cNvSpPr>
      </xdr:nvSpPr>
      <xdr:spPr bwMode="auto">
        <a:xfrm>
          <a:off x="1390650" y="523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27</xdr:row>
      <xdr:rowOff>0</xdr:rowOff>
    </xdr:from>
    <xdr:ext cx="304800" cy="304800"/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07055A2D-18BE-4712-84D7-BDC446005E66}"/>
            </a:ext>
          </a:extLst>
        </xdr:cNvPr>
        <xdr:cNvSpPr>
          <a:spLocks noChangeAspect="1" noChangeArrowheads="1"/>
        </xdr:cNvSpPr>
      </xdr:nvSpPr>
      <xdr:spPr bwMode="auto">
        <a:xfrm>
          <a:off x="1390650" y="523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27</xdr:row>
      <xdr:rowOff>0</xdr:rowOff>
    </xdr:from>
    <xdr:ext cx="304800" cy="304800"/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2A9D8F85-6B12-4D68-98CC-874EFDFA97D3}"/>
            </a:ext>
          </a:extLst>
        </xdr:cNvPr>
        <xdr:cNvSpPr>
          <a:spLocks noChangeAspect="1" noChangeArrowheads="1"/>
        </xdr:cNvSpPr>
      </xdr:nvSpPr>
      <xdr:spPr bwMode="auto">
        <a:xfrm>
          <a:off x="1390650" y="523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27</xdr:row>
      <xdr:rowOff>0</xdr:rowOff>
    </xdr:from>
    <xdr:ext cx="304800" cy="304800"/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5E8C2BF5-63F8-44E9-B99A-D78C1B8F286C}"/>
            </a:ext>
          </a:extLst>
        </xdr:cNvPr>
        <xdr:cNvSpPr>
          <a:spLocks noChangeAspect="1" noChangeArrowheads="1"/>
        </xdr:cNvSpPr>
      </xdr:nvSpPr>
      <xdr:spPr bwMode="auto">
        <a:xfrm>
          <a:off x="1390650" y="523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27</xdr:row>
      <xdr:rowOff>0</xdr:rowOff>
    </xdr:from>
    <xdr:ext cx="304800" cy="304800"/>
    <xdr:sp macro="" textlink="">
      <xdr:nvSpPr>
        <xdr:cNvPr id="15" name="AutoShape 1">
          <a:extLst>
            <a:ext uri="{FF2B5EF4-FFF2-40B4-BE49-F238E27FC236}">
              <a16:creationId xmlns:a16="http://schemas.microsoft.com/office/drawing/2014/main" id="{13C6E688-5B52-4FE1-B238-8AB2548B7D9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523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27</xdr:row>
      <xdr:rowOff>0</xdr:rowOff>
    </xdr:from>
    <xdr:ext cx="304800" cy="304800"/>
    <xdr:sp macro="" textlink="">
      <xdr:nvSpPr>
        <xdr:cNvPr id="16" name="AutoShape 1">
          <a:extLst>
            <a:ext uri="{FF2B5EF4-FFF2-40B4-BE49-F238E27FC236}">
              <a16:creationId xmlns:a16="http://schemas.microsoft.com/office/drawing/2014/main" id="{CFBF174B-9B81-4B62-9CB8-3A729397192E}"/>
            </a:ext>
          </a:extLst>
        </xdr:cNvPr>
        <xdr:cNvSpPr>
          <a:spLocks noChangeAspect="1" noChangeArrowheads="1"/>
        </xdr:cNvSpPr>
      </xdr:nvSpPr>
      <xdr:spPr bwMode="auto">
        <a:xfrm>
          <a:off x="1390650" y="523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27</xdr:row>
      <xdr:rowOff>0</xdr:rowOff>
    </xdr:from>
    <xdr:ext cx="304800" cy="304800"/>
    <xdr:sp macro="" textlink="">
      <xdr:nvSpPr>
        <xdr:cNvPr id="17" name="AutoShape 1">
          <a:extLst>
            <a:ext uri="{FF2B5EF4-FFF2-40B4-BE49-F238E27FC236}">
              <a16:creationId xmlns:a16="http://schemas.microsoft.com/office/drawing/2014/main" id="{4FAB980B-0BF4-4D77-9836-0BBC82738E01}"/>
            </a:ext>
          </a:extLst>
        </xdr:cNvPr>
        <xdr:cNvSpPr>
          <a:spLocks noChangeAspect="1" noChangeArrowheads="1"/>
        </xdr:cNvSpPr>
      </xdr:nvSpPr>
      <xdr:spPr bwMode="auto">
        <a:xfrm>
          <a:off x="1390650" y="523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27</xdr:row>
      <xdr:rowOff>0</xdr:rowOff>
    </xdr:from>
    <xdr:ext cx="304800" cy="304800"/>
    <xdr:sp macro="" textlink="">
      <xdr:nvSpPr>
        <xdr:cNvPr id="18" name="AutoShape 1">
          <a:extLst>
            <a:ext uri="{FF2B5EF4-FFF2-40B4-BE49-F238E27FC236}">
              <a16:creationId xmlns:a16="http://schemas.microsoft.com/office/drawing/2014/main" id="{7C62813F-4DBE-4353-A774-584023EF4D59}"/>
            </a:ext>
          </a:extLst>
        </xdr:cNvPr>
        <xdr:cNvSpPr>
          <a:spLocks noChangeAspect="1" noChangeArrowheads="1"/>
        </xdr:cNvSpPr>
      </xdr:nvSpPr>
      <xdr:spPr bwMode="auto">
        <a:xfrm>
          <a:off x="1390650" y="523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27</xdr:row>
      <xdr:rowOff>0</xdr:rowOff>
    </xdr:from>
    <xdr:ext cx="304800" cy="304800"/>
    <xdr:sp macro="" textlink="">
      <xdr:nvSpPr>
        <xdr:cNvPr id="19" name="AutoShape 1">
          <a:extLst>
            <a:ext uri="{FF2B5EF4-FFF2-40B4-BE49-F238E27FC236}">
              <a16:creationId xmlns:a16="http://schemas.microsoft.com/office/drawing/2014/main" id="{03690D18-BF33-493C-9296-CFB601A7E40A}"/>
            </a:ext>
          </a:extLst>
        </xdr:cNvPr>
        <xdr:cNvSpPr>
          <a:spLocks noChangeAspect="1" noChangeArrowheads="1"/>
        </xdr:cNvSpPr>
      </xdr:nvSpPr>
      <xdr:spPr bwMode="auto">
        <a:xfrm>
          <a:off x="1390650" y="523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27</xdr:row>
      <xdr:rowOff>0</xdr:rowOff>
    </xdr:from>
    <xdr:ext cx="304800" cy="304800"/>
    <xdr:sp macro="" textlink="">
      <xdr:nvSpPr>
        <xdr:cNvPr id="20" name="AutoShape 1">
          <a:extLst>
            <a:ext uri="{FF2B5EF4-FFF2-40B4-BE49-F238E27FC236}">
              <a16:creationId xmlns:a16="http://schemas.microsoft.com/office/drawing/2014/main" id="{4DA042B6-AC4D-4E0A-BEC7-263C617F255C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523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27</xdr:row>
      <xdr:rowOff>0</xdr:rowOff>
    </xdr:from>
    <xdr:ext cx="304800" cy="304800"/>
    <xdr:sp macro="" textlink="">
      <xdr:nvSpPr>
        <xdr:cNvPr id="21" name="AutoShape 1">
          <a:extLst>
            <a:ext uri="{FF2B5EF4-FFF2-40B4-BE49-F238E27FC236}">
              <a16:creationId xmlns:a16="http://schemas.microsoft.com/office/drawing/2014/main" id="{CE6A55C6-F2B3-4F6E-904E-D754DE3DB336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523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27</xdr:row>
      <xdr:rowOff>0</xdr:rowOff>
    </xdr:from>
    <xdr:ext cx="304800" cy="304800"/>
    <xdr:sp macro="" textlink="">
      <xdr:nvSpPr>
        <xdr:cNvPr id="22" name="AutoShape 1">
          <a:extLst>
            <a:ext uri="{FF2B5EF4-FFF2-40B4-BE49-F238E27FC236}">
              <a16:creationId xmlns:a16="http://schemas.microsoft.com/office/drawing/2014/main" id="{6E4516E7-8B63-49FB-87B1-C196E7C4B9CA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523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27</xdr:row>
      <xdr:rowOff>0</xdr:rowOff>
    </xdr:from>
    <xdr:ext cx="304800" cy="304800"/>
    <xdr:sp macro="" textlink="">
      <xdr:nvSpPr>
        <xdr:cNvPr id="23" name="AutoShape 1">
          <a:extLst>
            <a:ext uri="{FF2B5EF4-FFF2-40B4-BE49-F238E27FC236}">
              <a16:creationId xmlns:a16="http://schemas.microsoft.com/office/drawing/2014/main" id="{6D246BC0-67CF-494A-AD13-36EA7FF56C49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523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27</xdr:row>
      <xdr:rowOff>0</xdr:rowOff>
    </xdr:from>
    <xdr:ext cx="304800" cy="304800"/>
    <xdr:sp macro="" textlink="">
      <xdr:nvSpPr>
        <xdr:cNvPr id="24" name="AutoShape 1">
          <a:extLst>
            <a:ext uri="{FF2B5EF4-FFF2-40B4-BE49-F238E27FC236}">
              <a16:creationId xmlns:a16="http://schemas.microsoft.com/office/drawing/2014/main" id="{FE105B0F-6EDA-402A-97D1-6D5E12B9A7FA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523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27</xdr:row>
      <xdr:rowOff>0</xdr:rowOff>
    </xdr:from>
    <xdr:ext cx="304800" cy="304800"/>
    <xdr:sp macro="" textlink="">
      <xdr:nvSpPr>
        <xdr:cNvPr id="25" name="AutoShape 1">
          <a:extLst>
            <a:ext uri="{FF2B5EF4-FFF2-40B4-BE49-F238E27FC236}">
              <a16:creationId xmlns:a16="http://schemas.microsoft.com/office/drawing/2014/main" id="{F8C6AE5E-FC1A-4318-B9D8-C6EC01A02BBF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523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27</xdr:row>
      <xdr:rowOff>0</xdr:rowOff>
    </xdr:from>
    <xdr:ext cx="304800" cy="304800"/>
    <xdr:sp macro="" textlink="">
      <xdr:nvSpPr>
        <xdr:cNvPr id="26" name="AutoShape 1">
          <a:extLst>
            <a:ext uri="{FF2B5EF4-FFF2-40B4-BE49-F238E27FC236}">
              <a16:creationId xmlns:a16="http://schemas.microsoft.com/office/drawing/2014/main" id="{908D959F-153B-4CEA-BE46-3AA06526A1BE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523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27</xdr:row>
      <xdr:rowOff>0</xdr:rowOff>
    </xdr:from>
    <xdr:ext cx="304800" cy="304800"/>
    <xdr:sp macro="" textlink="">
      <xdr:nvSpPr>
        <xdr:cNvPr id="27" name="AutoShape 1">
          <a:extLst>
            <a:ext uri="{FF2B5EF4-FFF2-40B4-BE49-F238E27FC236}">
              <a16:creationId xmlns:a16="http://schemas.microsoft.com/office/drawing/2014/main" id="{E3339910-CDC2-4580-80AC-8FB64CCBE4C3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523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27</xdr:row>
      <xdr:rowOff>0</xdr:rowOff>
    </xdr:from>
    <xdr:ext cx="304800" cy="304800"/>
    <xdr:sp macro="" textlink="">
      <xdr:nvSpPr>
        <xdr:cNvPr id="28" name="AutoShape 1">
          <a:extLst>
            <a:ext uri="{FF2B5EF4-FFF2-40B4-BE49-F238E27FC236}">
              <a16:creationId xmlns:a16="http://schemas.microsoft.com/office/drawing/2014/main" id="{38FD85B7-25AA-4E7F-A832-14338A1280E3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523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27</xdr:row>
      <xdr:rowOff>0</xdr:rowOff>
    </xdr:from>
    <xdr:ext cx="304800" cy="304800"/>
    <xdr:sp macro="" textlink="">
      <xdr:nvSpPr>
        <xdr:cNvPr id="29" name="AutoShape 1">
          <a:extLst>
            <a:ext uri="{FF2B5EF4-FFF2-40B4-BE49-F238E27FC236}">
              <a16:creationId xmlns:a16="http://schemas.microsoft.com/office/drawing/2014/main" id="{AB372DCF-7813-43E6-9A5A-04B7501F1094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523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27</xdr:row>
      <xdr:rowOff>0</xdr:rowOff>
    </xdr:from>
    <xdr:ext cx="304800" cy="304800"/>
    <xdr:sp macro="" textlink="">
      <xdr:nvSpPr>
        <xdr:cNvPr id="30" name="AutoShape 1">
          <a:extLst>
            <a:ext uri="{FF2B5EF4-FFF2-40B4-BE49-F238E27FC236}">
              <a16:creationId xmlns:a16="http://schemas.microsoft.com/office/drawing/2014/main" id="{AD1CBDE0-E2B2-4977-909D-B84775F60D42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523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27</xdr:row>
      <xdr:rowOff>0</xdr:rowOff>
    </xdr:from>
    <xdr:ext cx="304800" cy="304800"/>
    <xdr:sp macro="" textlink="">
      <xdr:nvSpPr>
        <xdr:cNvPr id="31" name="AutoShape 1">
          <a:extLst>
            <a:ext uri="{FF2B5EF4-FFF2-40B4-BE49-F238E27FC236}">
              <a16:creationId xmlns:a16="http://schemas.microsoft.com/office/drawing/2014/main" id="{3FACFBD8-C2E1-4CB0-8A27-F70EC8ABADC8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523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27</xdr:row>
      <xdr:rowOff>0</xdr:rowOff>
    </xdr:from>
    <xdr:ext cx="304800" cy="304800"/>
    <xdr:sp macro="" textlink="">
      <xdr:nvSpPr>
        <xdr:cNvPr id="32" name="AutoShape 1">
          <a:extLst>
            <a:ext uri="{FF2B5EF4-FFF2-40B4-BE49-F238E27FC236}">
              <a16:creationId xmlns:a16="http://schemas.microsoft.com/office/drawing/2014/main" id="{B800697F-BD47-4925-8F0E-42BF5CFB12C2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523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27</xdr:row>
      <xdr:rowOff>0</xdr:rowOff>
    </xdr:from>
    <xdr:ext cx="304800" cy="304800"/>
    <xdr:sp macro="" textlink="">
      <xdr:nvSpPr>
        <xdr:cNvPr id="33" name="AutoShape 1">
          <a:extLst>
            <a:ext uri="{FF2B5EF4-FFF2-40B4-BE49-F238E27FC236}">
              <a16:creationId xmlns:a16="http://schemas.microsoft.com/office/drawing/2014/main" id="{F5E14FE3-A8D1-4150-93E1-40E796A25552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523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27</xdr:row>
      <xdr:rowOff>0</xdr:rowOff>
    </xdr:from>
    <xdr:ext cx="304800" cy="304800"/>
    <xdr:sp macro="" textlink="">
      <xdr:nvSpPr>
        <xdr:cNvPr id="34" name="AutoShape 1">
          <a:extLst>
            <a:ext uri="{FF2B5EF4-FFF2-40B4-BE49-F238E27FC236}">
              <a16:creationId xmlns:a16="http://schemas.microsoft.com/office/drawing/2014/main" id="{C7B89C6C-4823-422C-A1A2-540044F0E36E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523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27</xdr:row>
      <xdr:rowOff>0</xdr:rowOff>
    </xdr:from>
    <xdr:ext cx="304800" cy="304800"/>
    <xdr:sp macro="" textlink="">
      <xdr:nvSpPr>
        <xdr:cNvPr id="35" name="AutoShape 1">
          <a:extLst>
            <a:ext uri="{FF2B5EF4-FFF2-40B4-BE49-F238E27FC236}">
              <a16:creationId xmlns:a16="http://schemas.microsoft.com/office/drawing/2014/main" id="{03A495DA-DD2C-4B43-A162-377A661A00E4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523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27</xdr:row>
      <xdr:rowOff>0</xdr:rowOff>
    </xdr:from>
    <xdr:ext cx="304800" cy="304800"/>
    <xdr:sp macro="" textlink="">
      <xdr:nvSpPr>
        <xdr:cNvPr id="36" name="AutoShape 1">
          <a:extLst>
            <a:ext uri="{FF2B5EF4-FFF2-40B4-BE49-F238E27FC236}">
              <a16:creationId xmlns:a16="http://schemas.microsoft.com/office/drawing/2014/main" id="{AE9EE9B9-5CD7-409F-9CF2-BFF1D85F33B2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523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27</xdr:row>
      <xdr:rowOff>0</xdr:rowOff>
    </xdr:from>
    <xdr:ext cx="304800" cy="304800"/>
    <xdr:sp macro="" textlink="">
      <xdr:nvSpPr>
        <xdr:cNvPr id="37" name="AutoShape 1">
          <a:extLst>
            <a:ext uri="{FF2B5EF4-FFF2-40B4-BE49-F238E27FC236}">
              <a16:creationId xmlns:a16="http://schemas.microsoft.com/office/drawing/2014/main" id="{50D5757A-A2DA-4392-8713-4DAC4EB9FC38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523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27</xdr:row>
      <xdr:rowOff>0</xdr:rowOff>
    </xdr:from>
    <xdr:ext cx="304800" cy="304800"/>
    <xdr:sp macro="" textlink="">
      <xdr:nvSpPr>
        <xdr:cNvPr id="38" name="AutoShape 1">
          <a:extLst>
            <a:ext uri="{FF2B5EF4-FFF2-40B4-BE49-F238E27FC236}">
              <a16:creationId xmlns:a16="http://schemas.microsoft.com/office/drawing/2014/main" id="{3525DCD2-EF43-4977-A099-452C5FD8FD9F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523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27</xdr:row>
      <xdr:rowOff>0</xdr:rowOff>
    </xdr:from>
    <xdr:ext cx="304800" cy="304800"/>
    <xdr:sp macro="" textlink="">
      <xdr:nvSpPr>
        <xdr:cNvPr id="39" name="AutoShape 1">
          <a:extLst>
            <a:ext uri="{FF2B5EF4-FFF2-40B4-BE49-F238E27FC236}">
              <a16:creationId xmlns:a16="http://schemas.microsoft.com/office/drawing/2014/main" id="{6EC113B6-E7EC-457A-AD1C-0608FAA8B325}"/>
            </a:ext>
            <a:ext uri="{147F2762-F138-4A5C-976F-8EAC2B608ADB}">
              <a16:predDERef xmlns:a16="http://schemas.microsoft.com/office/drawing/2014/main" pred="{A9C9C4DB-4B97-447C-9099-E87BCB3C537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523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27</xdr:row>
      <xdr:rowOff>0</xdr:rowOff>
    </xdr:from>
    <xdr:ext cx="304800" cy="304800"/>
    <xdr:sp macro="" textlink="">
      <xdr:nvSpPr>
        <xdr:cNvPr id="40" name="AutoShape 1">
          <a:extLst>
            <a:ext uri="{FF2B5EF4-FFF2-40B4-BE49-F238E27FC236}">
              <a16:creationId xmlns:a16="http://schemas.microsoft.com/office/drawing/2014/main" id="{621CA2EA-8441-4B23-BCE9-797ADEE835AB}"/>
            </a:ext>
            <a:ext uri="{147F2762-F138-4A5C-976F-8EAC2B608ADB}">
              <a16:predDERef xmlns:a16="http://schemas.microsoft.com/office/drawing/2014/main" pred="{CD89554D-BD76-42AD-819A-278AD445B86E}"/>
            </a:ext>
          </a:extLst>
        </xdr:cNvPr>
        <xdr:cNvSpPr>
          <a:spLocks noChangeAspect="1" noChangeArrowheads="1"/>
        </xdr:cNvSpPr>
      </xdr:nvSpPr>
      <xdr:spPr bwMode="auto">
        <a:xfrm>
          <a:off x="1390650" y="523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68</xdr:row>
      <xdr:rowOff>0</xdr:rowOff>
    </xdr:from>
    <xdr:ext cx="304800" cy="304800"/>
    <xdr:sp macro="" textlink="">
      <xdr:nvSpPr>
        <xdr:cNvPr id="41" name="AutoShape 1">
          <a:extLst>
            <a:ext uri="{FF2B5EF4-FFF2-40B4-BE49-F238E27FC236}">
              <a16:creationId xmlns:a16="http://schemas.microsoft.com/office/drawing/2014/main" id="{3818C3CA-07E7-4FE7-B590-51E963F53B77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98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68</xdr:row>
      <xdr:rowOff>0</xdr:rowOff>
    </xdr:from>
    <xdr:ext cx="304800" cy="304800"/>
    <xdr:sp macro="" textlink="">
      <xdr:nvSpPr>
        <xdr:cNvPr id="42" name="AutoShape 1">
          <a:extLst>
            <a:ext uri="{FF2B5EF4-FFF2-40B4-BE49-F238E27FC236}">
              <a16:creationId xmlns:a16="http://schemas.microsoft.com/office/drawing/2014/main" id="{6988E748-F055-4E5B-8CC6-3A908E621E7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98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77</xdr:row>
      <xdr:rowOff>0</xdr:rowOff>
    </xdr:from>
    <xdr:ext cx="304800" cy="304800"/>
    <xdr:sp macro="" textlink="">
      <xdr:nvSpPr>
        <xdr:cNvPr id="43" name="AutoShape 1">
          <a:extLst>
            <a:ext uri="{FF2B5EF4-FFF2-40B4-BE49-F238E27FC236}">
              <a16:creationId xmlns:a16="http://schemas.microsoft.com/office/drawing/2014/main" id="{A1D029D5-9168-4566-AD4C-E85D4A6A2673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469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77</xdr:row>
      <xdr:rowOff>0</xdr:rowOff>
    </xdr:from>
    <xdr:ext cx="304800" cy="304800"/>
    <xdr:sp macro="" textlink="">
      <xdr:nvSpPr>
        <xdr:cNvPr id="44" name="AutoShape 1">
          <a:extLst>
            <a:ext uri="{FF2B5EF4-FFF2-40B4-BE49-F238E27FC236}">
              <a16:creationId xmlns:a16="http://schemas.microsoft.com/office/drawing/2014/main" id="{68784B0E-6E14-479A-A83F-2025F6D8CC8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469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77</xdr:row>
      <xdr:rowOff>0</xdr:rowOff>
    </xdr:from>
    <xdr:ext cx="304800" cy="304800"/>
    <xdr:sp macro="" textlink="">
      <xdr:nvSpPr>
        <xdr:cNvPr id="45" name="AutoShape 1">
          <a:extLst>
            <a:ext uri="{FF2B5EF4-FFF2-40B4-BE49-F238E27FC236}">
              <a16:creationId xmlns:a16="http://schemas.microsoft.com/office/drawing/2014/main" id="{955C0DEF-7777-4B5C-A77F-6546EE2A7BB6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469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77</xdr:row>
      <xdr:rowOff>0</xdr:rowOff>
    </xdr:from>
    <xdr:ext cx="304800" cy="304800"/>
    <xdr:sp macro="" textlink="">
      <xdr:nvSpPr>
        <xdr:cNvPr id="46" name="AutoShape 1">
          <a:extLst>
            <a:ext uri="{FF2B5EF4-FFF2-40B4-BE49-F238E27FC236}">
              <a16:creationId xmlns:a16="http://schemas.microsoft.com/office/drawing/2014/main" id="{C053A94F-32F8-4AF7-A816-8B868D8E26C6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469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77</xdr:row>
      <xdr:rowOff>0</xdr:rowOff>
    </xdr:from>
    <xdr:ext cx="304800" cy="304800"/>
    <xdr:sp macro="" textlink="">
      <xdr:nvSpPr>
        <xdr:cNvPr id="47" name="AutoShape 1">
          <a:extLst>
            <a:ext uri="{FF2B5EF4-FFF2-40B4-BE49-F238E27FC236}">
              <a16:creationId xmlns:a16="http://schemas.microsoft.com/office/drawing/2014/main" id="{A6EC226F-B389-4BE1-A56A-2D31F7DCD4AA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469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77</xdr:row>
      <xdr:rowOff>0</xdr:rowOff>
    </xdr:from>
    <xdr:ext cx="304800" cy="304800"/>
    <xdr:sp macro="" textlink="">
      <xdr:nvSpPr>
        <xdr:cNvPr id="48" name="AutoShape 1">
          <a:extLst>
            <a:ext uri="{FF2B5EF4-FFF2-40B4-BE49-F238E27FC236}">
              <a16:creationId xmlns:a16="http://schemas.microsoft.com/office/drawing/2014/main" id="{B276D2B4-3DAD-4C61-A664-CC09A16FE2EB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469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77</xdr:row>
      <xdr:rowOff>0</xdr:rowOff>
    </xdr:from>
    <xdr:ext cx="304800" cy="304800"/>
    <xdr:sp macro="" textlink="">
      <xdr:nvSpPr>
        <xdr:cNvPr id="49" name="AutoShape 1">
          <a:extLst>
            <a:ext uri="{FF2B5EF4-FFF2-40B4-BE49-F238E27FC236}">
              <a16:creationId xmlns:a16="http://schemas.microsoft.com/office/drawing/2014/main" id="{269B9EE2-CA0D-4E57-9FD3-18F923FCCB3A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469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77</xdr:row>
      <xdr:rowOff>0</xdr:rowOff>
    </xdr:from>
    <xdr:ext cx="304800" cy="304800"/>
    <xdr:sp macro="" textlink="">
      <xdr:nvSpPr>
        <xdr:cNvPr id="50" name="AutoShape 1">
          <a:extLst>
            <a:ext uri="{FF2B5EF4-FFF2-40B4-BE49-F238E27FC236}">
              <a16:creationId xmlns:a16="http://schemas.microsoft.com/office/drawing/2014/main" id="{87A7035F-947E-4F25-8D68-6F4EF4D890CB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469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77</xdr:row>
      <xdr:rowOff>0</xdr:rowOff>
    </xdr:from>
    <xdr:ext cx="304800" cy="304800"/>
    <xdr:sp macro="" textlink="">
      <xdr:nvSpPr>
        <xdr:cNvPr id="51" name="AutoShape 1">
          <a:extLst>
            <a:ext uri="{FF2B5EF4-FFF2-40B4-BE49-F238E27FC236}">
              <a16:creationId xmlns:a16="http://schemas.microsoft.com/office/drawing/2014/main" id="{FF8EFF56-D718-4A60-AE7F-A7690525183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469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77</xdr:row>
      <xdr:rowOff>0</xdr:rowOff>
    </xdr:from>
    <xdr:ext cx="304800" cy="304800"/>
    <xdr:sp macro="" textlink="">
      <xdr:nvSpPr>
        <xdr:cNvPr id="52" name="AutoShape 1">
          <a:extLst>
            <a:ext uri="{FF2B5EF4-FFF2-40B4-BE49-F238E27FC236}">
              <a16:creationId xmlns:a16="http://schemas.microsoft.com/office/drawing/2014/main" id="{1AB3E91F-B50E-444B-8744-29F9C348EDBA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469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77</xdr:row>
      <xdr:rowOff>0</xdr:rowOff>
    </xdr:from>
    <xdr:ext cx="304800" cy="304800"/>
    <xdr:sp macro="" textlink="">
      <xdr:nvSpPr>
        <xdr:cNvPr id="53" name="AutoShape 1">
          <a:extLst>
            <a:ext uri="{FF2B5EF4-FFF2-40B4-BE49-F238E27FC236}">
              <a16:creationId xmlns:a16="http://schemas.microsoft.com/office/drawing/2014/main" id="{C33D9FBE-F4A4-49DE-8756-863679B4C15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469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77</xdr:row>
      <xdr:rowOff>0</xdr:rowOff>
    </xdr:from>
    <xdr:ext cx="304800" cy="304800"/>
    <xdr:sp macro="" textlink="">
      <xdr:nvSpPr>
        <xdr:cNvPr id="54" name="AutoShape 1">
          <a:extLst>
            <a:ext uri="{FF2B5EF4-FFF2-40B4-BE49-F238E27FC236}">
              <a16:creationId xmlns:a16="http://schemas.microsoft.com/office/drawing/2014/main" id="{4A470341-790A-48F5-822A-F7B671C7D96E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469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77</xdr:row>
      <xdr:rowOff>0</xdr:rowOff>
    </xdr:from>
    <xdr:ext cx="304800" cy="304800"/>
    <xdr:sp macro="" textlink="">
      <xdr:nvSpPr>
        <xdr:cNvPr id="55" name="AutoShape 1">
          <a:extLst>
            <a:ext uri="{FF2B5EF4-FFF2-40B4-BE49-F238E27FC236}">
              <a16:creationId xmlns:a16="http://schemas.microsoft.com/office/drawing/2014/main" id="{47F5FAF5-491E-4CC0-9AB0-976435908FE1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469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77</xdr:row>
      <xdr:rowOff>0</xdr:rowOff>
    </xdr:from>
    <xdr:ext cx="304800" cy="304800"/>
    <xdr:sp macro="" textlink="">
      <xdr:nvSpPr>
        <xdr:cNvPr id="56" name="AutoShape 1">
          <a:extLst>
            <a:ext uri="{FF2B5EF4-FFF2-40B4-BE49-F238E27FC236}">
              <a16:creationId xmlns:a16="http://schemas.microsoft.com/office/drawing/2014/main" id="{4EB1975A-B7EB-4227-AA92-963F83B470BB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469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77</xdr:row>
      <xdr:rowOff>0</xdr:rowOff>
    </xdr:from>
    <xdr:ext cx="304800" cy="304800"/>
    <xdr:sp macro="" textlink="">
      <xdr:nvSpPr>
        <xdr:cNvPr id="57" name="AutoShape 1">
          <a:extLst>
            <a:ext uri="{FF2B5EF4-FFF2-40B4-BE49-F238E27FC236}">
              <a16:creationId xmlns:a16="http://schemas.microsoft.com/office/drawing/2014/main" id="{A2012959-54C3-4B2E-BE3F-FDCC4CD784DC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469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77</xdr:row>
      <xdr:rowOff>0</xdr:rowOff>
    </xdr:from>
    <xdr:ext cx="304800" cy="304800"/>
    <xdr:sp macro="" textlink="">
      <xdr:nvSpPr>
        <xdr:cNvPr id="58" name="AutoShape 1">
          <a:extLst>
            <a:ext uri="{FF2B5EF4-FFF2-40B4-BE49-F238E27FC236}">
              <a16:creationId xmlns:a16="http://schemas.microsoft.com/office/drawing/2014/main" id="{AE2FDA77-0F33-42DD-9B05-A4C20DDBDC74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469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77</xdr:row>
      <xdr:rowOff>0</xdr:rowOff>
    </xdr:from>
    <xdr:ext cx="304800" cy="304800"/>
    <xdr:sp macro="" textlink="">
      <xdr:nvSpPr>
        <xdr:cNvPr id="59" name="AutoShape 1">
          <a:extLst>
            <a:ext uri="{FF2B5EF4-FFF2-40B4-BE49-F238E27FC236}">
              <a16:creationId xmlns:a16="http://schemas.microsoft.com/office/drawing/2014/main" id="{5F63D3FC-A9FC-4E31-9476-6D630DD0D3C5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469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77</xdr:row>
      <xdr:rowOff>0</xdr:rowOff>
    </xdr:from>
    <xdr:ext cx="304800" cy="304800"/>
    <xdr:sp macro="" textlink="">
      <xdr:nvSpPr>
        <xdr:cNvPr id="60" name="AutoShape 1">
          <a:extLst>
            <a:ext uri="{FF2B5EF4-FFF2-40B4-BE49-F238E27FC236}">
              <a16:creationId xmlns:a16="http://schemas.microsoft.com/office/drawing/2014/main" id="{036AF706-0DC4-4ABE-B9B4-DF0E3D027C54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469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77</xdr:row>
      <xdr:rowOff>0</xdr:rowOff>
    </xdr:from>
    <xdr:ext cx="304800" cy="304800"/>
    <xdr:sp macro="" textlink="">
      <xdr:nvSpPr>
        <xdr:cNvPr id="61" name="AutoShape 1">
          <a:extLst>
            <a:ext uri="{FF2B5EF4-FFF2-40B4-BE49-F238E27FC236}">
              <a16:creationId xmlns:a16="http://schemas.microsoft.com/office/drawing/2014/main" id="{B01AF8AD-01D1-4045-8021-45351227B11F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469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77</xdr:row>
      <xdr:rowOff>0</xdr:rowOff>
    </xdr:from>
    <xdr:ext cx="304800" cy="304800"/>
    <xdr:sp macro="" textlink="">
      <xdr:nvSpPr>
        <xdr:cNvPr id="62" name="AutoShape 1">
          <a:extLst>
            <a:ext uri="{FF2B5EF4-FFF2-40B4-BE49-F238E27FC236}">
              <a16:creationId xmlns:a16="http://schemas.microsoft.com/office/drawing/2014/main" id="{B655CDC7-90D5-451B-A859-1CC4342924F8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469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77</xdr:row>
      <xdr:rowOff>0</xdr:rowOff>
    </xdr:from>
    <xdr:ext cx="304800" cy="304800"/>
    <xdr:sp macro="" textlink="">
      <xdr:nvSpPr>
        <xdr:cNvPr id="63" name="AutoShape 1">
          <a:extLst>
            <a:ext uri="{FF2B5EF4-FFF2-40B4-BE49-F238E27FC236}">
              <a16:creationId xmlns:a16="http://schemas.microsoft.com/office/drawing/2014/main" id="{1DB64477-A569-4933-BCDD-A27DB44D9643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469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77</xdr:row>
      <xdr:rowOff>0</xdr:rowOff>
    </xdr:from>
    <xdr:ext cx="304800" cy="304800"/>
    <xdr:sp macro="" textlink="">
      <xdr:nvSpPr>
        <xdr:cNvPr id="64" name="AutoShape 1">
          <a:extLst>
            <a:ext uri="{FF2B5EF4-FFF2-40B4-BE49-F238E27FC236}">
              <a16:creationId xmlns:a16="http://schemas.microsoft.com/office/drawing/2014/main" id="{8A7120EC-6149-48EB-A2A6-257A93E1836D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469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77</xdr:row>
      <xdr:rowOff>0</xdr:rowOff>
    </xdr:from>
    <xdr:ext cx="304800" cy="304800"/>
    <xdr:sp macro="" textlink="">
      <xdr:nvSpPr>
        <xdr:cNvPr id="65" name="AutoShape 1">
          <a:extLst>
            <a:ext uri="{FF2B5EF4-FFF2-40B4-BE49-F238E27FC236}">
              <a16:creationId xmlns:a16="http://schemas.microsoft.com/office/drawing/2014/main" id="{DD7A08ED-D37F-4D19-8313-61E43E198856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469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77</xdr:row>
      <xdr:rowOff>0</xdr:rowOff>
    </xdr:from>
    <xdr:ext cx="304800" cy="304800"/>
    <xdr:sp macro="" textlink="">
      <xdr:nvSpPr>
        <xdr:cNvPr id="66" name="AutoShape 1">
          <a:extLst>
            <a:ext uri="{FF2B5EF4-FFF2-40B4-BE49-F238E27FC236}">
              <a16:creationId xmlns:a16="http://schemas.microsoft.com/office/drawing/2014/main" id="{DC7806F7-F2EC-41FF-A3C6-A6F361B1EE88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469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77</xdr:row>
      <xdr:rowOff>0</xdr:rowOff>
    </xdr:from>
    <xdr:ext cx="304800" cy="304800"/>
    <xdr:sp macro="" textlink="">
      <xdr:nvSpPr>
        <xdr:cNvPr id="67" name="AutoShape 1">
          <a:extLst>
            <a:ext uri="{FF2B5EF4-FFF2-40B4-BE49-F238E27FC236}">
              <a16:creationId xmlns:a16="http://schemas.microsoft.com/office/drawing/2014/main" id="{0CD32588-E155-4159-AA3D-E60D5DF4B78C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469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77</xdr:row>
      <xdr:rowOff>0</xdr:rowOff>
    </xdr:from>
    <xdr:ext cx="304800" cy="304800"/>
    <xdr:sp macro="" textlink="">
      <xdr:nvSpPr>
        <xdr:cNvPr id="68" name="AutoShape 1">
          <a:extLst>
            <a:ext uri="{FF2B5EF4-FFF2-40B4-BE49-F238E27FC236}">
              <a16:creationId xmlns:a16="http://schemas.microsoft.com/office/drawing/2014/main" id="{2CDF489D-0729-455A-B88F-004C5DDF52B6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469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77</xdr:row>
      <xdr:rowOff>0</xdr:rowOff>
    </xdr:from>
    <xdr:ext cx="304800" cy="304800"/>
    <xdr:sp macro="" textlink="">
      <xdr:nvSpPr>
        <xdr:cNvPr id="69" name="AutoShape 1">
          <a:extLst>
            <a:ext uri="{FF2B5EF4-FFF2-40B4-BE49-F238E27FC236}">
              <a16:creationId xmlns:a16="http://schemas.microsoft.com/office/drawing/2014/main" id="{11071702-F03D-4D7E-9A60-0E0346E3A29F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469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77</xdr:row>
      <xdr:rowOff>0</xdr:rowOff>
    </xdr:from>
    <xdr:ext cx="304800" cy="304800"/>
    <xdr:sp macro="" textlink="">
      <xdr:nvSpPr>
        <xdr:cNvPr id="70" name="AutoShape 1">
          <a:extLst>
            <a:ext uri="{FF2B5EF4-FFF2-40B4-BE49-F238E27FC236}">
              <a16:creationId xmlns:a16="http://schemas.microsoft.com/office/drawing/2014/main" id="{6C98FC6D-46F9-47AB-9898-EDE955780E3F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469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77</xdr:row>
      <xdr:rowOff>0</xdr:rowOff>
    </xdr:from>
    <xdr:ext cx="304800" cy="304800"/>
    <xdr:sp macro="" textlink="">
      <xdr:nvSpPr>
        <xdr:cNvPr id="71" name="AutoShape 1">
          <a:extLst>
            <a:ext uri="{FF2B5EF4-FFF2-40B4-BE49-F238E27FC236}">
              <a16:creationId xmlns:a16="http://schemas.microsoft.com/office/drawing/2014/main" id="{59DE6CEA-E8F0-4BE6-A7E2-EE6123968835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469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77</xdr:row>
      <xdr:rowOff>0</xdr:rowOff>
    </xdr:from>
    <xdr:ext cx="304800" cy="304800"/>
    <xdr:sp macro="" textlink="">
      <xdr:nvSpPr>
        <xdr:cNvPr id="72" name="AutoShape 1">
          <a:extLst>
            <a:ext uri="{FF2B5EF4-FFF2-40B4-BE49-F238E27FC236}">
              <a16:creationId xmlns:a16="http://schemas.microsoft.com/office/drawing/2014/main" id="{EE8ACB2E-F024-4CFA-9BD4-47955A170FDD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469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77</xdr:row>
      <xdr:rowOff>0</xdr:rowOff>
    </xdr:from>
    <xdr:ext cx="304800" cy="304800"/>
    <xdr:sp macro="" textlink="">
      <xdr:nvSpPr>
        <xdr:cNvPr id="73" name="AutoShape 1">
          <a:extLst>
            <a:ext uri="{FF2B5EF4-FFF2-40B4-BE49-F238E27FC236}">
              <a16:creationId xmlns:a16="http://schemas.microsoft.com/office/drawing/2014/main" id="{7C83FE32-627A-4595-A42B-A4190997478D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469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77</xdr:row>
      <xdr:rowOff>0</xdr:rowOff>
    </xdr:from>
    <xdr:ext cx="304800" cy="304800"/>
    <xdr:sp macro="" textlink="">
      <xdr:nvSpPr>
        <xdr:cNvPr id="74" name="AutoShape 1">
          <a:extLst>
            <a:ext uri="{FF2B5EF4-FFF2-40B4-BE49-F238E27FC236}">
              <a16:creationId xmlns:a16="http://schemas.microsoft.com/office/drawing/2014/main" id="{117B65D8-A82A-4780-8FA2-D52A7C740E5F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469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77</xdr:row>
      <xdr:rowOff>0</xdr:rowOff>
    </xdr:from>
    <xdr:ext cx="304800" cy="304800"/>
    <xdr:sp macro="" textlink="">
      <xdr:nvSpPr>
        <xdr:cNvPr id="75" name="AutoShape 1">
          <a:extLst>
            <a:ext uri="{FF2B5EF4-FFF2-40B4-BE49-F238E27FC236}">
              <a16:creationId xmlns:a16="http://schemas.microsoft.com/office/drawing/2014/main" id="{42F79A85-CF5D-4630-BDA9-54BF9A2B970D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469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77</xdr:row>
      <xdr:rowOff>0</xdr:rowOff>
    </xdr:from>
    <xdr:ext cx="304800" cy="304800"/>
    <xdr:sp macro="" textlink="">
      <xdr:nvSpPr>
        <xdr:cNvPr id="76" name="AutoShape 1">
          <a:extLst>
            <a:ext uri="{FF2B5EF4-FFF2-40B4-BE49-F238E27FC236}">
              <a16:creationId xmlns:a16="http://schemas.microsoft.com/office/drawing/2014/main" id="{FC032443-328E-49FF-9A05-63FF9D1DD983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469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77</xdr:row>
      <xdr:rowOff>0</xdr:rowOff>
    </xdr:from>
    <xdr:ext cx="304800" cy="304800"/>
    <xdr:sp macro="" textlink="">
      <xdr:nvSpPr>
        <xdr:cNvPr id="77" name="AutoShape 1">
          <a:extLst>
            <a:ext uri="{FF2B5EF4-FFF2-40B4-BE49-F238E27FC236}">
              <a16:creationId xmlns:a16="http://schemas.microsoft.com/office/drawing/2014/main" id="{9CB6A57D-1623-4704-9682-379F48376D73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469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77</xdr:row>
      <xdr:rowOff>0</xdr:rowOff>
    </xdr:from>
    <xdr:ext cx="304800" cy="304800"/>
    <xdr:sp macro="" textlink="">
      <xdr:nvSpPr>
        <xdr:cNvPr id="78" name="AutoShape 1">
          <a:extLst>
            <a:ext uri="{FF2B5EF4-FFF2-40B4-BE49-F238E27FC236}">
              <a16:creationId xmlns:a16="http://schemas.microsoft.com/office/drawing/2014/main" id="{2582910A-94AF-4BF7-AB9F-67600F10506F}"/>
            </a:ext>
            <a:ext uri="{147F2762-F138-4A5C-976F-8EAC2B608ADB}">
              <a16:predDERef xmlns:a16="http://schemas.microsoft.com/office/drawing/2014/main" pred="{A9C9C4DB-4B97-447C-9099-E87BCB3C537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469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77</xdr:row>
      <xdr:rowOff>0</xdr:rowOff>
    </xdr:from>
    <xdr:ext cx="304800" cy="304800"/>
    <xdr:sp macro="" textlink="">
      <xdr:nvSpPr>
        <xdr:cNvPr id="79" name="AutoShape 1">
          <a:extLst>
            <a:ext uri="{FF2B5EF4-FFF2-40B4-BE49-F238E27FC236}">
              <a16:creationId xmlns:a16="http://schemas.microsoft.com/office/drawing/2014/main" id="{2E7FC70A-323B-4825-A290-8A6C4B8743AC}"/>
            </a:ext>
            <a:ext uri="{147F2762-F138-4A5C-976F-8EAC2B608ADB}">
              <a16:predDERef xmlns:a16="http://schemas.microsoft.com/office/drawing/2014/main" pred="{CD89554D-BD76-42AD-819A-278AD445B86E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469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105</xdr:row>
      <xdr:rowOff>0</xdr:rowOff>
    </xdr:from>
    <xdr:ext cx="304800" cy="304800"/>
    <xdr:sp macro="" textlink="">
      <xdr:nvSpPr>
        <xdr:cNvPr id="80" name="AutoShape 1">
          <a:extLst>
            <a:ext uri="{FF2B5EF4-FFF2-40B4-BE49-F238E27FC236}">
              <a16:creationId xmlns:a16="http://schemas.microsoft.com/office/drawing/2014/main" id="{B904BFC3-26CB-4A55-B34C-6A24DC55D216}"/>
            </a:ext>
          </a:extLst>
        </xdr:cNvPr>
        <xdr:cNvSpPr>
          <a:spLocks noChangeAspect="1" noChangeArrowheads="1"/>
        </xdr:cNvSpPr>
      </xdr:nvSpPr>
      <xdr:spPr bwMode="auto">
        <a:xfrm>
          <a:off x="1390650" y="2005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105</xdr:row>
      <xdr:rowOff>0</xdr:rowOff>
    </xdr:from>
    <xdr:ext cx="304800" cy="304800"/>
    <xdr:sp macro="" textlink="">
      <xdr:nvSpPr>
        <xdr:cNvPr id="81" name="AutoShape 1">
          <a:extLst>
            <a:ext uri="{FF2B5EF4-FFF2-40B4-BE49-F238E27FC236}">
              <a16:creationId xmlns:a16="http://schemas.microsoft.com/office/drawing/2014/main" id="{EBBFDDC0-DADD-4A9B-900B-0FDB7DFD2A2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2005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113</xdr:row>
      <xdr:rowOff>0</xdr:rowOff>
    </xdr:from>
    <xdr:ext cx="304800" cy="304800"/>
    <xdr:sp macro="" textlink="">
      <xdr:nvSpPr>
        <xdr:cNvPr id="82" name="AutoShape 1">
          <a:extLst>
            <a:ext uri="{FF2B5EF4-FFF2-40B4-BE49-F238E27FC236}">
              <a16:creationId xmlns:a16="http://schemas.microsoft.com/office/drawing/2014/main" id="{1D5ED5FB-51CB-432A-BD91-0802BE2FDCB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2154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113</xdr:row>
      <xdr:rowOff>0</xdr:rowOff>
    </xdr:from>
    <xdr:ext cx="304800" cy="304800"/>
    <xdr:sp macro="" textlink="">
      <xdr:nvSpPr>
        <xdr:cNvPr id="83" name="AutoShape 1">
          <a:extLst>
            <a:ext uri="{FF2B5EF4-FFF2-40B4-BE49-F238E27FC236}">
              <a16:creationId xmlns:a16="http://schemas.microsoft.com/office/drawing/2014/main" id="{FAE40956-F585-46BA-9219-88541D9C9D67}"/>
            </a:ext>
          </a:extLst>
        </xdr:cNvPr>
        <xdr:cNvSpPr>
          <a:spLocks noChangeAspect="1" noChangeArrowheads="1"/>
        </xdr:cNvSpPr>
      </xdr:nvSpPr>
      <xdr:spPr bwMode="auto">
        <a:xfrm>
          <a:off x="1390650" y="2154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113</xdr:row>
      <xdr:rowOff>0</xdr:rowOff>
    </xdr:from>
    <xdr:ext cx="304800" cy="304800"/>
    <xdr:sp macro="" textlink="">
      <xdr:nvSpPr>
        <xdr:cNvPr id="84" name="AutoShape 1">
          <a:extLst>
            <a:ext uri="{FF2B5EF4-FFF2-40B4-BE49-F238E27FC236}">
              <a16:creationId xmlns:a16="http://schemas.microsoft.com/office/drawing/2014/main" id="{7466A2B0-CBC0-4336-B582-6D45AEBB735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2154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113</xdr:row>
      <xdr:rowOff>0</xdr:rowOff>
    </xdr:from>
    <xdr:ext cx="304800" cy="304800"/>
    <xdr:sp macro="" textlink="">
      <xdr:nvSpPr>
        <xdr:cNvPr id="85" name="AutoShape 1">
          <a:extLst>
            <a:ext uri="{FF2B5EF4-FFF2-40B4-BE49-F238E27FC236}">
              <a16:creationId xmlns:a16="http://schemas.microsoft.com/office/drawing/2014/main" id="{CF3B8765-D4A8-47F4-BF02-9D22F0B36EEA}"/>
            </a:ext>
          </a:extLst>
        </xdr:cNvPr>
        <xdr:cNvSpPr>
          <a:spLocks noChangeAspect="1" noChangeArrowheads="1"/>
        </xdr:cNvSpPr>
      </xdr:nvSpPr>
      <xdr:spPr bwMode="auto">
        <a:xfrm>
          <a:off x="1390650" y="2154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113</xdr:row>
      <xdr:rowOff>0</xdr:rowOff>
    </xdr:from>
    <xdr:ext cx="304800" cy="304800"/>
    <xdr:sp macro="" textlink="">
      <xdr:nvSpPr>
        <xdr:cNvPr id="86" name="AutoShape 1">
          <a:extLst>
            <a:ext uri="{FF2B5EF4-FFF2-40B4-BE49-F238E27FC236}">
              <a16:creationId xmlns:a16="http://schemas.microsoft.com/office/drawing/2014/main" id="{BDDF6682-05B3-442F-946A-BC8CF3B4196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2154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113</xdr:row>
      <xdr:rowOff>0</xdr:rowOff>
    </xdr:from>
    <xdr:ext cx="304800" cy="304800"/>
    <xdr:sp macro="" textlink="">
      <xdr:nvSpPr>
        <xdr:cNvPr id="87" name="AutoShape 1">
          <a:extLst>
            <a:ext uri="{FF2B5EF4-FFF2-40B4-BE49-F238E27FC236}">
              <a16:creationId xmlns:a16="http://schemas.microsoft.com/office/drawing/2014/main" id="{9BBA2137-B656-4852-81A6-830E4720EEC3}"/>
            </a:ext>
          </a:extLst>
        </xdr:cNvPr>
        <xdr:cNvSpPr>
          <a:spLocks noChangeAspect="1" noChangeArrowheads="1"/>
        </xdr:cNvSpPr>
      </xdr:nvSpPr>
      <xdr:spPr bwMode="auto">
        <a:xfrm>
          <a:off x="1390650" y="2154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113</xdr:row>
      <xdr:rowOff>0</xdr:rowOff>
    </xdr:from>
    <xdr:ext cx="304800" cy="304800"/>
    <xdr:sp macro="" textlink="">
      <xdr:nvSpPr>
        <xdr:cNvPr id="88" name="AutoShape 1">
          <a:extLst>
            <a:ext uri="{FF2B5EF4-FFF2-40B4-BE49-F238E27FC236}">
              <a16:creationId xmlns:a16="http://schemas.microsoft.com/office/drawing/2014/main" id="{466B843A-E24C-4DF8-BA0D-939E1B5945A4}"/>
            </a:ext>
          </a:extLst>
        </xdr:cNvPr>
        <xdr:cNvSpPr>
          <a:spLocks noChangeAspect="1" noChangeArrowheads="1"/>
        </xdr:cNvSpPr>
      </xdr:nvSpPr>
      <xdr:spPr bwMode="auto">
        <a:xfrm>
          <a:off x="1390650" y="2154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113</xdr:row>
      <xdr:rowOff>0</xdr:rowOff>
    </xdr:from>
    <xdr:ext cx="304800" cy="304800"/>
    <xdr:sp macro="" textlink="">
      <xdr:nvSpPr>
        <xdr:cNvPr id="89" name="AutoShape 1">
          <a:extLst>
            <a:ext uri="{FF2B5EF4-FFF2-40B4-BE49-F238E27FC236}">
              <a16:creationId xmlns:a16="http://schemas.microsoft.com/office/drawing/2014/main" id="{ED145D6E-44DB-482C-8B75-93B184302C49}"/>
            </a:ext>
          </a:extLst>
        </xdr:cNvPr>
        <xdr:cNvSpPr>
          <a:spLocks noChangeAspect="1" noChangeArrowheads="1"/>
        </xdr:cNvSpPr>
      </xdr:nvSpPr>
      <xdr:spPr bwMode="auto">
        <a:xfrm>
          <a:off x="1390650" y="2154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113</xdr:row>
      <xdr:rowOff>0</xdr:rowOff>
    </xdr:from>
    <xdr:ext cx="304800" cy="304800"/>
    <xdr:sp macro="" textlink="">
      <xdr:nvSpPr>
        <xdr:cNvPr id="90" name="AutoShape 1">
          <a:extLst>
            <a:ext uri="{FF2B5EF4-FFF2-40B4-BE49-F238E27FC236}">
              <a16:creationId xmlns:a16="http://schemas.microsoft.com/office/drawing/2014/main" id="{01EF09B5-14BB-484B-BA80-5ACA1F53F5FF}"/>
            </a:ext>
          </a:extLst>
        </xdr:cNvPr>
        <xdr:cNvSpPr>
          <a:spLocks noChangeAspect="1" noChangeArrowheads="1"/>
        </xdr:cNvSpPr>
      </xdr:nvSpPr>
      <xdr:spPr bwMode="auto">
        <a:xfrm>
          <a:off x="1390650" y="2154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113</xdr:row>
      <xdr:rowOff>0</xdr:rowOff>
    </xdr:from>
    <xdr:ext cx="304800" cy="304800"/>
    <xdr:sp macro="" textlink="">
      <xdr:nvSpPr>
        <xdr:cNvPr id="91" name="AutoShape 1">
          <a:extLst>
            <a:ext uri="{FF2B5EF4-FFF2-40B4-BE49-F238E27FC236}">
              <a16:creationId xmlns:a16="http://schemas.microsoft.com/office/drawing/2014/main" id="{771EB48C-9D01-4670-87A0-2DBFB56BB847}"/>
            </a:ext>
          </a:extLst>
        </xdr:cNvPr>
        <xdr:cNvSpPr>
          <a:spLocks noChangeAspect="1" noChangeArrowheads="1"/>
        </xdr:cNvSpPr>
      </xdr:nvSpPr>
      <xdr:spPr bwMode="auto">
        <a:xfrm>
          <a:off x="1390650" y="2154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113</xdr:row>
      <xdr:rowOff>0</xdr:rowOff>
    </xdr:from>
    <xdr:ext cx="304800" cy="304800"/>
    <xdr:sp macro="" textlink="">
      <xdr:nvSpPr>
        <xdr:cNvPr id="92" name="AutoShape 1">
          <a:extLst>
            <a:ext uri="{FF2B5EF4-FFF2-40B4-BE49-F238E27FC236}">
              <a16:creationId xmlns:a16="http://schemas.microsoft.com/office/drawing/2014/main" id="{B6B97554-2D2F-44D4-819E-087866FD1AD4}"/>
            </a:ext>
          </a:extLst>
        </xdr:cNvPr>
        <xdr:cNvSpPr>
          <a:spLocks noChangeAspect="1" noChangeArrowheads="1"/>
        </xdr:cNvSpPr>
      </xdr:nvSpPr>
      <xdr:spPr bwMode="auto">
        <a:xfrm>
          <a:off x="1390650" y="2154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113</xdr:row>
      <xdr:rowOff>0</xdr:rowOff>
    </xdr:from>
    <xdr:ext cx="304800" cy="304800"/>
    <xdr:sp macro="" textlink="">
      <xdr:nvSpPr>
        <xdr:cNvPr id="93" name="AutoShape 1">
          <a:extLst>
            <a:ext uri="{FF2B5EF4-FFF2-40B4-BE49-F238E27FC236}">
              <a16:creationId xmlns:a16="http://schemas.microsoft.com/office/drawing/2014/main" id="{150C83D9-6FA0-46A5-8AFE-5E8D7A7E43DA}"/>
            </a:ext>
          </a:extLst>
        </xdr:cNvPr>
        <xdr:cNvSpPr>
          <a:spLocks noChangeAspect="1" noChangeArrowheads="1"/>
        </xdr:cNvSpPr>
      </xdr:nvSpPr>
      <xdr:spPr bwMode="auto">
        <a:xfrm>
          <a:off x="1390650" y="2154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113</xdr:row>
      <xdr:rowOff>0</xdr:rowOff>
    </xdr:from>
    <xdr:ext cx="304800" cy="304800"/>
    <xdr:sp macro="" textlink="">
      <xdr:nvSpPr>
        <xdr:cNvPr id="94" name="AutoShape 1">
          <a:extLst>
            <a:ext uri="{FF2B5EF4-FFF2-40B4-BE49-F238E27FC236}">
              <a16:creationId xmlns:a16="http://schemas.microsoft.com/office/drawing/2014/main" id="{F4417FB2-3AC1-4DDF-BD6E-70644108F841}"/>
            </a:ext>
          </a:extLst>
        </xdr:cNvPr>
        <xdr:cNvSpPr>
          <a:spLocks noChangeAspect="1" noChangeArrowheads="1"/>
        </xdr:cNvSpPr>
      </xdr:nvSpPr>
      <xdr:spPr bwMode="auto">
        <a:xfrm>
          <a:off x="1390650" y="2154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113</xdr:row>
      <xdr:rowOff>0</xdr:rowOff>
    </xdr:from>
    <xdr:ext cx="304800" cy="304800"/>
    <xdr:sp macro="" textlink="">
      <xdr:nvSpPr>
        <xdr:cNvPr id="95" name="AutoShape 1">
          <a:extLst>
            <a:ext uri="{FF2B5EF4-FFF2-40B4-BE49-F238E27FC236}">
              <a16:creationId xmlns:a16="http://schemas.microsoft.com/office/drawing/2014/main" id="{1803B00D-3D19-4895-94F7-1B14DCDF5624}"/>
            </a:ext>
          </a:extLst>
        </xdr:cNvPr>
        <xdr:cNvSpPr>
          <a:spLocks noChangeAspect="1" noChangeArrowheads="1"/>
        </xdr:cNvSpPr>
      </xdr:nvSpPr>
      <xdr:spPr bwMode="auto">
        <a:xfrm>
          <a:off x="1390650" y="2154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113</xdr:row>
      <xdr:rowOff>0</xdr:rowOff>
    </xdr:from>
    <xdr:ext cx="304800" cy="304800"/>
    <xdr:sp macro="" textlink="">
      <xdr:nvSpPr>
        <xdr:cNvPr id="96" name="AutoShape 1">
          <a:extLst>
            <a:ext uri="{FF2B5EF4-FFF2-40B4-BE49-F238E27FC236}">
              <a16:creationId xmlns:a16="http://schemas.microsoft.com/office/drawing/2014/main" id="{074ED703-68B6-4A8D-A0BA-68E2A0DED081}"/>
            </a:ext>
          </a:extLst>
        </xdr:cNvPr>
        <xdr:cNvSpPr>
          <a:spLocks noChangeAspect="1" noChangeArrowheads="1"/>
        </xdr:cNvSpPr>
      </xdr:nvSpPr>
      <xdr:spPr bwMode="auto">
        <a:xfrm>
          <a:off x="1390650" y="2154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113</xdr:row>
      <xdr:rowOff>0</xdr:rowOff>
    </xdr:from>
    <xdr:ext cx="304800" cy="304800"/>
    <xdr:sp macro="" textlink="">
      <xdr:nvSpPr>
        <xdr:cNvPr id="97" name="AutoShape 1">
          <a:extLst>
            <a:ext uri="{FF2B5EF4-FFF2-40B4-BE49-F238E27FC236}">
              <a16:creationId xmlns:a16="http://schemas.microsoft.com/office/drawing/2014/main" id="{F9DD234C-6502-4391-98BC-CDF7A975753F}"/>
            </a:ext>
          </a:extLst>
        </xdr:cNvPr>
        <xdr:cNvSpPr>
          <a:spLocks noChangeAspect="1" noChangeArrowheads="1"/>
        </xdr:cNvSpPr>
      </xdr:nvSpPr>
      <xdr:spPr bwMode="auto">
        <a:xfrm>
          <a:off x="1390650" y="2154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113</xdr:row>
      <xdr:rowOff>0</xdr:rowOff>
    </xdr:from>
    <xdr:ext cx="304800" cy="304800"/>
    <xdr:sp macro="" textlink="">
      <xdr:nvSpPr>
        <xdr:cNvPr id="98" name="AutoShape 1">
          <a:extLst>
            <a:ext uri="{FF2B5EF4-FFF2-40B4-BE49-F238E27FC236}">
              <a16:creationId xmlns:a16="http://schemas.microsoft.com/office/drawing/2014/main" id="{BBF7E93D-0E8D-4CCA-B5C7-39E652049600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2154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113</xdr:row>
      <xdr:rowOff>0</xdr:rowOff>
    </xdr:from>
    <xdr:ext cx="304800" cy="304800"/>
    <xdr:sp macro="" textlink="">
      <xdr:nvSpPr>
        <xdr:cNvPr id="99" name="AutoShape 1">
          <a:extLst>
            <a:ext uri="{FF2B5EF4-FFF2-40B4-BE49-F238E27FC236}">
              <a16:creationId xmlns:a16="http://schemas.microsoft.com/office/drawing/2014/main" id="{55EF222E-DDE2-4659-9E0A-20247AF09F62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2154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113</xdr:row>
      <xdr:rowOff>0</xdr:rowOff>
    </xdr:from>
    <xdr:ext cx="304800" cy="304800"/>
    <xdr:sp macro="" textlink="">
      <xdr:nvSpPr>
        <xdr:cNvPr id="100" name="AutoShape 1">
          <a:extLst>
            <a:ext uri="{FF2B5EF4-FFF2-40B4-BE49-F238E27FC236}">
              <a16:creationId xmlns:a16="http://schemas.microsoft.com/office/drawing/2014/main" id="{D0BAD71D-7E6B-4BCC-919E-23B229A1EFBC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2154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113</xdr:row>
      <xdr:rowOff>0</xdr:rowOff>
    </xdr:from>
    <xdr:ext cx="304800" cy="304800"/>
    <xdr:sp macro="" textlink="">
      <xdr:nvSpPr>
        <xdr:cNvPr id="101" name="AutoShape 1">
          <a:extLst>
            <a:ext uri="{FF2B5EF4-FFF2-40B4-BE49-F238E27FC236}">
              <a16:creationId xmlns:a16="http://schemas.microsoft.com/office/drawing/2014/main" id="{ADEA3EE2-23F9-42AA-AB5C-E821CF122CD6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2154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113</xdr:row>
      <xdr:rowOff>0</xdr:rowOff>
    </xdr:from>
    <xdr:ext cx="304800" cy="304800"/>
    <xdr:sp macro="" textlink="">
      <xdr:nvSpPr>
        <xdr:cNvPr id="102" name="AutoShape 1">
          <a:extLst>
            <a:ext uri="{FF2B5EF4-FFF2-40B4-BE49-F238E27FC236}">
              <a16:creationId xmlns:a16="http://schemas.microsoft.com/office/drawing/2014/main" id="{0B250B6E-5F0C-4D8E-BEED-FD993D23ABE8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2154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113</xdr:row>
      <xdr:rowOff>0</xdr:rowOff>
    </xdr:from>
    <xdr:ext cx="304800" cy="304800"/>
    <xdr:sp macro="" textlink="">
      <xdr:nvSpPr>
        <xdr:cNvPr id="103" name="AutoShape 1">
          <a:extLst>
            <a:ext uri="{FF2B5EF4-FFF2-40B4-BE49-F238E27FC236}">
              <a16:creationId xmlns:a16="http://schemas.microsoft.com/office/drawing/2014/main" id="{ADA8B5E4-AA26-457C-8F57-508BA4B6BF90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2154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113</xdr:row>
      <xdr:rowOff>0</xdr:rowOff>
    </xdr:from>
    <xdr:ext cx="304800" cy="304800"/>
    <xdr:sp macro="" textlink="">
      <xdr:nvSpPr>
        <xdr:cNvPr id="104" name="AutoShape 1">
          <a:extLst>
            <a:ext uri="{FF2B5EF4-FFF2-40B4-BE49-F238E27FC236}">
              <a16:creationId xmlns:a16="http://schemas.microsoft.com/office/drawing/2014/main" id="{F947639F-33B8-4BA6-8B7A-33891C82F5F9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2154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113</xdr:row>
      <xdr:rowOff>0</xdr:rowOff>
    </xdr:from>
    <xdr:ext cx="304800" cy="304800"/>
    <xdr:sp macro="" textlink="">
      <xdr:nvSpPr>
        <xdr:cNvPr id="105" name="AutoShape 1">
          <a:extLst>
            <a:ext uri="{FF2B5EF4-FFF2-40B4-BE49-F238E27FC236}">
              <a16:creationId xmlns:a16="http://schemas.microsoft.com/office/drawing/2014/main" id="{37C45F10-A4F9-49A8-B284-303F1D779F68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2154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113</xdr:row>
      <xdr:rowOff>0</xdr:rowOff>
    </xdr:from>
    <xdr:ext cx="304800" cy="304800"/>
    <xdr:sp macro="" textlink="">
      <xdr:nvSpPr>
        <xdr:cNvPr id="106" name="AutoShape 1">
          <a:extLst>
            <a:ext uri="{FF2B5EF4-FFF2-40B4-BE49-F238E27FC236}">
              <a16:creationId xmlns:a16="http://schemas.microsoft.com/office/drawing/2014/main" id="{C9353277-E37B-45C3-9B8B-822C1AF8164A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2154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113</xdr:row>
      <xdr:rowOff>0</xdr:rowOff>
    </xdr:from>
    <xdr:ext cx="304800" cy="304800"/>
    <xdr:sp macro="" textlink="">
      <xdr:nvSpPr>
        <xdr:cNvPr id="107" name="AutoShape 1">
          <a:extLst>
            <a:ext uri="{FF2B5EF4-FFF2-40B4-BE49-F238E27FC236}">
              <a16:creationId xmlns:a16="http://schemas.microsoft.com/office/drawing/2014/main" id="{35255730-5CC5-48B4-AE13-B4F5AA281A84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2154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113</xdr:row>
      <xdr:rowOff>0</xdr:rowOff>
    </xdr:from>
    <xdr:ext cx="304800" cy="304800"/>
    <xdr:sp macro="" textlink="">
      <xdr:nvSpPr>
        <xdr:cNvPr id="108" name="AutoShape 1">
          <a:extLst>
            <a:ext uri="{FF2B5EF4-FFF2-40B4-BE49-F238E27FC236}">
              <a16:creationId xmlns:a16="http://schemas.microsoft.com/office/drawing/2014/main" id="{049BA0AA-41C9-4DBC-919C-DB7BCF008DCF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2154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113</xdr:row>
      <xdr:rowOff>0</xdr:rowOff>
    </xdr:from>
    <xdr:ext cx="304800" cy="304800"/>
    <xdr:sp macro="" textlink="">
      <xdr:nvSpPr>
        <xdr:cNvPr id="109" name="AutoShape 1">
          <a:extLst>
            <a:ext uri="{FF2B5EF4-FFF2-40B4-BE49-F238E27FC236}">
              <a16:creationId xmlns:a16="http://schemas.microsoft.com/office/drawing/2014/main" id="{70AD33B0-5256-4D4E-B1BC-AC0F247BE655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2154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113</xdr:row>
      <xdr:rowOff>0</xdr:rowOff>
    </xdr:from>
    <xdr:ext cx="304800" cy="304800"/>
    <xdr:sp macro="" textlink="">
      <xdr:nvSpPr>
        <xdr:cNvPr id="110" name="AutoShape 1">
          <a:extLst>
            <a:ext uri="{FF2B5EF4-FFF2-40B4-BE49-F238E27FC236}">
              <a16:creationId xmlns:a16="http://schemas.microsoft.com/office/drawing/2014/main" id="{7CF5EC9E-500E-4382-A380-0D01E56B171C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2154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113</xdr:row>
      <xdr:rowOff>0</xdr:rowOff>
    </xdr:from>
    <xdr:ext cx="304800" cy="304800"/>
    <xdr:sp macro="" textlink="">
      <xdr:nvSpPr>
        <xdr:cNvPr id="111" name="AutoShape 1">
          <a:extLst>
            <a:ext uri="{FF2B5EF4-FFF2-40B4-BE49-F238E27FC236}">
              <a16:creationId xmlns:a16="http://schemas.microsoft.com/office/drawing/2014/main" id="{B0A214E6-AA9E-46DB-BFEF-DCE5C114668A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2154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113</xdr:row>
      <xdr:rowOff>0</xdr:rowOff>
    </xdr:from>
    <xdr:ext cx="304800" cy="304800"/>
    <xdr:sp macro="" textlink="">
      <xdr:nvSpPr>
        <xdr:cNvPr id="112" name="AutoShape 1">
          <a:extLst>
            <a:ext uri="{FF2B5EF4-FFF2-40B4-BE49-F238E27FC236}">
              <a16:creationId xmlns:a16="http://schemas.microsoft.com/office/drawing/2014/main" id="{19691AD8-1007-4AC5-9F75-67EB09BDBED7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2154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113</xdr:row>
      <xdr:rowOff>0</xdr:rowOff>
    </xdr:from>
    <xdr:ext cx="304800" cy="304800"/>
    <xdr:sp macro="" textlink="">
      <xdr:nvSpPr>
        <xdr:cNvPr id="113" name="AutoShape 1">
          <a:extLst>
            <a:ext uri="{FF2B5EF4-FFF2-40B4-BE49-F238E27FC236}">
              <a16:creationId xmlns:a16="http://schemas.microsoft.com/office/drawing/2014/main" id="{8C600019-CA89-4D90-91C2-E1946DA4FBD6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2154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113</xdr:row>
      <xdr:rowOff>0</xdr:rowOff>
    </xdr:from>
    <xdr:ext cx="304800" cy="304800"/>
    <xdr:sp macro="" textlink="">
      <xdr:nvSpPr>
        <xdr:cNvPr id="114" name="AutoShape 1">
          <a:extLst>
            <a:ext uri="{FF2B5EF4-FFF2-40B4-BE49-F238E27FC236}">
              <a16:creationId xmlns:a16="http://schemas.microsoft.com/office/drawing/2014/main" id="{2271D7C0-A901-48D9-AFC1-07324329AA3E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2154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113</xdr:row>
      <xdr:rowOff>0</xdr:rowOff>
    </xdr:from>
    <xdr:ext cx="304800" cy="304800"/>
    <xdr:sp macro="" textlink="">
      <xdr:nvSpPr>
        <xdr:cNvPr id="115" name="AutoShape 1">
          <a:extLst>
            <a:ext uri="{FF2B5EF4-FFF2-40B4-BE49-F238E27FC236}">
              <a16:creationId xmlns:a16="http://schemas.microsoft.com/office/drawing/2014/main" id="{5D39D05B-2661-4099-8F48-C5D84D9F2D30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2154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113</xdr:row>
      <xdr:rowOff>0</xdr:rowOff>
    </xdr:from>
    <xdr:ext cx="304800" cy="304800"/>
    <xdr:sp macro="" textlink="">
      <xdr:nvSpPr>
        <xdr:cNvPr id="116" name="AutoShape 1">
          <a:extLst>
            <a:ext uri="{FF2B5EF4-FFF2-40B4-BE49-F238E27FC236}">
              <a16:creationId xmlns:a16="http://schemas.microsoft.com/office/drawing/2014/main" id="{2C805B8E-8352-48F3-9AB9-AE407D9FC7DA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2154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113</xdr:row>
      <xdr:rowOff>0</xdr:rowOff>
    </xdr:from>
    <xdr:ext cx="304800" cy="304800"/>
    <xdr:sp macro="" textlink="">
      <xdr:nvSpPr>
        <xdr:cNvPr id="117" name="AutoShape 1">
          <a:extLst>
            <a:ext uri="{FF2B5EF4-FFF2-40B4-BE49-F238E27FC236}">
              <a16:creationId xmlns:a16="http://schemas.microsoft.com/office/drawing/2014/main" id="{E038528A-B4DE-42E4-BA49-51F8BD656416}"/>
            </a:ext>
            <a:ext uri="{147F2762-F138-4A5C-976F-8EAC2B608ADB}">
              <a16:predDERef xmlns:a16="http://schemas.microsoft.com/office/drawing/2014/main" pred="{A9C9C4DB-4B97-447C-9099-E87BCB3C537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2154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113</xdr:row>
      <xdr:rowOff>0</xdr:rowOff>
    </xdr:from>
    <xdr:ext cx="304800" cy="304800"/>
    <xdr:sp macro="" textlink="">
      <xdr:nvSpPr>
        <xdr:cNvPr id="118" name="AutoShape 1">
          <a:extLst>
            <a:ext uri="{FF2B5EF4-FFF2-40B4-BE49-F238E27FC236}">
              <a16:creationId xmlns:a16="http://schemas.microsoft.com/office/drawing/2014/main" id="{F4B435A2-DF83-4187-B2BB-96F3F745A7B6}"/>
            </a:ext>
            <a:ext uri="{147F2762-F138-4A5C-976F-8EAC2B608ADB}">
              <a16:predDERef xmlns:a16="http://schemas.microsoft.com/office/drawing/2014/main" pred="{CD89554D-BD76-42AD-819A-278AD445B86E}"/>
            </a:ext>
          </a:extLst>
        </xdr:cNvPr>
        <xdr:cNvSpPr>
          <a:spLocks noChangeAspect="1" noChangeArrowheads="1"/>
        </xdr:cNvSpPr>
      </xdr:nvSpPr>
      <xdr:spPr bwMode="auto">
        <a:xfrm>
          <a:off x="1390650" y="2154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159</xdr:row>
      <xdr:rowOff>0</xdr:rowOff>
    </xdr:from>
    <xdr:ext cx="304800" cy="304800"/>
    <xdr:sp macro="" textlink="">
      <xdr:nvSpPr>
        <xdr:cNvPr id="119" name="AutoShape 1">
          <a:extLst>
            <a:ext uri="{FF2B5EF4-FFF2-40B4-BE49-F238E27FC236}">
              <a16:creationId xmlns:a16="http://schemas.microsoft.com/office/drawing/2014/main" id="{9F16AABF-4C97-4F58-9A0D-ADDB05D8D8A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3025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159</xdr:row>
      <xdr:rowOff>0</xdr:rowOff>
    </xdr:from>
    <xdr:ext cx="304800" cy="304800"/>
    <xdr:sp macro="" textlink="">
      <xdr:nvSpPr>
        <xdr:cNvPr id="120" name="AutoShape 1">
          <a:extLst>
            <a:ext uri="{FF2B5EF4-FFF2-40B4-BE49-F238E27FC236}">
              <a16:creationId xmlns:a16="http://schemas.microsoft.com/office/drawing/2014/main" id="{3CD80166-CC1A-44B9-843A-11CDDE5CDE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3025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202</xdr:row>
      <xdr:rowOff>0</xdr:rowOff>
    </xdr:from>
    <xdr:ext cx="304800" cy="304800"/>
    <xdr:sp macro="" textlink="">
      <xdr:nvSpPr>
        <xdr:cNvPr id="121" name="AutoShape 1">
          <a:extLst>
            <a:ext uri="{FF2B5EF4-FFF2-40B4-BE49-F238E27FC236}">
              <a16:creationId xmlns:a16="http://schemas.microsoft.com/office/drawing/2014/main" id="{451BAA41-2E61-46C1-B8DE-2BA44D6C903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3846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202</xdr:row>
      <xdr:rowOff>0</xdr:rowOff>
    </xdr:from>
    <xdr:ext cx="304800" cy="304800"/>
    <xdr:sp macro="" textlink="">
      <xdr:nvSpPr>
        <xdr:cNvPr id="122" name="AutoShape 1">
          <a:extLst>
            <a:ext uri="{FF2B5EF4-FFF2-40B4-BE49-F238E27FC236}">
              <a16:creationId xmlns:a16="http://schemas.microsoft.com/office/drawing/2014/main" id="{F2D7604F-8972-4265-AC53-1A3AE9E58354}"/>
            </a:ext>
          </a:extLst>
        </xdr:cNvPr>
        <xdr:cNvSpPr>
          <a:spLocks noChangeAspect="1" noChangeArrowheads="1"/>
        </xdr:cNvSpPr>
      </xdr:nvSpPr>
      <xdr:spPr bwMode="auto">
        <a:xfrm>
          <a:off x="1390650" y="3846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211</xdr:row>
      <xdr:rowOff>0</xdr:rowOff>
    </xdr:from>
    <xdr:ext cx="304800" cy="304800"/>
    <xdr:sp macro="" textlink="">
      <xdr:nvSpPr>
        <xdr:cNvPr id="123" name="AutoShape 1">
          <a:extLst>
            <a:ext uri="{FF2B5EF4-FFF2-40B4-BE49-F238E27FC236}">
              <a16:creationId xmlns:a16="http://schemas.microsoft.com/office/drawing/2014/main" id="{BF794309-76B0-4D3B-AB5D-50B1F34DCADE}"/>
            </a:ext>
          </a:extLst>
        </xdr:cNvPr>
        <xdr:cNvSpPr>
          <a:spLocks noChangeAspect="1" noChangeArrowheads="1"/>
        </xdr:cNvSpPr>
      </xdr:nvSpPr>
      <xdr:spPr bwMode="auto">
        <a:xfrm>
          <a:off x="1390650" y="4017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211</xdr:row>
      <xdr:rowOff>0</xdr:rowOff>
    </xdr:from>
    <xdr:ext cx="304800" cy="304800"/>
    <xdr:sp macro="" textlink="">
      <xdr:nvSpPr>
        <xdr:cNvPr id="124" name="AutoShape 1">
          <a:extLst>
            <a:ext uri="{FF2B5EF4-FFF2-40B4-BE49-F238E27FC236}">
              <a16:creationId xmlns:a16="http://schemas.microsoft.com/office/drawing/2014/main" id="{2C573758-E525-4E4C-8007-93C74A155AB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4017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211</xdr:row>
      <xdr:rowOff>0</xdr:rowOff>
    </xdr:from>
    <xdr:ext cx="304800" cy="304800"/>
    <xdr:sp macro="" textlink="">
      <xdr:nvSpPr>
        <xdr:cNvPr id="125" name="AutoShape 1">
          <a:extLst>
            <a:ext uri="{FF2B5EF4-FFF2-40B4-BE49-F238E27FC236}">
              <a16:creationId xmlns:a16="http://schemas.microsoft.com/office/drawing/2014/main" id="{B1CF8AA0-1ECB-4417-B810-2A3DF70FEB1E}"/>
            </a:ext>
          </a:extLst>
        </xdr:cNvPr>
        <xdr:cNvSpPr>
          <a:spLocks noChangeAspect="1" noChangeArrowheads="1"/>
        </xdr:cNvSpPr>
      </xdr:nvSpPr>
      <xdr:spPr bwMode="auto">
        <a:xfrm>
          <a:off x="1390650" y="4017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211</xdr:row>
      <xdr:rowOff>0</xdr:rowOff>
    </xdr:from>
    <xdr:ext cx="304800" cy="304800"/>
    <xdr:sp macro="" textlink="">
      <xdr:nvSpPr>
        <xdr:cNvPr id="126" name="AutoShape 1">
          <a:extLst>
            <a:ext uri="{FF2B5EF4-FFF2-40B4-BE49-F238E27FC236}">
              <a16:creationId xmlns:a16="http://schemas.microsoft.com/office/drawing/2014/main" id="{774F2D3A-579C-49B3-B0C4-35F6CD37BB2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4017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211</xdr:row>
      <xdr:rowOff>0</xdr:rowOff>
    </xdr:from>
    <xdr:ext cx="304800" cy="304800"/>
    <xdr:sp macro="" textlink="">
      <xdr:nvSpPr>
        <xdr:cNvPr id="127" name="AutoShape 1">
          <a:extLst>
            <a:ext uri="{FF2B5EF4-FFF2-40B4-BE49-F238E27FC236}">
              <a16:creationId xmlns:a16="http://schemas.microsoft.com/office/drawing/2014/main" id="{1E44605D-DE08-4E4A-B595-163790068627}"/>
            </a:ext>
          </a:extLst>
        </xdr:cNvPr>
        <xdr:cNvSpPr>
          <a:spLocks noChangeAspect="1" noChangeArrowheads="1"/>
        </xdr:cNvSpPr>
      </xdr:nvSpPr>
      <xdr:spPr bwMode="auto">
        <a:xfrm>
          <a:off x="1390650" y="4017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211</xdr:row>
      <xdr:rowOff>0</xdr:rowOff>
    </xdr:from>
    <xdr:ext cx="304800" cy="304800"/>
    <xdr:sp macro="" textlink="">
      <xdr:nvSpPr>
        <xdr:cNvPr id="128" name="AutoShape 1">
          <a:extLst>
            <a:ext uri="{FF2B5EF4-FFF2-40B4-BE49-F238E27FC236}">
              <a16:creationId xmlns:a16="http://schemas.microsoft.com/office/drawing/2014/main" id="{80BA8A1F-54AA-4139-BAEC-587921A7739E}"/>
            </a:ext>
          </a:extLst>
        </xdr:cNvPr>
        <xdr:cNvSpPr>
          <a:spLocks noChangeAspect="1" noChangeArrowheads="1"/>
        </xdr:cNvSpPr>
      </xdr:nvSpPr>
      <xdr:spPr bwMode="auto">
        <a:xfrm>
          <a:off x="1390650" y="4017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211</xdr:row>
      <xdr:rowOff>0</xdr:rowOff>
    </xdr:from>
    <xdr:ext cx="304800" cy="304800"/>
    <xdr:sp macro="" textlink="">
      <xdr:nvSpPr>
        <xdr:cNvPr id="129" name="AutoShape 1">
          <a:extLst>
            <a:ext uri="{FF2B5EF4-FFF2-40B4-BE49-F238E27FC236}">
              <a16:creationId xmlns:a16="http://schemas.microsoft.com/office/drawing/2014/main" id="{F8E36DBF-2BDA-4109-A473-A26ED01BB58A}"/>
            </a:ext>
          </a:extLst>
        </xdr:cNvPr>
        <xdr:cNvSpPr>
          <a:spLocks noChangeAspect="1" noChangeArrowheads="1"/>
        </xdr:cNvSpPr>
      </xdr:nvSpPr>
      <xdr:spPr bwMode="auto">
        <a:xfrm>
          <a:off x="1390650" y="4017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211</xdr:row>
      <xdr:rowOff>0</xdr:rowOff>
    </xdr:from>
    <xdr:ext cx="304800" cy="304800"/>
    <xdr:sp macro="" textlink="">
      <xdr:nvSpPr>
        <xdr:cNvPr id="130" name="AutoShape 1">
          <a:extLst>
            <a:ext uri="{FF2B5EF4-FFF2-40B4-BE49-F238E27FC236}">
              <a16:creationId xmlns:a16="http://schemas.microsoft.com/office/drawing/2014/main" id="{DEFC5A03-52CC-4F8F-9A80-8D52A0BE8C7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4017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211</xdr:row>
      <xdr:rowOff>0</xdr:rowOff>
    </xdr:from>
    <xdr:ext cx="304800" cy="304800"/>
    <xdr:sp macro="" textlink="">
      <xdr:nvSpPr>
        <xdr:cNvPr id="131" name="AutoShape 1">
          <a:extLst>
            <a:ext uri="{FF2B5EF4-FFF2-40B4-BE49-F238E27FC236}">
              <a16:creationId xmlns:a16="http://schemas.microsoft.com/office/drawing/2014/main" id="{E3987986-EADC-443C-A2C0-6E5D6B7889B3}"/>
            </a:ext>
          </a:extLst>
        </xdr:cNvPr>
        <xdr:cNvSpPr>
          <a:spLocks noChangeAspect="1" noChangeArrowheads="1"/>
        </xdr:cNvSpPr>
      </xdr:nvSpPr>
      <xdr:spPr bwMode="auto">
        <a:xfrm>
          <a:off x="1390650" y="4017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211</xdr:row>
      <xdr:rowOff>0</xdr:rowOff>
    </xdr:from>
    <xdr:ext cx="304800" cy="304800"/>
    <xdr:sp macro="" textlink="">
      <xdr:nvSpPr>
        <xdr:cNvPr id="132" name="AutoShape 1">
          <a:extLst>
            <a:ext uri="{FF2B5EF4-FFF2-40B4-BE49-F238E27FC236}">
              <a16:creationId xmlns:a16="http://schemas.microsoft.com/office/drawing/2014/main" id="{25E5EE49-0BD1-423F-99AE-E20C20AF02E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4017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211</xdr:row>
      <xdr:rowOff>0</xdr:rowOff>
    </xdr:from>
    <xdr:ext cx="304800" cy="304800"/>
    <xdr:sp macro="" textlink="">
      <xdr:nvSpPr>
        <xdr:cNvPr id="133" name="AutoShape 1">
          <a:extLst>
            <a:ext uri="{FF2B5EF4-FFF2-40B4-BE49-F238E27FC236}">
              <a16:creationId xmlns:a16="http://schemas.microsoft.com/office/drawing/2014/main" id="{97366E82-F413-43F0-A62A-C5B16551969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4017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211</xdr:row>
      <xdr:rowOff>0</xdr:rowOff>
    </xdr:from>
    <xdr:ext cx="304800" cy="304800"/>
    <xdr:sp macro="" textlink="">
      <xdr:nvSpPr>
        <xdr:cNvPr id="134" name="AutoShape 1">
          <a:extLst>
            <a:ext uri="{FF2B5EF4-FFF2-40B4-BE49-F238E27FC236}">
              <a16:creationId xmlns:a16="http://schemas.microsoft.com/office/drawing/2014/main" id="{7F51155A-4839-4BEE-9F88-A919F4CCC26A}"/>
            </a:ext>
          </a:extLst>
        </xdr:cNvPr>
        <xdr:cNvSpPr>
          <a:spLocks noChangeAspect="1" noChangeArrowheads="1"/>
        </xdr:cNvSpPr>
      </xdr:nvSpPr>
      <xdr:spPr bwMode="auto">
        <a:xfrm>
          <a:off x="1390650" y="4017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211</xdr:row>
      <xdr:rowOff>0</xdr:rowOff>
    </xdr:from>
    <xdr:ext cx="304800" cy="304800"/>
    <xdr:sp macro="" textlink="">
      <xdr:nvSpPr>
        <xdr:cNvPr id="135" name="AutoShape 1">
          <a:extLst>
            <a:ext uri="{FF2B5EF4-FFF2-40B4-BE49-F238E27FC236}">
              <a16:creationId xmlns:a16="http://schemas.microsoft.com/office/drawing/2014/main" id="{BC1C1E92-32C5-4301-9CD6-178D7D54BE0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4017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211</xdr:row>
      <xdr:rowOff>0</xdr:rowOff>
    </xdr:from>
    <xdr:ext cx="304800" cy="304800"/>
    <xdr:sp macro="" textlink="">
      <xdr:nvSpPr>
        <xdr:cNvPr id="136" name="AutoShape 1">
          <a:extLst>
            <a:ext uri="{FF2B5EF4-FFF2-40B4-BE49-F238E27FC236}">
              <a16:creationId xmlns:a16="http://schemas.microsoft.com/office/drawing/2014/main" id="{9CBB0863-F5D4-49F2-9CFD-CFB87D1A55CE}"/>
            </a:ext>
          </a:extLst>
        </xdr:cNvPr>
        <xdr:cNvSpPr>
          <a:spLocks noChangeAspect="1" noChangeArrowheads="1"/>
        </xdr:cNvSpPr>
      </xdr:nvSpPr>
      <xdr:spPr bwMode="auto">
        <a:xfrm>
          <a:off x="1390650" y="4017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211</xdr:row>
      <xdr:rowOff>0</xdr:rowOff>
    </xdr:from>
    <xdr:ext cx="304800" cy="304800"/>
    <xdr:sp macro="" textlink="">
      <xdr:nvSpPr>
        <xdr:cNvPr id="137" name="AutoShape 1">
          <a:extLst>
            <a:ext uri="{FF2B5EF4-FFF2-40B4-BE49-F238E27FC236}">
              <a16:creationId xmlns:a16="http://schemas.microsoft.com/office/drawing/2014/main" id="{215A2338-67DD-4072-A645-C5B8EF218B31}"/>
            </a:ext>
          </a:extLst>
        </xdr:cNvPr>
        <xdr:cNvSpPr>
          <a:spLocks noChangeAspect="1" noChangeArrowheads="1"/>
        </xdr:cNvSpPr>
      </xdr:nvSpPr>
      <xdr:spPr bwMode="auto">
        <a:xfrm>
          <a:off x="1390650" y="4017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211</xdr:row>
      <xdr:rowOff>0</xdr:rowOff>
    </xdr:from>
    <xdr:ext cx="304800" cy="304800"/>
    <xdr:sp macro="" textlink="">
      <xdr:nvSpPr>
        <xdr:cNvPr id="138" name="AutoShape 1">
          <a:extLst>
            <a:ext uri="{FF2B5EF4-FFF2-40B4-BE49-F238E27FC236}">
              <a16:creationId xmlns:a16="http://schemas.microsoft.com/office/drawing/2014/main" id="{FAF411D4-0C94-4034-81CF-0C3CA4B1D1C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4017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211</xdr:row>
      <xdr:rowOff>0</xdr:rowOff>
    </xdr:from>
    <xdr:ext cx="304800" cy="304800"/>
    <xdr:sp macro="" textlink="">
      <xdr:nvSpPr>
        <xdr:cNvPr id="139" name="AutoShape 1">
          <a:extLst>
            <a:ext uri="{FF2B5EF4-FFF2-40B4-BE49-F238E27FC236}">
              <a16:creationId xmlns:a16="http://schemas.microsoft.com/office/drawing/2014/main" id="{DC2F9044-625F-4961-8437-9D3F148BFFB5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4017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211</xdr:row>
      <xdr:rowOff>0</xdr:rowOff>
    </xdr:from>
    <xdr:ext cx="304800" cy="304800"/>
    <xdr:sp macro="" textlink="">
      <xdr:nvSpPr>
        <xdr:cNvPr id="140" name="AutoShape 1">
          <a:extLst>
            <a:ext uri="{FF2B5EF4-FFF2-40B4-BE49-F238E27FC236}">
              <a16:creationId xmlns:a16="http://schemas.microsoft.com/office/drawing/2014/main" id="{1296C8A7-381E-4BAD-873B-7AA7C85B393F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4017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211</xdr:row>
      <xdr:rowOff>0</xdr:rowOff>
    </xdr:from>
    <xdr:ext cx="304800" cy="304800"/>
    <xdr:sp macro="" textlink="">
      <xdr:nvSpPr>
        <xdr:cNvPr id="141" name="AutoShape 1">
          <a:extLst>
            <a:ext uri="{FF2B5EF4-FFF2-40B4-BE49-F238E27FC236}">
              <a16:creationId xmlns:a16="http://schemas.microsoft.com/office/drawing/2014/main" id="{7971E2E7-11B1-4A3F-B4AD-6BA199F26DF8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4017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211</xdr:row>
      <xdr:rowOff>0</xdr:rowOff>
    </xdr:from>
    <xdr:ext cx="304800" cy="304800"/>
    <xdr:sp macro="" textlink="">
      <xdr:nvSpPr>
        <xdr:cNvPr id="142" name="AutoShape 1">
          <a:extLst>
            <a:ext uri="{FF2B5EF4-FFF2-40B4-BE49-F238E27FC236}">
              <a16:creationId xmlns:a16="http://schemas.microsoft.com/office/drawing/2014/main" id="{9DA47879-7D9B-4502-B31D-6ECF15406531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4017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211</xdr:row>
      <xdr:rowOff>0</xdr:rowOff>
    </xdr:from>
    <xdr:ext cx="304800" cy="304800"/>
    <xdr:sp macro="" textlink="">
      <xdr:nvSpPr>
        <xdr:cNvPr id="143" name="AutoShape 1">
          <a:extLst>
            <a:ext uri="{FF2B5EF4-FFF2-40B4-BE49-F238E27FC236}">
              <a16:creationId xmlns:a16="http://schemas.microsoft.com/office/drawing/2014/main" id="{43A51FAB-EF79-4D37-85A0-04E9861A91A1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4017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211</xdr:row>
      <xdr:rowOff>0</xdr:rowOff>
    </xdr:from>
    <xdr:ext cx="304800" cy="304800"/>
    <xdr:sp macro="" textlink="">
      <xdr:nvSpPr>
        <xdr:cNvPr id="144" name="AutoShape 1">
          <a:extLst>
            <a:ext uri="{FF2B5EF4-FFF2-40B4-BE49-F238E27FC236}">
              <a16:creationId xmlns:a16="http://schemas.microsoft.com/office/drawing/2014/main" id="{5E6391DB-AEB5-4192-AF42-C900671E0A7D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4017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211</xdr:row>
      <xdr:rowOff>0</xdr:rowOff>
    </xdr:from>
    <xdr:ext cx="304800" cy="304800"/>
    <xdr:sp macro="" textlink="">
      <xdr:nvSpPr>
        <xdr:cNvPr id="145" name="AutoShape 1">
          <a:extLst>
            <a:ext uri="{FF2B5EF4-FFF2-40B4-BE49-F238E27FC236}">
              <a16:creationId xmlns:a16="http://schemas.microsoft.com/office/drawing/2014/main" id="{5930AB9E-AC95-4FE3-82C2-AE763D9BC732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4017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211</xdr:row>
      <xdr:rowOff>0</xdr:rowOff>
    </xdr:from>
    <xdr:ext cx="304800" cy="304800"/>
    <xdr:sp macro="" textlink="">
      <xdr:nvSpPr>
        <xdr:cNvPr id="146" name="AutoShape 1">
          <a:extLst>
            <a:ext uri="{FF2B5EF4-FFF2-40B4-BE49-F238E27FC236}">
              <a16:creationId xmlns:a16="http://schemas.microsoft.com/office/drawing/2014/main" id="{4DA72E85-89F7-4FA0-A45D-B0E142EDC79C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4017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211</xdr:row>
      <xdr:rowOff>0</xdr:rowOff>
    </xdr:from>
    <xdr:ext cx="304800" cy="304800"/>
    <xdr:sp macro="" textlink="">
      <xdr:nvSpPr>
        <xdr:cNvPr id="147" name="AutoShape 1">
          <a:extLst>
            <a:ext uri="{FF2B5EF4-FFF2-40B4-BE49-F238E27FC236}">
              <a16:creationId xmlns:a16="http://schemas.microsoft.com/office/drawing/2014/main" id="{36175532-CC21-4BB1-9EA6-71D307E1C612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4017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211</xdr:row>
      <xdr:rowOff>0</xdr:rowOff>
    </xdr:from>
    <xdr:ext cx="304800" cy="304800"/>
    <xdr:sp macro="" textlink="">
      <xdr:nvSpPr>
        <xdr:cNvPr id="148" name="AutoShape 1">
          <a:extLst>
            <a:ext uri="{FF2B5EF4-FFF2-40B4-BE49-F238E27FC236}">
              <a16:creationId xmlns:a16="http://schemas.microsoft.com/office/drawing/2014/main" id="{B77431FA-9078-4F83-9C50-7F2A878C4E19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4017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211</xdr:row>
      <xdr:rowOff>0</xdr:rowOff>
    </xdr:from>
    <xdr:ext cx="304800" cy="304800"/>
    <xdr:sp macro="" textlink="">
      <xdr:nvSpPr>
        <xdr:cNvPr id="149" name="AutoShape 1">
          <a:extLst>
            <a:ext uri="{FF2B5EF4-FFF2-40B4-BE49-F238E27FC236}">
              <a16:creationId xmlns:a16="http://schemas.microsoft.com/office/drawing/2014/main" id="{C57CEFDB-B55C-454B-8757-DB34F905CD0D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4017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211</xdr:row>
      <xdr:rowOff>0</xdr:rowOff>
    </xdr:from>
    <xdr:ext cx="304800" cy="304800"/>
    <xdr:sp macro="" textlink="">
      <xdr:nvSpPr>
        <xdr:cNvPr id="150" name="AutoShape 1">
          <a:extLst>
            <a:ext uri="{FF2B5EF4-FFF2-40B4-BE49-F238E27FC236}">
              <a16:creationId xmlns:a16="http://schemas.microsoft.com/office/drawing/2014/main" id="{4FAAED1A-1332-4C4A-8CEB-EA57792B8E57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4017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211</xdr:row>
      <xdr:rowOff>0</xdr:rowOff>
    </xdr:from>
    <xdr:ext cx="304800" cy="304800"/>
    <xdr:sp macro="" textlink="">
      <xdr:nvSpPr>
        <xdr:cNvPr id="151" name="AutoShape 1">
          <a:extLst>
            <a:ext uri="{FF2B5EF4-FFF2-40B4-BE49-F238E27FC236}">
              <a16:creationId xmlns:a16="http://schemas.microsoft.com/office/drawing/2014/main" id="{11CBBFEC-F87A-4761-838E-143B66F11312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4017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211</xdr:row>
      <xdr:rowOff>0</xdr:rowOff>
    </xdr:from>
    <xdr:ext cx="304800" cy="304800"/>
    <xdr:sp macro="" textlink="">
      <xdr:nvSpPr>
        <xdr:cNvPr id="152" name="AutoShape 1">
          <a:extLst>
            <a:ext uri="{FF2B5EF4-FFF2-40B4-BE49-F238E27FC236}">
              <a16:creationId xmlns:a16="http://schemas.microsoft.com/office/drawing/2014/main" id="{68165123-25D1-4494-8852-808D6B3C4F66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4017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211</xdr:row>
      <xdr:rowOff>0</xdr:rowOff>
    </xdr:from>
    <xdr:ext cx="304800" cy="304800"/>
    <xdr:sp macro="" textlink="">
      <xdr:nvSpPr>
        <xdr:cNvPr id="153" name="AutoShape 1">
          <a:extLst>
            <a:ext uri="{FF2B5EF4-FFF2-40B4-BE49-F238E27FC236}">
              <a16:creationId xmlns:a16="http://schemas.microsoft.com/office/drawing/2014/main" id="{FB4E768C-C366-44D4-95FB-EE0FB197E9A2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4017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211</xdr:row>
      <xdr:rowOff>0</xdr:rowOff>
    </xdr:from>
    <xdr:ext cx="304800" cy="304800"/>
    <xdr:sp macro="" textlink="">
      <xdr:nvSpPr>
        <xdr:cNvPr id="154" name="AutoShape 1">
          <a:extLst>
            <a:ext uri="{FF2B5EF4-FFF2-40B4-BE49-F238E27FC236}">
              <a16:creationId xmlns:a16="http://schemas.microsoft.com/office/drawing/2014/main" id="{635A48F2-9D18-43D0-8907-DF979A7346DE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4017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211</xdr:row>
      <xdr:rowOff>0</xdr:rowOff>
    </xdr:from>
    <xdr:ext cx="304800" cy="304800"/>
    <xdr:sp macro="" textlink="">
      <xdr:nvSpPr>
        <xdr:cNvPr id="155" name="AutoShape 1">
          <a:extLst>
            <a:ext uri="{FF2B5EF4-FFF2-40B4-BE49-F238E27FC236}">
              <a16:creationId xmlns:a16="http://schemas.microsoft.com/office/drawing/2014/main" id="{ECE7081A-BB70-412B-899D-234A17C2D778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4017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211</xdr:row>
      <xdr:rowOff>0</xdr:rowOff>
    </xdr:from>
    <xdr:ext cx="304800" cy="304800"/>
    <xdr:sp macro="" textlink="">
      <xdr:nvSpPr>
        <xdr:cNvPr id="156" name="AutoShape 1">
          <a:extLst>
            <a:ext uri="{FF2B5EF4-FFF2-40B4-BE49-F238E27FC236}">
              <a16:creationId xmlns:a16="http://schemas.microsoft.com/office/drawing/2014/main" id="{17251582-A2CF-48A0-BF64-39AADE6F8E79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4017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211</xdr:row>
      <xdr:rowOff>0</xdr:rowOff>
    </xdr:from>
    <xdr:ext cx="304800" cy="304800"/>
    <xdr:sp macro="" textlink="">
      <xdr:nvSpPr>
        <xdr:cNvPr id="157" name="AutoShape 1">
          <a:extLst>
            <a:ext uri="{FF2B5EF4-FFF2-40B4-BE49-F238E27FC236}">
              <a16:creationId xmlns:a16="http://schemas.microsoft.com/office/drawing/2014/main" id="{ACD27381-1EBC-4593-94D0-09824A91AB49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4017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211</xdr:row>
      <xdr:rowOff>0</xdr:rowOff>
    </xdr:from>
    <xdr:ext cx="304800" cy="304800"/>
    <xdr:sp macro="" textlink="">
      <xdr:nvSpPr>
        <xdr:cNvPr id="158" name="AutoShape 1">
          <a:extLst>
            <a:ext uri="{FF2B5EF4-FFF2-40B4-BE49-F238E27FC236}">
              <a16:creationId xmlns:a16="http://schemas.microsoft.com/office/drawing/2014/main" id="{368A9348-3147-41CA-B765-21C5B249F7AF}"/>
            </a:ext>
            <a:ext uri="{147F2762-F138-4A5C-976F-8EAC2B608ADB}">
              <a16:predDERef xmlns:a16="http://schemas.microsoft.com/office/drawing/2014/main" pred="{A9C9C4DB-4B97-447C-9099-E87BCB3C537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4017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211</xdr:row>
      <xdr:rowOff>0</xdr:rowOff>
    </xdr:from>
    <xdr:ext cx="304800" cy="304800"/>
    <xdr:sp macro="" textlink="">
      <xdr:nvSpPr>
        <xdr:cNvPr id="159" name="AutoShape 1">
          <a:extLst>
            <a:ext uri="{FF2B5EF4-FFF2-40B4-BE49-F238E27FC236}">
              <a16:creationId xmlns:a16="http://schemas.microsoft.com/office/drawing/2014/main" id="{125A927F-377F-4E54-9807-9144C505F897}"/>
            </a:ext>
            <a:ext uri="{147F2762-F138-4A5C-976F-8EAC2B608ADB}">
              <a16:predDERef xmlns:a16="http://schemas.microsoft.com/office/drawing/2014/main" pred="{CD89554D-BD76-42AD-819A-278AD445B86E}"/>
            </a:ext>
          </a:extLst>
        </xdr:cNvPr>
        <xdr:cNvSpPr>
          <a:spLocks noChangeAspect="1" noChangeArrowheads="1"/>
        </xdr:cNvSpPr>
      </xdr:nvSpPr>
      <xdr:spPr bwMode="auto">
        <a:xfrm>
          <a:off x="1390650" y="4017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245</xdr:row>
      <xdr:rowOff>0</xdr:rowOff>
    </xdr:from>
    <xdr:ext cx="304800" cy="304800"/>
    <xdr:sp macro="" textlink="">
      <xdr:nvSpPr>
        <xdr:cNvPr id="160" name="AutoShape 1">
          <a:extLst>
            <a:ext uri="{FF2B5EF4-FFF2-40B4-BE49-F238E27FC236}">
              <a16:creationId xmlns:a16="http://schemas.microsoft.com/office/drawing/2014/main" id="{6E3F0758-3DA5-4299-96C5-AEC03E1B099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4664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245</xdr:row>
      <xdr:rowOff>0</xdr:rowOff>
    </xdr:from>
    <xdr:ext cx="304800" cy="304800"/>
    <xdr:sp macro="" textlink="">
      <xdr:nvSpPr>
        <xdr:cNvPr id="161" name="AutoShape 1">
          <a:extLst>
            <a:ext uri="{FF2B5EF4-FFF2-40B4-BE49-F238E27FC236}">
              <a16:creationId xmlns:a16="http://schemas.microsoft.com/office/drawing/2014/main" id="{C9BD7AE0-BD47-41F2-84F3-7529F2409ACC}"/>
            </a:ext>
          </a:extLst>
        </xdr:cNvPr>
        <xdr:cNvSpPr>
          <a:spLocks noChangeAspect="1" noChangeArrowheads="1"/>
        </xdr:cNvSpPr>
      </xdr:nvSpPr>
      <xdr:spPr bwMode="auto">
        <a:xfrm>
          <a:off x="1390650" y="4664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263</xdr:row>
      <xdr:rowOff>0</xdr:rowOff>
    </xdr:from>
    <xdr:ext cx="304800" cy="304800"/>
    <xdr:sp macro="" textlink="">
      <xdr:nvSpPr>
        <xdr:cNvPr id="162" name="AutoShape 1">
          <a:extLst>
            <a:ext uri="{FF2B5EF4-FFF2-40B4-BE49-F238E27FC236}">
              <a16:creationId xmlns:a16="http://schemas.microsoft.com/office/drawing/2014/main" id="{33A8928C-D048-4380-9DCE-C57FF5E83653}"/>
            </a:ext>
          </a:extLst>
        </xdr:cNvPr>
        <xdr:cNvSpPr>
          <a:spLocks noChangeAspect="1" noChangeArrowheads="1"/>
        </xdr:cNvSpPr>
      </xdr:nvSpPr>
      <xdr:spPr bwMode="auto">
        <a:xfrm>
          <a:off x="1390650" y="5021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263</xdr:row>
      <xdr:rowOff>0</xdr:rowOff>
    </xdr:from>
    <xdr:ext cx="304800" cy="304800"/>
    <xdr:sp macro="" textlink="">
      <xdr:nvSpPr>
        <xdr:cNvPr id="163" name="AutoShape 1">
          <a:extLst>
            <a:ext uri="{FF2B5EF4-FFF2-40B4-BE49-F238E27FC236}">
              <a16:creationId xmlns:a16="http://schemas.microsoft.com/office/drawing/2014/main" id="{0BE123B8-D463-479C-ADC2-D33D70B78FB3}"/>
            </a:ext>
          </a:extLst>
        </xdr:cNvPr>
        <xdr:cNvSpPr>
          <a:spLocks noChangeAspect="1" noChangeArrowheads="1"/>
        </xdr:cNvSpPr>
      </xdr:nvSpPr>
      <xdr:spPr bwMode="auto">
        <a:xfrm>
          <a:off x="1390650" y="5021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272</xdr:row>
      <xdr:rowOff>0</xdr:rowOff>
    </xdr:from>
    <xdr:ext cx="304800" cy="304800"/>
    <xdr:sp macro="" textlink="">
      <xdr:nvSpPr>
        <xdr:cNvPr id="164" name="AutoShape 1">
          <a:extLst>
            <a:ext uri="{FF2B5EF4-FFF2-40B4-BE49-F238E27FC236}">
              <a16:creationId xmlns:a16="http://schemas.microsoft.com/office/drawing/2014/main" id="{619185E8-E6E7-48B5-8EC3-916FABD59F1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5192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272</xdr:row>
      <xdr:rowOff>0</xdr:rowOff>
    </xdr:from>
    <xdr:ext cx="304800" cy="304800"/>
    <xdr:sp macro="" textlink="">
      <xdr:nvSpPr>
        <xdr:cNvPr id="165" name="AutoShape 1">
          <a:extLst>
            <a:ext uri="{FF2B5EF4-FFF2-40B4-BE49-F238E27FC236}">
              <a16:creationId xmlns:a16="http://schemas.microsoft.com/office/drawing/2014/main" id="{DE54433E-5A8B-4533-A77C-9D107B35225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5192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272</xdr:row>
      <xdr:rowOff>0</xdr:rowOff>
    </xdr:from>
    <xdr:ext cx="304800" cy="304800"/>
    <xdr:sp macro="" textlink="">
      <xdr:nvSpPr>
        <xdr:cNvPr id="166" name="AutoShape 1">
          <a:extLst>
            <a:ext uri="{FF2B5EF4-FFF2-40B4-BE49-F238E27FC236}">
              <a16:creationId xmlns:a16="http://schemas.microsoft.com/office/drawing/2014/main" id="{24855C57-DA18-4F7A-8DB3-537D3EBA103A}"/>
            </a:ext>
          </a:extLst>
        </xdr:cNvPr>
        <xdr:cNvSpPr>
          <a:spLocks noChangeAspect="1" noChangeArrowheads="1"/>
        </xdr:cNvSpPr>
      </xdr:nvSpPr>
      <xdr:spPr bwMode="auto">
        <a:xfrm>
          <a:off x="1390650" y="5192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272</xdr:row>
      <xdr:rowOff>0</xdr:rowOff>
    </xdr:from>
    <xdr:ext cx="304800" cy="304800"/>
    <xdr:sp macro="" textlink="">
      <xdr:nvSpPr>
        <xdr:cNvPr id="167" name="AutoShape 1">
          <a:extLst>
            <a:ext uri="{FF2B5EF4-FFF2-40B4-BE49-F238E27FC236}">
              <a16:creationId xmlns:a16="http://schemas.microsoft.com/office/drawing/2014/main" id="{7415EA96-717D-4624-AD4C-FAAC466FC58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5192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272</xdr:row>
      <xdr:rowOff>0</xdr:rowOff>
    </xdr:from>
    <xdr:ext cx="304800" cy="304800"/>
    <xdr:sp macro="" textlink="">
      <xdr:nvSpPr>
        <xdr:cNvPr id="168" name="AutoShape 1">
          <a:extLst>
            <a:ext uri="{FF2B5EF4-FFF2-40B4-BE49-F238E27FC236}">
              <a16:creationId xmlns:a16="http://schemas.microsoft.com/office/drawing/2014/main" id="{2D16CF77-CF4A-4036-9D31-E57F6BCF533F}"/>
            </a:ext>
          </a:extLst>
        </xdr:cNvPr>
        <xdr:cNvSpPr>
          <a:spLocks noChangeAspect="1" noChangeArrowheads="1"/>
        </xdr:cNvSpPr>
      </xdr:nvSpPr>
      <xdr:spPr bwMode="auto">
        <a:xfrm>
          <a:off x="1390650" y="5192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272</xdr:row>
      <xdr:rowOff>0</xdr:rowOff>
    </xdr:from>
    <xdr:ext cx="304800" cy="304800"/>
    <xdr:sp macro="" textlink="">
      <xdr:nvSpPr>
        <xdr:cNvPr id="169" name="AutoShape 1">
          <a:extLst>
            <a:ext uri="{FF2B5EF4-FFF2-40B4-BE49-F238E27FC236}">
              <a16:creationId xmlns:a16="http://schemas.microsoft.com/office/drawing/2014/main" id="{6C7F889D-DC87-41CE-B4BF-09D313178DFB}"/>
            </a:ext>
          </a:extLst>
        </xdr:cNvPr>
        <xdr:cNvSpPr>
          <a:spLocks noChangeAspect="1" noChangeArrowheads="1"/>
        </xdr:cNvSpPr>
      </xdr:nvSpPr>
      <xdr:spPr bwMode="auto">
        <a:xfrm>
          <a:off x="1390650" y="5192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272</xdr:row>
      <xdr:rowOff>0</xdr:rowOff>
    </xdr:from>
    <xdr:ext cx="304800" cy="304800"/>
    <xdr:sp macro="" textlink="">
      <xdr:nvSpPr>
        <xdr:cNvPr id="170" name="AutoShape 1">
          <a:extLst>
            <a:ext uri="{FF2B5EF4-FFF2-40B4-BE49-F238E27FC236}">
              <a16:creationId xmlns:a16="http://schemas.microsoft.com/office/drawing/2014/main" id="{3B9160FB-43FF-40A1-8296-69DE419B5FD4}"/>
            </a:ext>
          </a:extLst>
        </xdr:cNvPr>
        <xdr:cNvSpPr>
          <a:spLocks noChangeAspect="1" noChangeArrowheads="1"/>
        </xdr:cNvSpPr>
      </xdr:nvSpPr>
      <xdr:spPr bwMode="auto">
        <a:xfrm>
          <a:off x="1390650" y="5192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272</xdr:row>
      <xdr:rowOff>0</xdr:rowOff>
    </xdr:from>
    <xdr:ext cx="304800" cy="304800"/>
    <xdr:sp macro="" textlink="">
      <xdr:nvSpPr>
        <xdr:cNvPr id="171" name="AutoShape 1">
          <a:extLst>
            <a:ext uri="{FF2B5EF4-FFF2-40B4-BE49-F238E27FC236}">
              <a16:creationId xmlns:a16="http://schemas.microsoft.com/office/drawing/2014/main" id="{E6B6E218-1E45-4F60-9F01-39BB28BD657F}"/>
            </a:ext>
          </a:extLst>
        </xdr:cNvPr>
        <xdr:cNvSpPr>
          <a:spLocks noChangeAspect="1" noChangeArrowheads="1"/>
        </xdr:cNvSpPr>
      </xdr:nvSpPr>
      <xdr:spPr bwMode="auto">
        <a:xfrm>
          <a:off x="1390650" y="5192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272</xdr:row>
      <xdr:rowOff>0</xdr:rowOff>
    </xdr:from>
    <xdr:ext cx="304800" cy="304800"/>
    <xdr:sp macro="" textlink="">
      <xdr:nvSpPr>
        <xdr:cNvPr id="172" name="AutoShape 1">
          <a:extLst>
            <a:ext uri="{FF2B5EF4-FFF2-40B4-BE49-F238E27FC236}">
              <a16:creationId xmlns:a16="http://schemas.microsoft.com/office/drawing/2014/main" id="{FA8E19AE-1D14-407B-BF3C-24C25A3E02D4}"/>
            </a:ext>
          </a:extLst>
        </xdr:cNvPr>
        <xdr:cNvSpPr>
          <a:spLocks noChangeAspect="1" noChangeArrowheads="1"/>
        </xdr:cNvSpPr>
      </xdr:nvSpPr>
      <xdr:spPr bwMode="auto">
        <a:xfrm>
          <a:off x="1390650" y="5192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272</xdr:row>
      <xdr:rowOff>0</xdr:rowOff>
    </xdr:from>
    <xdr:ext cx="304800" cy="304800"/>
    <xdr:sp macro="" textlink="">
      <xdr:nvSpPr>
        <xdr:cNvPr id="173" name="AutoShape 1">
          <a:extLst>
            <a:ext uri="{FF2B5EF4-FFF2-40B4-BE49-F238E27FC236}">
              <a16:creationId xmlns:a16="http://schemas.microsoft.com/office/drawing/2014/main" id="{1343C44F-B542-421C-9D5F-9D76A7423D8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5192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272</xdr:row>
      <xdr:rowOff>0</xdr:rowOff>
    </xdr:from>
    <xdr:ext cx="304800" cy="304800"/>
    <xdr:sp macro="" textlink="">
      <xdr:nvSpPr>
        <xdr:cNvPr id="174" name="AutoShape 1">
          <a:extLst>
            <a:ext uri="{FF2B5EF4-FFF2-40B4-BE49-F238E27FC236}">
              <a16:creationId xmlns:a16="http://schemas.microsoft.com/office/drawing/2014/main" id="{6CD05FD4-E7BC-4355-AF5D-4865F28E73FF}"/>
            </a:ext>
          </a:extLst>
        </xdr:cNvPr>
        <xdr:cNvSpPr>
          <a:spLocks noChangeAspect="1" noChangeArrowheads="1"/>
        </xdr:cNvSpPr>
      </xdr:nvSpPr>
      <xdr:spPr bwMode="auto">
        <a:xfrm>
          <a:off x="1390650" y="5192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272</xdr:row>
      <xdr:rowOff>0</xdr:rowOff>
    </xdr:from>
    <xdr:ext cx="304800" cy="304800"/>
    <xdr:sp macro="" textlink="">
      <xdr:nvSpPr>
        <xdr:cNvPr id="175" name="AutoShape 1">
          <a:extLst>
            <a:ext uri="{FF2B5EF4-FFF2-40B4-BE49-F238E27FC236}">
              <a16:creationId xmlns:a16="http://schemas.microsoft.com/office/drawing/2014/main" id="{B0B12281-D698-4A19-9472-C43594CA7594}"/>
            </a:ext>
          </a:extLst>
        </xdr:cNvPr>
        <xdr:cNvSpPr>
          <a:spLocks noChangeAspect="1" noChangeArrowheads="1"/>
        </xdr:cNvSpPr>
      </xdr:nvSpPr>
      <xdr:spPr bwMode="auto">
        <a:xfrm>
          <a:off x="1390650" y="5192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272</xdr:row>
      <xdr:rowOff>0</xdr:rowOff>
    </xdr:from>
    <xdr:ext cx="304800" cy="304800"/>
    <xdr:sp macro="" textlink="">
      <xdr:nvSpPr>
        <xdr:cNvPr id="176" name="AutoShape 1">
          <a:extLst>
            <a:ext uri="{FF2B5EF4-FFF2-40B4-BE49-F238E27FC236}">
              <a16:creationId xmlns:a16="http://schemas.microsoft.com/office/drawing/2014/main" id="{47C02E75-972C-4F4F-8CB2-F795C174F483}"/>
            </a:ext>
          </a:extLst>
        </xdr:cNvPr>
        <xdr:cNvSpPr>
          <a:spLocks noChangeAspect="1" noChangeArrowheads="1"/>
        </xdr:cNvSpPr>
      </xdr:nvSpPr>
      <xdr:spPr bwMode="auto">
        <a:xfrm>
          <a:off x="1390650" y="5192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272</xdr:row>
      <xdr:rowOff>0</xdr:rowOff>
    </xdr:from>
    <xdr:ext cx="304800" cy="304800"/>
    <xdr:sp macro="" textlink="">
      <xdr:nvSpPr>
        <xdr:cNvPr id="177" name="AutoShape 1">
          <a:extLst>
            <a:ext uri="{FF2B5EF4-FFF2-40B4-BE49-F238E27FC236}">
              <a16:creationId xmlns:a16="http://schemas.microsoft.com/office/drawing/2014/main" id="{87DBBA92-4FEC-4956-88CF-7AD11FB0AF64}"/>
            </a:ext>
          </a:extLst>
        </xdr:cNvPr>
        <xdr:cNvSpPr>
          <a:spLocks noChangeAspect="1" noChangeArrowheads="1"/>
        </xdr:cNvSpPr>
      </xdr:nvSpPr>
      <xdr:spPr bwMode="auto">
        <a:xfrm>
          <a:off x="1390650" y="5192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272</xdr:row>
      <xdr:rowOff>0</xdr:rowOff>
    </xdr:from>
    <xdr:ext cx="304800" cy="304800"/>
    <xdr:sp macro="" textlink="">
      <xdr:nvSpPr>
        <xdr:cNvPr id="178" name="AutoShape 1">
          <a:extLst>
            <a:ext uri="{FF2B5EF4-FFF2-40B4-BE49-F238E27FC236}">
              <a16:creationId xmlns:a16="http://schemas.microsoft.com/office/drawing/2014/main" id="{30B0D80C-86FF-4700-9475-C33EB2C3137C}"/>
            </a:ext>
          </a:extLst>
        </xdr:cNvPr>
        <xdr:cNvSpPr>
          <a:spLocks noChangeAspect="1" noChangeArrowheads="1"/>
        </xdr:cNvSpPr>
      </xdr:nvSpPr>
      <xdr:spPr bwMode="auto">
        <a:xfrm>
          <a:off x="1390650" y="5192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272</xdr:row>
      <xdr:rowOff>0</xdr:rowOff>
    </xdr:from>
    <xdr:ext cx="304800" cy="304800"/>
    <xdr:sp macro="" textlink="">
      <xdr:nvSpPr>
        <xdr:cNvPr id="179" name="AutoShape 1">
          <a:extLst>
            <a:ext uri="{FF2B5EF4-FFF2-40B4-BE49-F238E27FC236}">
              <a16:creationId xmlns:a16="http://schemas.microsoft.com/office/drawing/2014/main" id="{EA6D5EC6-01D1-4E22-92B2-37430B25924F}"/>
            </a:ext>
          </a:extLst>
        </xdr:cNvPr>
        <xdr:cNvSpPr>
          <a:spLocks noChangeAspect="1" noChangeArrowheads="1"/>
        </xdr:cNvSpPr>
      </xdr:nvSpPr>
      <xdr:spPr bwMode="auto">
        <a:xfrm>
          <a:off x="1390650" y="5192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272</xdr:row>
      <xdr:rowOff>0</xdr:rowOff>
    </xdr:from>
    <xdr:ext cx="304800" cy="304800"/>
    <xdr:sp macro="" textlink="">
      <xdr:nvSpPr>
        <xdr:cNvPr id="180" name="AutoShape 1">
          <a:extLst>
            <a:ext uri="{FF2B5EF4-FFF2-40B4-BE49-F238E27FC236}">
              <a16:creationId xmlns:a16="http://schemas.microsoft.com/office/drawing/2014/main" id="{42153454-06B6-46A0-911A-B69950DE1A4B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5192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272</xdr:row>
      <xdr:rowOff>0</xdr:rowOff>
    </xdr:from>
    <xdr:ext cx="304800" cy="304800"/>
    <xdr:sp macro="" textlink="">
      <xdr:nvSpPr>
        <xdr:cNvPr id="181" name="AutoShape 1">
          <a:extLst>
            <a:ext uri="{FF2B5EF4-FFF2-40B4-BE49-F238E27FC236}">
              <a16:creationId xmlns:a16="http://schemas.microsoft.com/office/drawing/2014/main" id="{A4D77444-B878-49EC-82AC-31CB2365901B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5192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272</xdr:row>
      <xdr:rowOff>0</xdr:rowOff>
    </xdr:from>
    <xdr:ext cx="304800" cy="304800"/>
    <xdr:sp macro="" textlink="">
      <xdr:nvSpPr>
        <xdr:cNvPr id="182" name="AutoShape 1">
          <a:extLst>
            <a:ext uri="{FF2B5EF4-FFF2-40B4-BE49-F238E27FC236}">
              <a16:creationId xmlns:a16="http://schemas.microsoft.com/office/drawing/2014/main" id="{B1ED968C-9772-421C-9D70-7971564CD7A0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5192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272</xdr:row>
      <xdr:rowOff>0</xdr:rowOff>
    </xdr:from>
    <xdr:ext cx="304800" cy="304800"/>
    <xdr:sp macro="" textlink="">
      <xdr:nvSpPr>
        <xdr:cNvPr id="183" name="AutoShape 1">
          <a:extLst>
            <a:ext uri="{FF2B5EF4-FFF2-40B4-BE49-F238E27FC236}">
              <a16:creationId xmlns:a16="http://schemas.microsoft.com/office/drawing/2014/main" id="{A930452D-FC8F-4EB1-B6AF-4E1C237BAFAB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5192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272</xdr:row>
      <xdr:rowOff>0</xdr:rowOff>
    </xdr:from>
    <xdr:ext cx="304800" cy="304800"/>
    <xdr:sp macro="" textlink="">
      <xdr:nvSpPr>
        <xdr:cNvPr id="184" name="AutoShape 1">
          <a:extLst>
            <a:ext uri="{FF2B5EF4-FFF2-40B4-BE49-F238E27FC236}">
              <a16:creationId xmlns:a16="http://schemas.microsoft.com/office/drawing/2014/main" id="{0093E7FC-0439-4ACA-9A13-C4F08A74723F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5192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272</xdr:row>
      <xdr:rowOff>0</xdr:rowOff>
    </xdr:from>
    <xdr:ext cx="304800" cy="304800"/>
    <xdr:sp macro="" textlink="">
      <xdr:nvSpPr>
        <xdr:cNvPr id="185" name="AutoShape 1">
          <a:extLst>
            <a:ext uri="{FF2B5EF4-FFF2-40B4-BE49-F238E27FC236}">
              <a16:creationId xmlns:a16="http://schemas.microsoft.com/office/drawing/2014/main" id="{94CE3BBD-7E1F-4576-870C-FA092251E856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5192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272</xdr:row>
      <xdr:rowOff>0</xdr:rowOff>
    </xdr:from>
    <xdr:ext cx="304800" cy="304800"/>
    <xdr:sp macro="" textlink="">
      <xdr:nvSpPr>
        <xdr:cNvPr id="186" name="AutoShape 1">
          <a:extLst>
            <a:ext uri="{FF2B5EF4-FFF2-40B4-BE49-F238E27FC236}">
              <a16:creationId xmlns:a16="http://schemas.microsoft.com/office/drawing/2014/main" id="{F9CB6C7A-9DF3-4655-A095-54CDFE0160E5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5192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272</xdr:row>
      <xdr:rowOff>0</xdr:rowOff>
    </xdr:from>
    <xdr:ext cx="304800" cy="304800"/>
    <xdr:sp macro="" textlink="">
      <xdr:nvSpPr>
        <xdr:cNvPr id="187" name="AutoShape 1">
          <a:extLst>
            <a:ext uri="{FF2B5EF4-FFF2-40B4-BE49-F238E27FC236}">
              <a16:creationId xmlns:a16="http://schemas.microsoft.com/office/drawing/2014/main" id="{9FDFC6B4-9DB1-4988-8B75-A92F62343C5E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5192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272</xdr:row>
      <xdr:rowOff>0</xdr:rowOff>
    </xdr:from>
    <xdr:ext cx="304800" cy="304800"/>
    <xdr:sp macro="" textlink="">
      <xdr:nvSpPr>
        <xdr:cNvPr id="188" name="AutoShape 1">
          <a:extLst>
            <a:ext uri="{FF2B5EF4-FFF2-40B4-BE49-F238E27FC236}">
              <a16:creationId xmlns:a16="http://schemas.microsoft.com/office/drawing/2014/main" id="{79FC68BE-0E2B-4E27-BF65-009FE2A5037A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5192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272</xdr:row>
      <xdr:rowOff>0</xdr:rowOff>
    </xdr:from>
    <xdr:ext cx="304800" cy="304800"/>
    <xdr:sp macro="" textlink="">
      <xdr:nvSpPr>
        <xdr:cNvPr id="189" name="AutoShape 1">
          <a:extLst>
            <a:ext uri="{FF2B5EF4-FFF2-40B4-BE49-F238E27FC236}">
              <a16:creationId xmlns:a16="http://schemas.microsoft.com/office/drawing/2014/main" id="{3A89E661-E95F-4344-96FD-46B9DDDBE167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5192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272</xdr:row>
      <xdr:rowOff>0</xdr:rowOff>
    </xdr:from>
    <xdr:ext cx="304800" cy="304800"/>
    <xdr:sp macro="" textlink="">
      <xdr:nvSpPr>
        <xdr:cNvPr id="190" name="AutoShape 1">
          <a:extLst>
            <a:ext uri="{FF2B5EF4-FFF2-40B4-BE49-F238E27FC236}">
              <a16:creationId xmlns:a16="http://schemas.microsoft.com/office/drawing/2014/main" id="{0BCF6F72-8DCC-4CB0-BFC2-88DEBD7A6CE8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5192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272</xdr:row>
      <xdr:rowOff>0</xdr:rowOff>
    </xdr:from>
    <xdr:ext cx="304800" cy="304800"/>
    <xdr:sp macro="" textlink="">
      <xdr:nvSpPr>
        <xdr:cNvPr id="191" name="AutoShape 1">
          <a:extLst>
            <a:ext uri="{FF2B5EF4-FFF2-40B4-BE49-F238E27FC236}">
              <a16:creationId xmlns:a16="http://schemas.microsoft.com/office/drawing/2014/main" id="{0D2FA3B4-E1EE-4B05-A676-9989C0755560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5192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272</xdr:row>
      <xdr:rowOff>0</xdr:rowOff>
    </xdr:from>
    <xdr:ext cx="304800" cy="304800"/>
    <xdr:sp macro="" textlink="">
      <xdr:nvSpPr>
        <xdr:cNvPr id="192" name="AutoShape 1">
          <a:extLst>
            <a:ext uri="{FF2B5EF4-FFF2-40B4-BE49-F238E27FC236}">
              <a16:creationId xmlns:a16="http://schemas.microsoft.com/office/drawing/2014/main" id="{A6B51E53-14D8-4FBF-AA8E-C4B40068D4E3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5192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272</xdr:row>
      <xdr:rowOff>0</xdr:rowOff>
    </xdr:from>
    <xdr:ext cx="304800" cy="304800"/>
    <xdr:sp macro="" textlink="">
      <xdr:nvSpPr>
        <xdr:cNvPr id="193" name="AutoShape 1">
          <a:extLst>
            <a:ext uri="{FF2B5EF4-FFF2-40B4-BE49-F238E27FC236}">
              <a16:creationId xmlns:a16="http://schemas.microsoft.com/office/drawing/2014/main" id="{1DD4F53E-FC25-4704-9753-9901D3E7B094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5192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272</xdr:row>
      <xdr:rowOff>0</xdr:rowOff>
    </xdr:from>
    <xdr:ext cx="304800" cy="304800"/>
    <xdr:sp macro="" textlink="">
      <xdr:nvSpPr>
        <xdr:cNvPr id="194" name="AutoShape 1">
          <a:extLst>
            <a:ext uri="{FF2B5EF4-FFF2-40B4-BE49-F238E27FC236}">
              <a16:creationId xmlns:a16="http://schemas.microsoft.com/office/drawing/2014/main" id="{156D327F-7B23-4961-B40D-68505C5B487A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5192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272</xdr:row>
      <xdr:rowOff>0</xdr:rowOff>
    </xdr:from>
    <xdr:ext cx="304800" cy="304800"/>
    <xdr:sp macro="" textlink="">
      <xdr:nvSpPr>
        <xdr:cNvPr id="195" name="AutoShape 1">
          <a:extLst>
            <a:ext uri="{FF2B5EF4-FFF2-40B4-BE49-F238E27FC236}">
              <a16:creationId xmlns:a16="http://schemas.microsoft.com/office/drawing/2014/main" id="{04C8BCF8-8EA7-4A33-BF22-39071D9F9D3A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5192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272</xdr:row>
      <xdr:rowOff>0</xdr:rowOff>
    </xdr:from>
    <xdr:ext cx="304800" cy="304800"/>
    <xdr:sp macro="" textlink="">
      <xdr:nvSpPr>
        <xdr:cNvPr id="196" name="AutoShape 1">
          <a:extLst>
            <a:ext uri="{FF2B5EF4-FFF2-40B4-BE49-F238E27FC236}">
              <a16:creationId xmlns:a16="http://schemas.microsoft.com/office/drawing/2014/main" id="{485FEBA1-DF84-459F-ADF2-05F7CD721F35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5192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272</xdr:row>
      <xdr:rowOff>0</xdr:rowOff>
    </xdr:from>
    <xdr:ext cx="304800" cy="304800"/>
    <xdr:sp macro="" textlink="">
      <xdr:nvSpPr>
        <xdr:cNvPr id="197" name="AutoShape 1">
          <a:extLst>
            <a:ext uri="{FF2B5EF4-FFF2-40B4-BE49-F238E27FC236}">
              <a16:creationId xmlns:a16="http://schemas.microsoft.com/office/drawing/2014/main" id="{2992AFB8-EBD4-4F1F-BB80-5CC879784B27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5192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272</xdr:row>
      <xdr:rowOff>0</xdr:rowOff>
    </xdr:from>
    <xdr:ext cx="304800" cy="304800"/>
    <xdr:sp macro="" textlink="">
      <xdr:nvSpPr>
        <xdr:cNvPr id="198" name="AutoShape 1">
          <a:extLst>
            <a:ext uri="{FF2B5EF4-FFF2-40B4-BE49-F238E27FC236}">
              <a16:creationId xmlns:a16="http://schemas.microsoft.com/office/drawing/2014/main" id="{2889C00B-2E23-4BFD-A180-76CC60CCC6EE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5192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272</xdr:row>
      <xdr:rowOff>0</xdr:rowOff>
    </xdr:from>
    <xdr:ext cx="304800" cy="304800"/>
    <xdr:sp macro="" textlink="">
      <xdr:nvSpPr>
        <xdr:cNvPr id="199" name="AutoShape 1">
          <a:extLst>
            <a:ext uri="{FF2B5EF4-FFF2-40B4-BE49-F238E27FC236}">
              <a16:creationId xmlns:a16="http://schemas.microsoft.com/office/drawing/2014/main" id="{C9E4750C-7AE0-4F64-BC90-FDD24D3A5C21}"/>
            </a:ext>
            <a:ext uri="{147F2762-F138-4A5C-976F-8EAC2B608ADB}">
              <a16:predDERef xmlns:a16="http://schemas.microsoft.com/office/drawing/2014/main" pred="{A9C9C4DB-4B97-447C-9099-E87BCB3C537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5192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272</xdr:row>
      <xdr:rowOff>0</xdr:rowOff>
    </xdr:from>
    <xdr:ext cx="304800" cy="304800"/>
    <xdr:sp macro="" textlink="">
      <xdr:nvSpPr>
        <xdr:cNvPr id="200" name="AutoShape 1">
          <a:extLst>
            <a:ext uri="{FF2B5EF4-FFF2-40B4-BE49-F238E27FC236}">
              <a16:creationId xmlns:a16="http://schemas.microsoft.com/office/drawing/2014/main" id="{4E319506-E605-4FA5-841B-77D96B5EE428}"/>
            </a:ext>
            <a:ext uri="{147F2762-F138-4A5C-976F-8EAC2B608ADB}">
              <a16:predDERef xmlns:a16="http://schemas.microsoft.com/office/drawing/2014/main" pred="{CD89554D-BD76-42AD-819A-278AD445B86E}"/>
            </a:ext>
          </a:extLst>
        </xdr:cNvPr>
        <xdr:cNvSpPr>
          <a:spLocks noChangeAspect="1" noChangeArrowheads="1"/>
        </xdr:cNvSpPr>
      </xdr:nvSpPr>
      <xdr:spPr bwMode="auto">
        <a:xfrm>
          <a:off x="1390650" y="5192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309</xdr:row>
      <xdr:rowOff>0</xdr:rowOff>
    </xdr:from>
    <xdr:ext cx="304800" cy="304800"/>
    <xdr:sp macro="" textlink="">
      <xdr:nvSpPr>
        <xdr:cNvPr id="201" name="AutoShape 1">
          <a:extLst>
            <a:ext uri="{FF2B5EF4-FFF2-40B4-BE49-F238E27FC236}">
              <a16:creationId xmlns:a16="http://schemas.microsoft.com/office/drawing/2014/main" id="{87D6D037-6D1E-4620-B3F2-870B4DA618F3}"/>
            </a:ext>
          </a:extLst>
        </xdr:cNvPr>
        <xdr:cNvSpPr>
          <a:spLocks noChangeAspect="1" noChangeArrowheads="1"/>
        </xdr:cNvSpPr>
      </xdr:nvSpPr>
      <xdr:spPr bwMode="auto">
        <a:xfrm>
          <a:off x="1390650" y="5897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309</xdr:row>
      <xdr:rowOff>0</xdr:rowOff>
    </xdr:from>
    <xdr:ext cx="304800" cy="304800"/>
    <xdr:sp macro="" textlink="">
      <xdr:nvSpPr>
        <xdr:cNvPr id="202" name="AutoShape 1">
          <a:extLst>
            <a:ext uri="{FF2B5EF4-FFF2-40B4-BE49-F238E27FC236}">
              <a16:creationId xmlns:a16="http://schemas.microsoft.com/office/drawing/2014/main" id="{DDF2AE51-0D7B-46E6-8474-19385F2FD47C}"/>
            </a:ext>
          </a:extLst>
        </xdr:cNvPr>
        <xdr:cNvSpPr>
          <a:spLocks noChangeAspect="1" noChangeArrowheads="1"/>
        </xdr:cNvSpPr>
      </xdr:nvSpPr>
      <xdr:spPr bwMode="auto">
        <a:xfrm>
          <a:off x="1390650" y="5897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318</xdr:row>
      <xdr:rowOff>0</xdr:rowOff>
    </xdr:from>
    <xdr:ext cx="304800" cy="304800"/>
    <xdr:sp macro="" textlink="">
      <xdr:nvSpPr>
        <xdr:cNvPr id="203" name="AutoShape 1">
          <a:extLst>
            <a:ext uri="{FF2B5EF4-FFF2-40B4-BE49-F238E27FC236}">
              <a16:creationId xmlns:a16="http://schemas.microsoft.com/office/drawing/2014/main" id="{28BA8059-F24D-4C90-ABA6-0009B5F5A104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068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318</xdr:row>
      <xdr:rowOff>0</xdr:rowOff>
    </xdr:from>
    <xdr:ext cx="304800" cy="304800"/>
    <xdr:sp macro="" textlink="">
      <xdr:nvSpPr>
        <xdr:cNvPr id="204" name="AutoShape 1">
          <a:extLst>
            <a:ext uri="{FF2B5EF4-FFF2-40B4-BE49-F238E27FC236}">
              <a16:creationId xmlns:a16="http://schemas.microsoft.com/office/drawing/2014/main" id="{91384A4D-CA74-43D7-BB97-1E2DBCCDCD1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068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318</xdr:row>
      <xdr:rowOff>0</xdr:rowOff>
    </xdr:from>
    <xdr:ext cx="304800" cy="304800"/>
    <xdr:sp macro="" textlink="">
      <xdr:nvSpPr>
        <xdr:cNvPr id="205" name="AutoShape 1">
          <a:extLst>
            <a:ext uri="{FF2B5EF4-FFF2-40B4-BE49-F238E27FC236}">
              <a16:creationId xmlns:a16="http://schemas.microsoft.com/office/drawing/2014/main" id="{89E6787E-22D5-4C53-B292-A7337F8896C3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068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318</xdr:row>
      <xdr:rowOff>0</xdr:rowOff>
    </xdr:from>
    <xdr:ext cx="304800" cy="304800"/>
    <xdr:sp macro="" textlink="">
      <xdr:nvSpPr>
        <xdr:cNvPr id="206" name="AutoShape 1">
          <a:extLst>
            <a:ext uri="{FF2B5EF4-FFF2-40B4-BE49-F238E27FC236}">
              <a16:creationId xmlns:a16="http://schemas.microsoft.com/office/drawing/2014/main" id="{2AEC9C1F-EC83-4230-B847-F3B4A3CE7F41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068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318</xdr:row>
      <xdr:rowOff>0</xdr:rowOff>
    </xdr:from>
    <xdr:ext cx="304800" cy="304800"/>
    <xdr:sp macro="" textlink="">
      <xdr:nvSpPr>
        <xdr:cNvPr id="207" name="AutoShape 1">
          <a:extLst>
            <a:ext uri="{FF2B5EF4-FFF2-40B4-BE49-F238E27FC236}">
              <a16:creationId xmlns:a16="http://schemas.microsoft.com/office/drawing/2014/main" id="{B5F2A195-9FC6-40E7-A17C-A5616E749E46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068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318</xdr:row>
      <xdr:rowOff>0</xdr:rowOff>
    </xdr:from>
    <xdr:ext cx="304800" cy="304800"/>
    <xdr:sp macro="" textlink="">
      <xdr:nvSpPr>
        <xdr:cNvPr id="208" name="AutoShape 1">
          <a:extLst>
            <a:ext uri="{FF2B5EF4-FFF2-40B4-BE49-F238E27FC236}">
              <a16:creationId xmlns:a16="http://schemas.microsoft.com/office/drawing/2014/main" id="{BFA23824-C7E7-46FC-B331-FFB66C7E58DF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068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318</xdr:row>
      <xdr:rowOff>0</xdr:rowOff>
    </xdr:from>
    <xdr:ext cx="304800" cy="304800"/>
    <xdr:sp macro="" textlink="">
      <xdr:nvSpPr>
        <xdr:cNvPr id="209" name="AutoShape 1">
          <a:extLst>
            <a:ext uri="{FF2B5EF4-FFF2-40B4-BE49-F238E27FC236}">
              <a16:creationId xmlns:a16="http://schemas.microsoft.com/office/drawing/2014/main" id="{9006AB29-A671-48EB-B252-19FA13D2CB23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068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318</xdr:row>
      <xdr:rowOff>0</xdr:rowOff>
    </xdr:from>
    <xdr:ext cx="304800" cy="304800"/>
    <xdr:sp macro="" textlink="">
      <xdr:nvSpPr>
        <xdr:cNvPr id="210" name="AutoShape 1">
          <a:extLst>
            <a:ext uri="{FF2B5EF4-FFF2-40B4-BE49-F238E27FC236}">
              <a16:creationId xmlns:a16="http://schemas.microsoft.com/office/drawing/2014/main" id="{F524B1B1-2816-45A8-938F-FC23382244EC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068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318</xdr:row>
      <xdr:rowOff>0</xdr:rowOff>
    </xdr:from>
    <xdr:ext cx="304800" cy="304800"/>
    <xdr:sp macro="" textlink="">
      <xdr:nvSpPr>
        <xdr:cNvPr id="211" name="AutoShape 1">
          <a:extLst>
            <a:ext uri="{FF2B5EF4-FFF2-40B4-BE49-F238E27FC236}">
              <a16:creationId xmlns:a16="http://schemas.microsoft.com/office/drawing/2014/main" id="{DCC77907-6C41-4BCD-9796-D07D3861F8F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068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318</xdr:row>
      <xdr:rowOff>0</xdr:rowOff>
    </xdr:from>
    <xdr:ext cx="304800" cy="304800"/>
    <xdr:sp macro="" textlink="">
      <xdr:nvSpPr>
        <xdr:cNvPr id="212" name="AutoShape 1">
          <a:extLst>
            <a:ext uri="{FF2B5EF4-FFF2-40B4-BE49-F238E27FC236}">
              <a16:creationId xmlns:a16="http://schemas.microsoft.com/office/drawing/2014/main" id="{D6238941-B554-4B9B-9FF7-2CD4011C895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068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318</xdr:row>
      <xdr:rowOff>0</xdr:rowOff>
    </xdr:from>
    <xdr:ext cx="304800" cy="304800"/>
    <xdr:sp macro="" textlink="">
      <xdr:nvSpPr>
        <xdr:cNvPr id="213" name="AutoShape 1">
          <a:extLst>
            <a:ext uri="{FF2B5EF4-FFF2-40B4-BE49-F238E27FC236}">
              <a16:creationId xmlns:a16="http://schemas.microsoft.com/office/drawing/2014/main" id="{379B91F7-DF27-4797-90BD-46348D679BEB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068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318</xdr:row>
      <xdr:rowOff>0</xdr:rowOff>
    </xdr:from>
    <xdr:ext cx="304800" cy="304800"/>
    <xdr:sp macro="" textlink="">
      <xdr:nvSpPr>
        <xdr:cNvPr id="214" name="AutoShape 1">
          <a:extLst>
            <a:ext uri="{FF2B5EF4-FFF2-40B4-BE49-F238E27FC236}">
              <a16:creationId xmlns:a16="http://schemas.microsoft.com/office/drawing/2014/main" id="{E9559831-43A6-477C-B9FA-51B62C17CCD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068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318</xdr:row>
      <xdr:rowOff>0</xdr:rowOff>
    </xdr:from>
    <xdr:ext cx="304800" cy="304800"/>
    <xdr:sp macro="" textlink="">
      <xdr:nvSpPr>
        <xdr:cNvPr id="215" name="AutoShape 1">
          <a:extLst>
            <a:ext uri="{FF2B5EF4-FFF2-40B4-BE49-F238E27FC236}">
              <a16:creationId xmlns:a16="http://schemas.microsoft.com/office/drawing/2014/main" id="{51324A02-7A3B-4903-BE23-9BF1AF2DCDB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068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318</xdr:row>
      <xdr:rowOff>0</xdr:rowOff>
    </xdr:from>
    <xdr:ext cx="304800" cy="304800"/>
    <xdr:sp macro="" textlink="">
      <xdr:nvSpPr>
        <xdr:cNvPr id="216" name="AutoShape 1">
          <a:extLst>
            <a:ext uri="{FF2B5EF4-FFF2-40B4-BE49-F238E27FC236}">
              <a16:creationId xmlns:a16="http://schemas.microsoft.com/office/drawing/2014/main" id="{2779F837-C92A-47C9-BC00-3FEE96B74C0F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068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318</xdr:row>
      <xdr:rowOff>0</xdr:rowOff>
    </xdr:from>
    <xdr:ext cx="304800" cy="304800"/>
    <xdr:sp macro="" textlink="">
      <xdr:nvSpPr>
        <xdr:cNvPr id="217" name="AutoShape 1">
          <a:extLst>
            <a:ext uri="{FF2B5EF4-FFF2-40B4-BE49-F238E27FC236}">
              <a16:creationId xmlns:a16="http://schemas.microsoft.com/office/drawing/2014/main" id="{0C152653-C933-4E8F-A0F1-7F4609E069E4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068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318</xdr:row>
      <xdr:rowOff>0</xdr:rowOff>
    </xdr:from>
    <xdr:ext cx="304800" cy="304800"/>
    <xdr:sp macro="" textlink="">
      <xdr:nvSpPr>
        <xdr:cNvPr id="218" name="AutoShape 1">
          <a:extLst>
            <a:ext uri="{FF2B5EF4-FFF2-40B4-BE49-F238E27FC236}">
              <a16:creationId xmlns:a16="http://schemas.microsoft.com/office/drawing/2014/main" id="{7E403B36-CD04-4710-B461-03BF03E3A273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068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318</xdr:row>
      <xdr:rowOff>0</xdr:rowOff>
    </xdr:from>
    <xdr:ext cx="304800" cy="304800"/>
    <xdr:sp macro="" textlink="">
      <xdr:nvSpPr>
        <xdr:cNvPr id="219" name="AutoShape 1">
          <a:extLst>
            <a:ext uri="{FF2B5EF4-FFF2-40B4-BE49-F238E27FC236}">
              <a16:creationId xmlns:a16="http://schemas.microsoft.com/office/drawing/2014/main" id="{9223E9AA-1BBB-4CC0-A826-B3484A281383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068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318</xdr:row>
      <xdr:rowOff>0</xdr:rowOff>
    </xdr:from>
    <xdr:ext cx="304800" cy="304800"/>
    <xdr:sp macro="" textlink="">
      <xdr:nvSpPr>
        <xdr:cNvPr id="220" name="AutoShape 1">
          <a:extLst>
            <a:ext uri="{FF2B5EF4-FFF2-40B4-BE49-F238E27FC236}">
              <a16:creationId xmlns:a16="http://schemas.microsoft.com/office/drawing/2014/main" id="{D7EAB584-0E68-45C0-B575-51640E897DA8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068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318</xdr:row>
      <xdr:rowOff>0</xdr:rowOff>
    </xdr:from>
    <xdr:ext cx="304800" cy="304800"/>
    <xdr:sp macro="" textlink="">
      <xdr:nvSpPr>
        <xdr:cNvPr id="221" name="AutoShape 1">
          <a:extLst>
            <a:ext uri="{FF2B5EF4-FFF2-40B4-BE49-F238E27FC236}">
              <a16:creationId xmlns:a16="http://schemas.microsoft.com/office/drawing/2014/main" id="{D52AD677-A0DF-4042-9FBD-8005F9523527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068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318</xdr:row>
      <xdr:rowOff>0</xdr:rowOff>
    </xdr:from>
    <xdr:ext cx="304800" cy="304800"/>
    <xdr:sp macro="" textlink="">
      <xdr:nvSpPr>
        <xdr:cNvPr id="222" name="AutoShape 1">
          <a:extLst>
            <a:ext uri="{FF2B5EF4-FFF2-40B4-BE49-F238E27FC236}">
              <a16:creationId xmlns:a16="http://schemas.microsoft.com/office/drawing/2014/main" id="{9257ECA2-2ACA-482E-B61F-B7AD1AC4103C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068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318</xdr:row>
      <xdr:rowOff>0</xdr:rowOff>
    </xdr:from>
    <xdr:ext cx="304800" cy="304800"/>
    <xdr:sp macro="" textlink="">
      <xdr:nvSpPr>
        <xdr:cNvPr id="223" name="AutoShape 1">
          <a:extLst>
            <a:ext uri="{FF2B5EF4-FFF2-40B4-BE49-F238E27FC236}">
              <a16:creationId xmlns:a16="http://schemas.microsoft.com/office/drawing/2014/main" id="{1D599926-E9F0-4D78-B25D-D12E0EC3534A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068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318</xdr:row>
      <xdr:rowOff>0</xdr:rowOff>
    </xdr:from>
    <xdr:ext cx="304800" cy="304800"/>
    <xdr:sp macro="" textlink="">
      <xdr:nvSpPr>
        <xdr:cNvPr id="224" name="AutoShape 1">
          <a:extLst>
            <a:ext uri="{FF2B5EF4-FFF2-40B4-BE49-F238E27FC236}">
              <a16:creationId xmlns:a16="http://schemas.microsoft.com/office/drawing/2014/main" id="{2D21896E-67C1-4EDB-B69B-8F97674D6A30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068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318</xdr:row>
      <xdr:rowOff>0</xdr:rowOff>
    </xdr:from>
    <xdr:ext cx="304800" cy="304800"/>
    <xdr:sp macro="" textlink="">
      <xdr:nvSpPr>
        <xdr:cNvPr id="225" name="AutoShape 1">
          <a:extLst>
            <a:ext uri="{FF2B5EF4-FFF2-40B4-BE49-F238E27FC236}">
              <a16:creationId xmlns:a16="http://schemas.microsoft.com/office/drawing/2014/main" id="{3C575C3C-2D88-4AD6-993E-777441E8F8EA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068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318</xdr:row>
      <xdr:rowOff>0</xdr:rowOff>
    </xdr:from>
    <xdr:ext cx="304800" cy="304800"/>
    <xdr:sp macro="" textlink="">
      <xdr:nvSpPr>
        <xdr:cNvPr id="226" name="AutoShape 1">
          <a:extLst>
            <a:ext uri="{FF2B5EF4-FFF2-40B4-BE49-F238E27FC236}">
              <a16:creationId xmlns:a16="http://schemas.microsoft.com/office/drawing/2014/main" id="{A5BA34FE-52A4-48C3-8615-84F97CC6A424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068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318</xdr:row>
      <xdr:rowOff>0</xdr:rowOff>
    </xdr:from>
    <xdr:ext cx="304800" cy="304800"/>
    <xdr:sp macro="" textlink="">
      <xdr:nvSpPr>
        <xdr:cNvPr id="227" name="AutoShape 1">
          <a:extLst>
            <a:ext uri="{FF2B5EF4-FFF2-40B4-BE49-F238E27FC236}">
              <a16:creationId xmlns:a16="http://schemas.microsoft.com/office/drawing/2014/main" id="{476CDF6E-260C-47FB-9489-43B53CBB0C41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068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318</xdr:row>
      <xdr:rowOff>0</xdr:rowOff>
    </xdr:from>
    <xdr:ext cx="304800" cy="304800"/>
    <xdr:sp macro="" textlink="">
      <xdr:nvSpPr>
        <xdr:cNvPr id="228" name="AutoShape 1">
          <a:extLst>
            <a:ext uri="{FF2B5EF4-FFF2-40B4-BE49-F238E27FC236}">
              <a16:creationId xmlns:a16="http://schemas.microsoft.com/office/drawing/2014/main" id="{DDC5D70B-0A51-42C4-B71C-D15BE2D06EF6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068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318</xdr:row>
      <xdr:rowOff>0</xdr:rowOff>
    </xdr:from>
    <xdr:ext cx="304800" cy="304800"/>
    <xdr:sp macro="" textlink="">
      <xdr:nvSpPr>
        <xdr:cNvPr id="229" name="AutoShape 1">
          <a:extLst>
            <a:ext uri="{FF2B5EF4-FFF2-40B4-BE49-F238E27FC236}">
              <a16:creationId xmlns:a16="http://schemas.microsoft.com/office/drawing/2014/main" id="{6191DEAC-5EA3-4A24-A2DD-F5DB8F66EF99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068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318</xdr:row>
      <xdr:rowOff>0</xdr:rowOff>
    </xdr:from>
    <xdr:ext cx="304800" cy="304800"/>
    <xdr:sp macro="" textlink="">
      <xdr:nvSpPr>
        <xdr:cNvPr id="230" name="AutoShape 1">
          <a:extLst>
            <a:ext uri="{FF2B5EF4-FFF2-40B4-BE49-F238E27FC236}">
              <a16:creationId xmlns:a16="http://schemas.microsoft.com/office/drawing/2014/main" id="{880F3F11-3ED2-42E6-B7DB-2650D8E8132E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068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318</xdr:row>
      <xdr:rowOff>0</xdr:rowOff>
    </xdr:from>
    <xdr:ext cx="304800" cy="304800"/>
    <xdr:sp macro="" textlink="">
      <xdr:nvSpPr>
        <xdr:cNvPr id="231" name="AutoShape 1">
          <a:extLst>
            <a:ext uri="{FF2B5EF4-FFF2-40B4-BE49-F238E27FC236}">
              <a16:creationId xmlns:a16="http://schemas.microsoft.com/office/drawing/2014/main" id="{A4F626B9-783B-4588-9E9A-439A62EA685A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068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318</xdr:row>
      <xdr:rowOff>0</xdr:rowOff>
    </xdr:from>
    <xdr:ext cx="304800" cy="304800"/>
    <xdr:sp macro="" textlink="">
      <xdr:nvSpPr>
        <xdr:cNvPr id="232" name="AutoShape 1">
          <a:extLst>
            <a:ext uri="{FF2B5EF4-FFF2-40B4-BE49-F238E27FC236}">
              <a16:creationId xmlns:a16="http://schemas.microsoft.com/office/drawing/2014/main" id="{5853495A-9899-4EC9-AF46-8E3882E708E5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068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318</xdr:row>
      <xdr:rowOff>0</xdr:rowOff>
    </xdr:from>
    <xdr:ext cx="304800" cy="304800"/>
    <xdr:sp macro="" textlink="">
      <xdr:nvSpPr>
        <xdr:cNvPr id="233" name="AutoShape 1">
          <a:extLst>
            <a:ext uri="{FF2B5EF4-FFF2-40B4-BE49-F238E27FC236}">
              <a16:creationId xmlns:a16="http://schemas.microsoft.com/office/drawing/2014/main" id="{12BA9623-A079-44A2-8E56-008B46F05F01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068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318</xdr:row>
      <xdr:rowOff>0</xdr:rowOff>
    </xdr:from>
    <xdr:ext cx="304800" cy="304800"/>
    <xdr:sp macro="" textlink="">
      <xdr:nvSpPr>
        <xdr:cNvPr id="234" name="AutoShape 1">
          <a:extLst>
            <a:ext uri="{FF2B5EF4-FFF2-40B4-BE49-F238E27FC236}">
              <a16:creationId xmlns:a16="http://schemas.microsoft.com/office/drawing/2014/main" id="{C60319F9-02E7-4996-873C-D6FDFC9861AB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068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318</xdr:row>
      <xdr:rowOff>0</xdr:rowOff>
    </xdr:from>
    <xdr:ext cx="304800" cy="304800"/>
    <xdr:sp macro="" textlink="">
      <xdr:nvSpPr>
        <xdr:cNvPr id="235" name="AutoShape 1">
          <a:extLst>
            <a:ext uri="{FF2B5EF4-FFF2-40B4-BE49-F238E27FC236}">
              <a16:creationId xmlns:a16="http://schemas.microsoft.com/office/drawing/2014/main" id="{8A8A29CE-FC40-432F-9738-DA90AE0810EB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068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318</xdr:row>
      <xdr:rowOff>0</xdr:rowOff>
    </xdr:from>
    <xdr:ext cx="304800" cy="304800"/>
    <xdr:sp macro="" textlink="">
      <xdr:nvSpPr>
        <xdr:cNvPr id="236" name="AutoShape 1">
          <a:extLst>
            <a:ext uri="{FF2B5EF4-FFF2-40B4-BE49-F238E27FC236}">
              <a16:creationId xmlns:a16="http://schemas.microsoft.com/office/drawing/2014/main" id="{E0776EF8-7865-49DB-BFE7-4AE0F3C80436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068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318</xdr:row>
      <xdr:rowOff>0</xdr:rowOff>
    </xdr:from>
    <xdr:ext cx="304800" cy="304800"/>
    <xdr:sp macro="" textlink="">
      <xdr:nvSpPr>
        <xdr:cNvPr id="237" name="AutoShape 1">
          <a:extLst>
            <a:ext uri="{FF2B5EF4-FFF2-40B4-BE49-F238E27FC236}">
              <a16:creationId xmlns:a16="http://schemas.microsoft.com/office/drawing/2014/main" id="{C5F1152D-68F8-4687-A5B5-D5CB2C28E84A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068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318</xdr:row>
      <xdr:rowOff>0</xdr:rowOff>
    </xdr:from>
    <xdr:ext cx="304800" cy="304800"/>
    <xdr:sp macro="" textlink="">
      <xdr:nvSpPr>
        <xdr:cNvPr id="238" name="AutoShape 1">
          <a:extLst>
            <a:ext uri="{FF2B5EF4-FFF2-40B4-BE49-F238E27FC236}">
              <a16:creationId xmlns:a16="http://schemas.microsoft.com/office/drawing/2014/main" id="{A56CB030-90C8-44D7-BD15-DC5D8EEFA5A2}"/>
            </a:ext>
            <a:ext uri="{147F2762-F138-4A5C-976F-8EAC2B608ADB}">
              <a16:predDERef xmlns:a16="http://schemas.microsoft.com/office/drawing/2014/main" pred="{A9C9C4DB-4B97-447C-9099-E87BCB3C537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068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318</xdr:row>
      <xdr:rowOff>0</xdr:rowOff>
    </xdr:from>
    <xdr:ext cx="304800" cy="304800"/>
    <xdr:sp macro="" textlink="">
      <xdr:nvSpPr>
        <xdr:cNvPr id="239" name="AutoShape 1">
          <a:extLst>
            <a:ext uri="{FF2B5EF4-FFF2-40B4-BE49-F238E27FC236}">
              <a16:creationId xmlns:a16="http://schemas.microsoft.com/office/drawing/2014/main" id="{C54D65D8-69CB-4017-A111-755D2B36D00E}"/>
            </a:ext>
            <a:ext uri="{147F2762-F138-4A5C-976F-8EAC2B608ADB}">
              <a16:predDERef xmlns:a16="http://schemas.microsoft.com/office/drawing/2014/main" pred="{CD89554D-BD76-42AD-819A-278AD445B86E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068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318</xdr:row>
      <xdr:rowOff>0</xdr:rowOff>
    </xdr:from>
    <xdr:ext cx="304800" cy="304800"/>
    <xdr:sp macro="" textlink="">
      <xdr:nvSpPr>
        <xdr:cNvPr id="240" name="AutoShape 1">
          <a:extLst>
            <a:ext uri="{FF2B5EF4-FFF2-40B4-BE49-F238E27FC236}">
              <a16:creationId xmlns:a16="http://schemas.microsoft.com/office/drawing/2014/main" id="{413E78E3-3556-4C78-9126-45B878224D2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068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318</xdr:row>
      <xdr:rowOff>0</xdr:rowOff>
    </xdr:from>
    <xdr:ext cx="304800" cy="304800"/>
    <xdr:sp macro="" textlink="">
      <xdr:nvSpPr>
        <xdr:cNvPr id="241" name="AutoShape 1">
          <a:extLst>
            <a:ext uri="{FF2B5EF4-FFF2-40B4-BE49-F238E27FC236}">
              <a16:creationId xmlns:a16="http://schemas.microsoft.com/office/drawing/2014/main" id="{7492B055-621F-431A-A09F-D110E1C65514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068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318</xdr:row>
      <xdr:rowOff>0</xdr:rowOff>
    </xdr:from>
    <xdr:ext cx="304800" cy="304800"/>
    <xdr:sp macro="" textlink="">
      <xdr:nvSpPr>
        <xdr:cNvPr id="242" name="AutoShape 1">
          <a:extLst>
            <a:ext uri="{FF2B5EF4-FFF2-40B4-BE49-F238E27FC236}">
              <a16:creationId xmlns:a16="http://schemas.microsoft.com/office/drawing/2014/main" id="{2EABD17A-65FC-4E0B-927E-F13E9F6CBC6A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068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318</xdr:row>
      <xdr:rowOff>0</xdr:rowOff>
    </xdr:from>
    <xdr:ext cx="304800" cy="304800"/>
    <xdr:sp macro="" textlink="">
      <xdr:nvSpPr>
        <xdr:cNvPr id="243" name="AutoShape 1">
          <a:extLst>
            <a:ext uri="{FF2B5EF4-FFF2-40B4-BE49-F238E27FC236}">
              <a16:creationId xmlns:a16="http://schemas.microsoft.com/office/drawing/2014/main" id="{12FA2A19-AF4A-408F-8DFA-4C97F07D3DDC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068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318</xdr:row>
      <xdr:rowOff>0</xdr:rowOff>
    </xdr:from>
    <xdr:ext cx="304800" cy="304800"/>
    <xdr:sp macro="" textlink="">
      <xdr:nvSpPr>
        <xdr:cNvPr id="244" name="AutoShape 1">
          <a:extLst>
            <a:ext uri="{FF2B5EF4-FFF2-40B4-BE49-F238E27FC236}">
              <a16:creationId xmlns:a16="http://schemas.microsoft.com/office/drawing/2014/main" id="{EF5069E4-FFC4-4947-94ED-23A2B99379D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068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318</xdr:row>
      <xdr:rowOff>0</xdr:rowOff>
    </xdr:from>
    <xdr:ext cx="304800" cy="304800"/>
    <xdr:sp macro="" textlink="">
      <xdr:nvSpPr>
        <xdr:cNvPr id="245" name="AutoShape 1">
          <a:extLst>
            <a:ext uri="{FF2B5EF4-FFF2-40B4-BE49-F238E27FC236}">
              <a16:creationId xmlns:a16="http://schemas.microsoft.com/office/drawing/2014/main" id="{CE986708-C189-45C9-825C-ED6BA3726433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068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318</xdr:row>
      <xdr:rowOff>0</xdr:rowOff>
    </xdr:from>
    <xdr:ext cx="304800" cy="304800"/>
    <xdr:sp macro="" textlink="">
      <xdr:nvSpPr>
        <xdr:cNvPr id="246" name="AutoShape 1">
          <a:extLst>
            <a:ext uri="{FF2B5EF4-FFF2-40B4-BE49-F238E27FC236}">
              <a16:creationId xmlns:a16="http://schemas.microsoft.com/office/drawing/2014/main" id="{397B27C6-9ECE-46BC-97BC-E4BA06CE4C3B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068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318</xdr:row>
      <xdr:rowOff>0</xdr:rowOff>
    </xdr:from>
    <xdr:ext cx="304800" cy="304800"/>
    <xdr:sp macro="" textlink="">
      <xdr:nvSpPr>
        <xdr:cNvPr id="247" name="AutoShape 1">
          <a:extLst>
            <a:ext uri="{FF2B5EF4-FFF2-40B4-BE49-F238E27FC236}">
              <a16:creationId xmlns:a16="http://schemas.microsoft.com/office/drawing/2014/main" id="{40702DB4-AEAC-4D47-ABB6-1C6EE04D9F7F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068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318</xdr:row>
      <xdr:rowOff>0</xdr:rowOff>
    </xdr:from>
    <xdr:ext cx="304800" cy="304800"/>
    <xdr:sp macro="" textlink="">
      <xdr:nvSpPr>
        <xdr:cNvPr id="248" name="AutoShape 1">
          <a:extLst>
            <a:ext uri="{FF2B5EF4-FFF2-40B4-BE49-F238E27FC236}">
              <a16:creationId xmlns:a16="http://schemas.microsoft.com/office/drawing/2014/main" id="{011D5463-CD8D-4DD5-AD99-FB0083D99D6B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068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318</xdr:row>
      <xdr:rowOff>0</xdr:rowOff>
    </xdr:from>
    <xdr:ext cx="304800" cy="304800"/>
    <xdr:sp macro="" textlink="">
      <xdr:nvSpPr>
        <xdr:cNvPr id="249" name="AutoShape 1">
          <a:extLst>
            <a:ext uri="{FF2B5EF4-FFF2-40B4-BE49-F238E27FC236}">
              <a16:creationId xmlns:a16="http://schemas.microsoft.com/office/drawing/2014/main" id="{BBDA899C-90B3-4683-A561-95974EDAB833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068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318</xdr:row>
      <xdr:rowOff>0</xdr:rowOff>
    </xdr:from>
    <xdr:ext cx="304800" cy="304800"/>
    <xdr:sp macro="" textlink="">
      <xdr:nvSpPr>
        <xdr:cNvPr id="250" name="AutoShape 1">
          <a:extLst>
            <a:ext uri="{FF2B5EF4-FFF2-40B4-BE49-F238E27FC236}">
              <a16:creationId xmlns:a16="http://schemas.microsoft.com/office/drawing/2014/main" id="{82843E13-5FD8-42CA-80C2-B17EF718E86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068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318</xdr:row>
      <xdr:rowOff>0</xdr:rowOff>
    </xdr:from>
    <xdr:ext cx="304800" cy="304800"/>
    <xdr:sp macro="" textlink="">
      <xdr:nvSpPr>
        <xdr:cNvPr id="251" name="AutoShape 1">
          <a:extLst>
            <a:ext uri="{FF2B5EF4-FFF2-40B4-BE49-F238E27FC236}">
              <a16:creationId xmlns:a16="http://schemas.microsoft.com/office/drawing/2014/main" id="{DF4D30A0-B3BC-4DDB-AA96-F790BAA388B6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068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318</xdr:row>
      <xdr:rowOff>0</xdr:rowOff>
    </xdr:from>
    <xdr:ext cx="304800" cy="304800"/>
    <xdr:sp macro="" textlink="">
      <xdr:nvSpPr>
        <xdr:cNvPr id="252" name="AutoShape 1">
          <a:extLst>
            <a:ext uri="{FF2B5EF4-FFF2-40B4-BE49-F238E27FC236}">
              <a16:creationId xmlns:a16="http://schemas.microsoft.com/office/drawing/2014/main" id="{587A5A02-1DEF-487D-956A-CC29EA2F1B3F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068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318</xdr:row>
      <xdr:rowOff>0</xdr:rowOff>
    </xdr:from>
    <xdr:ext cx="304800" cy="304800"/>
    <xdr:sp macro="" textlink="">
      <xdr:nvSpPr>
        <xdr:cNvPr id="253" name="AutoShape 1">
          <a:extLst>
            <a:ext uri="{FF2B5EF4-FFF2-40B4-BE49-F238E27FC236}">
              <a16:creationId xmlns:a16="http://schemas.microsoft.com/office/drawing/2014/main" id="{CF5333FB-155F-4792-AC8E-D0AD55F1D2DC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068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318</xdr:row>
      <xdr:rowOff>0</xdr:rowOff>
    </xdr:from>
    <xdr:ext cx="304800" cy="304800"/>
    <xdr:sp macro="" textlink="">
      <xdr:nvSpPr>
        <xdr:cNvPr id="254" name="AutoShape 1">
          <a:extLst>
            <a:ext uri="{FF2B5EF4-FFF2-40B4-BE49-F238E27FC236}">
              <a16:creationId xmlns:a16="http://schemas.microsoft.com/office/drawing/2014/main" id="{A881F635-D5C8-4569-A122-1BD615CC8891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068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318</xdr:row>
      <xdr:rowOff>0</xdr:rowOff>
    </xdr:from>
    <xdr:ext cx="304800" cy="304800"/>
    <xdr:sp macro="" textlink="">
      <xdr:nvSpPr>
        <xdr:cNvPr id="255" name="AutoShape 1">
          <a:extLst>
            <a:ext uri="{FF2B5EF4-FFF2-40B4-BE49-F238E27FC236}">
              <a16:creationId xmlns:a16="http://schemas.microsoft.com/office/drawing/2014/main" id="{2127074D-C957-48E1-9BB5-1BAA481A37A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068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318</xdr:row>
      <xdr:rowOff>0</xdr:rowOff>
    </xdr:from>
    <xdr:ext cx="304800" cy="304800"/>
    <xdr:sp macro="" textlink="">
      <xdr:nvSpPr>
        <xdr:cNvPr id="256" name="AutoShape 1">
          <a:extLst>
            <a:ext uri="{FF2B5EF4-FFF2-40B4-BE49-F238E27FC236}">
              <a16:creationId xmlns:a16="http://schemas.microsoft.com/office/drawing/2014/main" id="{EF23D283-B69B-41AA-930C-127309BEFFFC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068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318</xdr:row>
      <xdr:rowOff>0</xdr:rowOff>
    </xdr:from>
    <xdr:ext cx="304800" cy="304800"/>
    <xdr:sp macro="" textlink="">
      <xdr:nvSpPr>
        <xdr:cNvPr id="257" name="AutoShape 1">
          <a:extLst>
            <a:ext uri="{FF2B5EF4-FFF2-40B4-BE49-F238E27FC236}">
              <a16:creationId xmlns:a16="http://schemas.microsoft.com/office/drawing/2014/main" id="{52A2ACEC-881D-47AA-BB5A-C72ED41A8587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068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318</xdr:row>
      <xdr:rowOff>0</xdr:rowOff>
    </xdr:from>
    <xdr:ext cx="304800" cy="304800"/>
    <xdr:sp macro="" textlink="">
      <xdr:nvSpPr>
        <xdr:cNvPr id="258" name="AutoShape 1">
          <a:extLst>
            <a:ext uri="{FF2B5EF4-FFF2-40B4-BE49-F238E27FC236}">
              <a16:creationId xmlns:a16="http://schemas.microsoft.com/office/drawing/2014/main" id="{8CCFBD23-FA60-48BF-86EF-A0FE71BF0EDF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068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318</xdr:row>
      <xdr:rowOff>0</xdr:rowOff>
    </xdr:from>
    <xdr:ext cx="304800" cy="304800"/>
    <xdr:sp macro="" textlink="">
      <xdr:nvSpPr>
        <xdr:cNvPr id="259" name="AutoShape 1">
          <a:extLst>
            <a:ext uri="{FF2B5EF4-FFF2-40B4-BE49-F238E27FC236}">
              <a16:creationId xmlns:a16="http://schemas.microsoft.com/office/drawing/2014/main" id="{5F32534E-5E63-4852-97E9-6F71B760045E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068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318</xdr:row>
      <xdr:rowOff>0</xdr:rowOff>
    </xdr:from>
    <xdr:ext cx="304800" cy="304800"/>
    <xdr:sp macro="" textlink="">
      <xdr:nvSpPr>
        <xdr:cNvPr id="260" name="AutoShape 1">
          <a:extLst>
            <a:ext uri="{FF2B5EF4-FFF2-40B4-BE49-F238E27FC236}">
              <a16:creationId xmlns:a16="http://schemas.microsoft.com/office/drawing/2014/main" id="{13A8B0B8-C486-45A7-9FF8-4099A4F7E489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068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318</xdr:row>
      <xdr:rowOff>0</xdr:rowOff>
    </xdr:from>
    <xdr:ext cx="304800" cy="304800"/>
    <xdr:sp macro="" textlink="">
      <xdr:nvSpPr>
        <xdr:cNvPr id="261" name="AutoShape 1">
          <a:extLst>
            <a:ext uri="{FF2B5EF4-FFF2-40B4-BE49-F238E27FC236}">
              <a16:creationId xmlns:a16="http://schemas.microsoft.com/office/drawing/2014/main" id="{1486A40E-0FC8-43CA-B39D-D4D6C6A67A28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068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318</xdr:row>
      <xdr:rowOff>0</xdr:rowOff>
    </xdr:from>
    <xdr:ext cx="304800" cy="304800"/>
    <xdr:sp macro="" textlink="">
      <xdr:nvSpPr>
        <xdr:cNvPr id="262" name="AutoShape 1">
          <a:extLst>
            <a:ext uri="{FF2B5EF4-FFF2-40B4-BE49-F238E27FC236}">
              <a16:creationId xmlns:a16="http://schemas.microsoft.com/office/drawing/2014/main" id="{068EA07D-F9AF-4865-976E-95140762D558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068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318</xdr:row>
      <xdr:rowOff>0</xdr:rowOff>
    </xdr:from>
    <xdr:ext cx="304800" cy="304800"/>
    <xdr:sp macro="" textlink="">
      <xdr:nvSpPr>
        <xdr:cNvPr id="263" name="AutoShape 1">
          <a:extLst>
            <a:ext uri="{FF2B5EF4-FFF2-40B4-BE49-F238E27FC236}">
              <a16:creationId xmlns:a16="http://schemas.microsoft.com/office/drawing/2014/main" id="{74ACEAF6-CEDC-4BB6-868D-0E0BC65683C6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068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318</xdr:row>
      <xdr:rowOff>0</xdr:rowOff>
    </xdr:from>
    <xdr:ext cx="304800" cy="304800"/>
    <xdr:sp macro="" textlink="">
      <xdr:nvSpPr>
        <xdr:cNvPr id="264" name="AutoShape 1">
          <a:extLst>
            <a:ext uri="{FF2B5EF4-FFF2-40B4-BE49-F238E27FC236}">
              <a16:creationId xmlns:a16="http://schemas.microsoft.com/office/drawing/2014/main" id="{216D4E91-94BD-4B9E-8D5D-4A4F1084B2C4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068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318</xdr:row>
      <xdr:rowOff>0</xdr:rowOff>
    </xdr:from>
    <xdr:ext cx="304800" cy="304800"/>
    <xdr:sp macro="" textlink="">
      <xdr:nvSpPr>
        <xdr:cNvPr id="265" name="AutoShape 1">
          <a:extLst>
            <a:ext uri="{FF2B5EF4-FFF2-40B4-BE49-F238E27FC236}">
              <a16:creationId xmlns:a16="http://schemas.microsoft.com/office/drawing/2014/main" id="{6EF561DA-C207-4348-9A9C-F4B10F181CF4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068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318</xdr:row>
      <xdr:rowOff>0</xdr:rowOff>
    </xdr:from>
    <xdr:ext cx="304800" cy="304800"/>
    <xdr:sp macro="" textlink="">
      <xdr:nvSpPr>
        <xdr:cNvPr id="266" name="AutoShape 1">
          <a:extLst>
            <a:ext uri="{FF2B5EF4-FFF2-40B4-BE49-F238E27FC236}">
              <a16:creationId xmlns:a16="http://schemas.microsoft.com/office/drawing/2014/main" id="{A326B3D6-7398-4CA1-A992-088608B25C65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068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318</xdr:row>
      <xdr:rowOff>0</xdr:rowOff>
    </xdr:from>
    <xdr:ext cx="304800" cy="304800"/>
    <xdr:sp macro="" textlink="">
      <xdr:nvSpPr>
        <xdr:cNvPr id="267" name="AutoShape 1">
          <a:extLst>
            <a:ext uri="{FF2B5EF4-FFF2-40B4-BE49-F238E27FC236}">
              <a16:creationId xmlns:a16="http://schemas.microsoft.com/office/drawing/2014/main" id="{678D3791-B9A9-4B27-9340-C8BAF49F3541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068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318</xdr:row>
      <xdr:rowOff>0</xdr:rowOff>
    </xdr:from>
    <xdr:ext cx="304800" cy="304800"/>
    <xdr:sp macro="" textlink="">
      <xdr:nvSpPr>
        <xdr:cNvPr id="268" name="AutoShape 1">
          <a:extLst>
            <a:ext uri="{FF2B5EF4-FFF2-40B4-BE49-F238E27FC236}">
              <a16:creationId xmlns:a16="http://schemas.microsoft.com/office/drawing/2014/main" id="{1CDFE265-4338-4BAC-8316-1A7C1654DB55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068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318</xdr:row>
      <xdr:rowOff>0</xdr:rowOff>
    </xdr:from>
    <xdr:ext cx="304800" cy="304800"/>
    <xdr:sp macro="" textlink="">
      <xdr:nvSpPr>
        <xdr:cNvPr id="269" name="AutoShape 1">
          <a:extLst>
            <a:ext uri="{FF2B5EF4-FFF2-40B4-BE49-F238E27FC236}">
              <a16:creationId xmlns:a16="http://schemas.microsoft.com/office/drawing/2014/main" id="{785C290B-63EC-4EC4-9322-C1A33D40363D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068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318</xdr:row>
      <xdr:rowOff>0</xdr:rowOff>
    </xdr:from>
    <xdr:ext cx="304800" cy="304800"/>
    <xdr:sp macro="" textlink="">
      <xdr:nvSpPr>
        <xdr:cNvPr id="270" name="AutoShape 1">
          <a:extLst>
            <a:ext uri="{FF2B5EF4-FFF2-40B4-BE49-F238E27FC236}">
              <a16:creationId xmlns:a16="http://schemas.microsoft.com/office/drawing/2014/main" id="{23CCA032-C36D-43CA-A652-D7591609B138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068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318</xdr:row>
      <xdr:rowOff>0</xdr:rowOff>
    </xdr:from>
    <xdr:ext cx="304800" cy="304800"/>
    <xdr:sp macro="" textlink="">
      <xdr:nvSpPr>
        <xdr:cNvPr id="271" name="AutoShape 1">
          <a:extLst>
            <a:ext uri="{FF2B5EF4-FFF2-40B4-BE49-F238E27FC236}">
              <a16:creationId xmlns:a16="http://schemas.microsoft.com/office/drawing/2014/main" id="{B8EE1A63-4BA4-4BE9-B31D-42F6AF3DBB04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068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318</xdr:row>
      <xdr:rowOff>0</xdr:rowOff>
    </xdr:from>
    <xdr:ext cx="304800" cy="304800"/>
    <xdr:sp macro="" textlink="">
      <xdr:nvSpPr>
        <xdr:cNvPr id="272" name="AutoShape 1">
          <a:extLst>
            <a:ext uri="{FF2B5EF4-FFF2-40B4-BE49-F238E27FC236}">
              <a16:creationId xmlns:a16="http://schemas.microsoft.com/office/drawing/2014/main" id="{62022F44-F542-4944-9063-7298CEDFA063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068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318</xdr:row>
      <xdr:rowOff>0</xdr:rowOff>
    </xdr:from>
    <xdr:ext cx="304800" cy="304800"/>
    <xdr:sp macro="" textlink="">
      <xdr:nvSpPr>
        <xdr:cNvPr id="273" name="AutoShape 1">
          <a:extLst>
            <a:ext uri="{FF2B5EF4-FFF2-40B4-BE49-F238E27FC236}">
              <a16:creationId xmlns:a16="http://schemas.microsoft.com/office/drawing/2014/main" id="{38AA5437-CF2A-436E-B6B6-2F317C578B65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068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318</xdr:row>
      <xdr:rowOff>0</xdr:rowOff>
    </xdr:from>
    <xdr:ext cx="304800" cy="304800"/>
    <xdr:sp macro="" textlink="">
      <xdr:nvSpPr>
        <xdr:cNvPr id="274" name="AutoShape 1">
          <a:extLst>
            <a:ext uri="{FF2B5EF4-FFF2-40B4-BE49-F238E27FC236}">
              <a16:creationId xmlns:a16="http://schemas.microsoft.com/office/drawing/2014/main" id="{49E2D20C-E3C1-4031-A380-542ACBA43F37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068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318</xdr:row>
      <xdr:rowOff>0</xdr:rowOff>
    </xdr:from>
    <xdr:ext cx="304800" cy="304800"/>
    <xdr:sp macro="" textlink="">
      <xdr:nvSpPr>
        <xdr:cNvPr id="275" name="AutoShape 1">
          <a:extLst>
            <a:ext uri="{FF2B5EF4-FFF2-40B4-BE49-F238E27FC236}">
              <a16:creationId xmlns:a16="http://schemas.microsoft.com/office/drawing/2014/main" id="{25A7C446-C06B-4957-8685-B0AE066BEDE9}"/>
            </a:ext>
            <a:ext uri="{147F2762-F138-4A5C-976F-8EAC2B608ADB}">
              <a16:predDERef xmlns:a16="http://schemas.microsoft.com/office/drawing/2014/main" pred="{A9C9C4DB-4B97-447C-9099-E87BCB3C537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068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318</xdr:row>
      <xdr:rowOff>0</xdr:rowOff>
    </xdr:from>
    <xdr:ext cx="304800" cy="304800"/>
    <xdr:sp macro="" textlink="">
      <xdr:nvSpPr>
        <xdr:cNvPr id="276" name="AutoShape 1">
          <a:extLst>
            <a:ext uri="{FF2B5EF4-FFF2-40B4-BE49-F238E27FC236}">
              <a16:creationId xmlns:a16="http://schemas.microsoft.com/office/drawing/2014/main" id="{DBC73B2A-F71A-431F-954F-8E4DE68F5A1D}"/>
            </a:ext>
            <a:ext uri="{147F2762-F138-4A5C-976F-8EAC2B608ADB}">
              <a16:predDERef xmlns:a16="http://schemas.microsoft.com/office/drawing/2014/main" pred="{CD89554D-BD76-42AD-819A-278AD445B86E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068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353</xdr:row>
      <xdr:rowOff>0</xdr:rowOff>
    </xdr:from>
    <xdr:ext cx="304800" cy="304800"/>
    <xdr:sp macro="" textlink="">
      <xdr:nvSpPr>
        <xdr:cNvPr id="277" name="AutoShape 1">
          <a:extLst>
            <a:ext uri="{FF2B5EF4-FFF2-40B4-BE49-F238E27FC236}">
              <a16:creationId xmlns:a16="http://schemas.microsoft.com/office/drawing/2014/main" id="{37C02548-B52A-48F1-BFBF-B79619878927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733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353</xdr:row>
      <xdr:rowOff>0</xdr:rowOff>
    </xdr:from>
    <xdr:ext cx="304800" cy="304800"/>
    <xdr:sp macro="" textlink="">
      <xdr:nvSpPr>
        <xdr:cNvPr id="278" name="AutoShape 1">
          <a:extLst>
            <a:ext uri="{FF2B5EF4-FFF2-40B4-BE49-F238E27FC236}">
              <a16:creationId xmlns:a16="http://schemas.microsoft.com/office/drawing/2014/main" id="{AF077810-C0C0-435D-9480-35BF5DBEC6D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733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362</xdr:row>
      <xdr:rowOff>0</xdr:rowOff>
    </xdr:from>
    <xdr:ext cx="304800" cy="304800"/>
    <xdr:sp macro="" textlink="">
      <xdr:nvSpPr>
        <xdr:cNvPr id="279" name="AutoShape 1">
          <a:extLst>
            <a:ext uri="{FF2B5EF4-FFF2-40B4-BE49-F238E27FC236}">
              <a16:creationId xmlns:a16="http://schemas.microsoft.com/office/drawing/2014/main" id="{71C59B87-B1BC-4406-BD59-01462614239A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904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362</xdr:row>
      <xdr:rowOff>0</xdr:rowOff>
    </xdr:from>
    <xdr:ext cx="304800" cy="304800"/>
    <xdr:sp macro="" textlink="">
      <xdr:nvSpPr>
        <xdr:cNvPr id="280" name="AutoShape 1">
          <a:extLst>
            <a:ext uri="{FF2B5EF4-FFF2-40B4-BE49-F238E27FC236}">
              <a16:creationId xmlns:a16="http://schemas.microsoft.com/office/drawing/2014/main" id="{F7A3FF87-1C65-4F63-8B21-52C8BF15058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904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362</xdr:row>
      <xdr:rowOff>0</xdr:rowOff>
    </xdr:from>
    <xdr:ext cx="304800" cy="304800"/>
    <xdr:sp macro="" textlink="">
      <xdr:nvSpPr>
        <xdr:cNvPr id="281" name="AutoShape 1">
          <a:extLst>
            <a:ext uri="{FF2B5EF4-FFF2-40B4-BE49-F238E27FC236}">
              <a16:creationId xmlns:a16="http://schemas.microsoft.com/office/drawing/2014/main" id="{4DB7E2C6-444D-4E9C-AB0A-5CE322BF0B6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904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362</xdr:row>
      <xdr:rowOff>0</xdr:rowOff>
    </xdr:from>
    <xdr:ext cx="304800" cy="304800"/>
    <xdr:sp macro="" textlink="">
      <xdr:nvSpPr>
        <xdr:cNvPr id="282" name="AutoShape 1">
          <a:extLst>
            <a:ext uri="{FF2B5EF4-FFF2-40B4-BE49-F238E27FC236}">
              <a16:creationId xmlns:a16="http://schemas.microsoft.com/office/drawing/2014/main" id="{EE0D195B-69DE-4CA1-8B9B-088159D8E391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904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362</xdr:row>
      <xdr:rowOff>0</xdr:rowOff>
    </xdr:from>
    <xdr:ext cx="304800" cy="304800"/>
    <xdr:sp macro="" textlink="">
      <xdr:nvSpPr>
        <xdr:cNvPr id="283" name="AutoShape 1">
          <a:extLst>
            <a:ext uri="{FF2B5EF4-FFF2-40B4-BE49-F238E27FC236}">
              <a16:creationId xmlns:a16="http://schemas.microsoft.com/office/drawing/2014/main" id="{2FCA4FB7-5CD4-43C4-8D06-7E6054A0AFD7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904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362</xdr:row>
      <xdr:rowOff>0</xdr:rowOff>
    </xdr:from>
    <xdr:ext cx="304800" cy="304800"/>
    <xdr:sp macro="" textlink="">
      <xdr:nvSpPr>
        <xdr:cNvPr id="284" name="AutoShape 1">
          <a:extLst>
            <a:ext uri="{FF2B5EF4-FFF2-40B4-BE49-F238E27FC236}">
              <a16:creationId xmlns:a16="http://schemas.microsoft.com/office/drawing/2014/main" id="{7CED6195-5757-48CF-AC37-07E197DA778F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904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362</xdr:row>
      <xdr:rowOff>0</xdr:rowOff>
    </xdr:from>
    <xdr:ext cx="304800" cy="304800"/>
    <xdr:sp macro="" textlink="">
      <xdr:nvSpPr>
        <xdr:cNvPr id="285" name="AutoShape 1">
          <a:extLst>
            <a:ext uri="{FF2B5EF4-FFF2-40B4-BE49-F238E27FC236}">
              <a16:creationId xmlns:a16="http://schemas.microsoft.com/office/drawing/2014/main" id="{DA178EF1-AA91-4D80-B448-437352311FE7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904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362</xdr:row>
      <xdr:rowOff>0</xdr:rowOff>
    </xdr:from>
    <xdr:ext cx="304800" cy="304800"/>
    <xdr:sp macro="" textlink="">
      <xdr:nvSpPr>
        <xdr:cNvPr id="286" name="AutoShape 1">
          <a:extLst>
            <a:ext uri="{FF2B5EF4-FFF2-40B4-BE49-F238E27FC236}">
              <a16:creationId xmlns:a16="http://schemas.microsoft.com/office/drawing/2014/main" id="{A946FB54-473C-4DEB-81B2-3A373B7D896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904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362</xdr:row>
      <xdr:rowOff>0</xdr:rowOff>
    </xdr:from>
    <xdr:ext cx="304800" cy="304800"/>
    <xdr:sp macro="" textlink="">
      <xdr:nvSpPr>
        <xdr:cNvPr id="287" name="AutoShape 1">
          <a:extLst>
            <a:ext uri="{FF2B5EF4-FFF2-40B4-BE49-F238E27FC236}">
              <a16:creationId xmlns:a16="http://schemas.microsoft.com/office/drawing/2014/main" id="{C8FA0952-8D15-4B9E-8BDE-7CE0F75AE9EC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904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362</xdr:row>
      <xdr:rowOff>0</xdr:rowOff>
    </xdr:from>
    <xdr:ext cx="304800" cy="304800"/>
    <xdr:sp macro="" textlink="">
      <xdr:nvSpPr>
        <xdr:cNvPr id="288" name="AutoShape 1">
          <a:extLst>
            <a:ext uri="{FF2B5EF4-FFF2-40B4-BE49-F238E27FC236}">
              <a16:creationId xmlns:a16="http://schemas.microsoft.com/office/drawing/2014/main" id="{FF0F9729-45AB-4CBC-B7D7-89BF367E1729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904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362</xdr:row>
      <xdr:rowOff>0</xdr:rowOff>
    </xdr:from>
    <xdr:ext cx="304800" cy="304800"/>
    <xdr:sp macro="" textlink="">
      <xdr:nvSpPr>
        <xdr:cNvPr id="289" name="AutoShape 1">
          <a:extLst>
            <a:ext uri="{FF2B5EF4-FFF2-40B4-BE49-F238E27FC236}">
              <a16:creationId xmlns:a16="http://schemas.microsoft.com/office/drawing/2014/main" id="{E1F34787-19CE-40FA-BB23-D25981E5A274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904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362</xdr:row>
      <xdr:rowOff>0</xdr:rowOff>
    </xdr:from>
    <xdr:ext cx="304800" cy="304800"/>
    <xdr:sp macro="" textlink="">
      <xdr:nvSpPr>
        <xdr:cNvPr id="290" name="AutoShape 1">
          <a:extLst>
            <a:ext uri="{FF2B5EF4-FFF2-40B4-BE49-F238E27FC236}">
              <a16:creationId xmlns:a16="http://schemas.microsoft.com/office/drawing/2014/main" id="{10CD1AF6-DE08-40B5-B0BD-992D190B7646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904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362</xdr:row>
      <xdr:rowOff>0</xdr:rowOff>
    </xdr:from>
    <xdr:ext cx="304800" cy="304800"/>
    <xdr:sp macro="" textlink="">
      <xdr:nvSpPr>
        <xdr:cNvPr id="291" name="AutoShape 1">
          <a:extLst>
            <a:ext uri="{FF2B5EF4-FFF2-40B4-BE49-F238E27FC236}">
              <a16:creationId xmlns:a16="http://schemas.microsoft.com/office/drawing/2014/main" id="{A959A3E7-CF9F-4B27-8306-092E133EA804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904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362</xdr:row>
      <xdr:rowOff>0</xdr:rowOff>
    </xdr:from>
    <xdr:ext cx="304800" cy="304800"/>
    <xdr:sp macro="" textlink="">
      <xdr:nvSpPr>
        <xdr:cNvPr id="292" name="AutoShape 1">
          <a:extLst>
            <a:ext uri="{FF2B5EF4-FFF2-40B4-BE49-F238E27FC236}">
              <a16:creationId xmlns:a16="http://schemas.microsoft.com/office/drawing/2014/main" id="{603C5F5C-0B4A-4987-9664-2E685A12685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904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362</xdr:row>
      <xdr:rowOff>0</xdr:rowOff>
    </xdr:from>
    <xdr:ext cx="304800" cy="304800"/>
    <xdr:sp macro="" textlink="">
      <xdr:nvSpPr>
        <xdr:cNvPr id="293" name="AutoShape 1">
          <a:extLst>
            <a:ext uri="{FF2B5EF4-FFF2-40B4-BE49-F238E27FC236}">
              <a16:creationId xmlns:a16="http://schemas.microsoft.com/office/drawing/2014/main" id="{031BA0D5-8788-46E2-854B-46425531815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904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362</xdr:row>
      <xdr:rowOff>0</xdr:rowOff>
    </xdr:from>
    <xdr:ext cx="304800" cy="304800"/>
    <xdr:sp macro="" textlink="">
      <xdr:nvSpPr>
        <xdr:cNvPr id="294" name="AutoShape 1">
          <a:extLst>
            <a:ext uri="{FF2B5EF4-FFF2-40B4-BE49-F238E27FC236}">
              <a16:creationId xmlns:a16="http://schemas.microsoft.com/office/drawing/2014/main" id="{1DE7C47E-7249-4808-B5AD-F7F4CD4AA1E4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904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362</xdr:row>
      <xdr:rowOff>0</xdr:rowOff>
    </xdr:from>
    <xdr:ext cx="304800" cy="304800"/>
    <xdr:sp macro="" textlink="">
      <xdr:nvSpPr>
        <xdr:cNvPr id="295" name="AutoShape 1">
          <a:extLst>
            <a:ext uri="{FF2B5EF4-FFF2-40B4-BE49-F238E27FC236}">
              <a16:creationId xmlns:a16="http://schemas.microsoft.com/office/drawing/2014/main" id="{5A4F4158-CBE4-4D56-B27D-4C6D1452375D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904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362</xdr:row>
      <xdr:rowOff>0</xdr:rowOff>
    </xdr:from>
    <xdr:ext cx="304800" cy="304800"/>
    <xdr:sp macro="" textlink="">
      <xdr:nvSpPr>
        <xdr:cNvPr id="296" name="AutoShape 1">
          <a:extLst>
            <a:ext uri="{FF2B5EF4-FFF2-40B4-BE49-F238E27FC236}">
              <a16:creationId xmlns:a16="http://schemas.microsoft.com/office/drawing/2014/main" id="{5CC9040E-5A42-4816-AD78-9275B7439546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904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362</xdr:row>
      <xdr:rowOff>0</xdr:rowOff>
    </xdr:from>
    <xdr:ext cx="304800" cy="304800"/>
    <xdr:sp macro="" textlink="">
      <xdr:nvSpPr>
        <xdr:cNvPr id="297" name="AutoShape 1">
          <a:extLst>
            <a:ext uri="{FF2B5EF4-FFF2-40B4-BE49-F238E27FC236}">
              <a16:creationId xmlns:a16="http://schemas.microsoft.com/office/drawing/2014/main" id="{697535B6-3E31-4C11-A18D-C7FCE2FCEF5E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904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362</xdr:row>
      <xdr:rowOff>0</xdr:rowOff>
    </xdr:from>
    <xdr:ext cx="304800" cy="304800"/>
    <xdr:sp macro="" textlink="">
      <xdr:nvSpPr>
        <xdr:cNvPr id="298" name="AutoShape 1">
          <a:extLst>
            <a:ext uri="{FF2B5EF4-FFF2-40B4-BE49-F238E27FC236}">
              <a16:creationId xmlns:a16="http://schemas.microsoft.com/office/drawing/2014/main" id="{EA9F4904-644E-45D3-8EBA-71646338AC1E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904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362</xdr:row>
      <xdr:rowOff>0</xdr:rowOff>
    </xdr:from>
    <xdr:ext cx="304800" cy="304800"/>
    <xdr:sp macro="" textlink="">
      <xdr:nvSpPr>
        <xdr:cNvPr id="299" name="AutoShape 1">
          <a:extLst>
            <a:ext uri="{FF2B5EF4-FFF2-40B4-BE49-F238E27FC236}">
              <a16:creationId xmlns:a16="http://schemas.microsoft.com/office/drawing/2014/main" id="{E9679F20-BE07-470C-8F72-2A7CA7EC0A65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904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362</xdr:row>
      <xdr:rowOff>0</xdr:rowOff>
    </xdr:from>
    <xdr:ext cx="304800" cy="304800"/>
    <xdr:sp macro="" textlink="">
      <xdr:nvSpPr>
        <xdr:cNvPr id="300" name="AutoShape 1">
          <a:extLst>
            <a:ext uri="{FF2B5EF4-FFF2-40B4-BE49-F238E27FC236}">
              <a16:creationId xmlns:a16="http://schemas.microsoft.com/office/drawing/2014/main" id="{097E9051-8680-4E44-AB07-72F98C97BD3B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904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362</xdr:row>
      <xdr:rowOff>0</xdr:rowOff>
    </xdr:from>
    <xdr:ext cx="304800" cy="304800"/>
    <xdr:sp macro="" textlink="">
      <xdr:nvSpPr>
        <xdr:cNvPr id="301" name="AutoShape 1">
          <a:extLst>
            <a:ext uri="{FF2B5EF4-FFF2-40B4-BE49-F238E27FC236}">
              <a16:creationId xmlns:a16="http://schemas.microsoft.com/office/drawing/2014/main" id="{D8A8127D-6AD1-45A8-99E5-ABCF12C4FA38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904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362</xdr:row>
      <xdr:rowOff>0</xdr:rowOff>
    </xdr:from>
    <xdr:ext cx="304800" cy="304800"/>
    <xdr:sp macro="" textlink="">
      <xdr:nvSpPr>
        <xdr:cNvPr id="302" name="AutoShape 1">
          <a:extLst>
            <a:ext uri="{FF2B5EF4-FFF2-40B4-BE49-F238E27FC236}">
              <a16:creationId xmlns:a16="http://schemas.microsoft.com/office/drawing/2014/main" id="{26BDD36D-5F6A-4025-B940-0CC1E2915BA0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904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362</xdr:row>
      <xdr:rowOff>0</xdr:rowOff>
    </xdr:from>
    <xdr:ext cx="304800" cy="304800"/>
    <xdr:sp macro="" textlink="">
      <xdr:nvSpPr>
        <xdr:cNvPr id="303" name="AutoShape 1">
          <a:extLst>
            <a:ext uri="{FF2B5EF4-FFF2-40B4-BE49-F238E27FC236}">
              <a16:creationId xmlns:a16="http://schemas.microsoft.com/office/drawing/2014/main" id="{5960EE15-D829-400B-ACBE-680F1DE76D95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904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362</xdr:row>
      <xdr:rowOff>0</xdr:rowOff>
    </xdr:from>
    <xdr:ext cx="304800" cy="304800"/>
    <xdr:sp macro="" textlink="">
      <xdr:nvSpPr>
        <xdr:cNvPr id="304" name="AutoShape 1">
          <a:extLst>
            <a:ext uri="{FF2B5EF4-FFF2-40B4-BE49-F238E27FC236}">
              <a16:creationId xmlns:a16="http://schemas.microsoft.com/office/drawing/2014/main" id="{C9795612-BA18-46E0-948B-F4FAF365E8A8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904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362</xdr:row>
      <xdr:rowOff>0</xdr:rowOff>
    </xdr:from>
    <xdr:ext cx="304800" cy="304800"/>
    <xdr:sp macro="" textlink="">
      <xdr:nvSpPr>
        <xdr:cNvPr id="305" name="AutoShape 1">
          <a:extLst>
            <a:ext uri="{FF2B5EF4-FFF2-40B4-BE49-F238E27FC236}">
              <a16:creationId xmlns:a16="http://schemas.microsoft.com/office/drawing/2014/main" id="{31A7C7B8-DBDA-4BFC-80DD-6CC27DCEC207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904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362</xdr:row>
      <xdr:rowOff>0</xdr:rowOff>
    </xdr:from>
    <xdr:ext cx="304800" cy="304800"/>
    <xdr:sp macro="" textlink="">
      <xdr:nvSpPr>
        <xdr:cNvPr id="306" name="AutoShape 1">
          <a:extLst>
            <a:ext uri="{FF2B5EF4-FFF2-40B4-BE49-F238E27FC236}">
              <a16:creationId xmlns:a16="http://schemas.microsoft.com/office/drawing/2014/main" id="{68CA345E-EB8D-4DC6-ADD0-4649EF7849C7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904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362</xdr:row>
      <xdr:rowOff>0</xdr:rowOff>
    </xdr:from>
    <xdr:ext cx="304800" cy="304800"/>
    <xdr:sp macro="" textlink="">
      <xdr:nvSpPr>
        <xdr:cNvPr id="307" name="AutoShape 1">
          <a:extLst>
            <a:ext uri="{FF2B5EF4-FFF2-40B4-BE49-F238E27FC236}">
              <a16:creationId xmlns:a16="http://schemas.microsoft.com/office/drawing/2014/main" id="{515A41A9-D6BD-45AB-B540-2194185667A7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904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362</xdr:row>
      <xdr:rowOff>0</xdr:rowOff>
    </xdr:from>
    <xdr:ext cx="304800" cy="304800"/>
    <xdr:sp macro="" textlink="">
      <xdr:nvSpPr>
        <xdr:cNvPr id="308" name="AutoShape 1">
          <a:extLst>
            <a:ext uri="{FF2B5EF4-FFF2-40B4-BE49-F238E27FC236}">
              <a16:creationId xmlns:a16="http://schemas.microsoft.com/office/drawing/2014/main" id="{87931556-CFE9-4BFA-B643-F7B15AA1311F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904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362</xdr:row>
      <xdr:rowOff>0</xdr:rowOff>
    </xdr:from>
    <xdr:ext cx="304800" cy="304800"/>
    <xdr:sp macro="" textlink="">
      <xdr:nvSpPr>
        <xdr:cNvPr id="309" name="AutoShape 1">
          <a:extLst>
            <a:ext uri="{FF2B5EF4-FFF2-40B4-BE49-F238E27FC236}">
              <a16:creationId xmlns:a16="http://schemas.microsoft.com/office/drawing/2014/main" id="{A7E9505D-2C41-4592-9D30-444615D29313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904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362</xdr:row>
      <xdr:rowOff>0</xdr:rowOff>
    </xdr:from>
    <xdr:ext cx="304800" cy="304800"/>
    <xdr:sp macro="" textlink="">
      <xdr:nvSpPr>
        <xdr:cNvPr id="310" name="AutoShape 1">
          <a:extLst>
            <a:ext uri="{FF2B5EF4-FFF2-40B4-BE49-F238E27FC236}">
              <a16:creationId xmlns:a16="http://schemas.microsoft.com/office/drawing/2014/main" id="{866D89F8-4EAE-4CC8-827E-DD800431BB0B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904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362</xdr:row>
      <xdr:rowOff>0</xdr:rowOff>
    </xdr:from>
    <xdr:ext cx="304800" cy="304800"/>
    <xdr:sp macro="" textlink="">
      <xdr:nvSpPr>
        <xdr:cNvPr id="311" name="AutoShape 1">
          <a:extLst>
            <a:ext uri="{FF2B5EF4-FFF2-40B4-BE49-F238E27FC236}">
              <a16:creationId xmlns:a16="http://schemas.microsoft.com/office/drawing/2014/main" id="{31F700B4-E269-4D3D-A1DA-AA0E5EA90B34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904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362</xdr:row>
      <xdr:rowOff>0</xdr:rowOff>
    </xdr:from>
    <xdr:ext cx="304800" cy="304800"/>
    <xdr:sp macro="" textlink="">
      <xdr:nvSpPr>
        <xdr:cNvPr id="312" name="AutoShape 1">
          <a:extLst>
            <a:ext uri="{FF2B5EF4-FFF2-40B4-BE49-F238E27FC236}">
              <a16:creationId xmlns:a16="http://schemas.microsoft.com/office/drawing/2014/main" id="{2C1C89E6-86C9-49F5-A5AB-33C86EFC2D17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904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362</xdr:row>
      <xdr:rowOff>0</xdr:rowOff>
    </xdr:from>
    <xdr:ext cx="304800" cy="304800"/>
    <xdr:sp macro="" textlink="">
      <xdr:nvSpPr>
        <xdr:cNvPr id="313" name="AutoShape 1">
          <a:extLst>
            <a:ext uri="{FF2B5EF4-FFF2-40B4-BE49-F238E27FC236}">
              <a16:creationId xmlns:a16="http://schemas.microsoft.com/office/drawing/2014/main" id="{6CB32701-6533-46BC-88E5-AE90CC0F2DC2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904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362</xdr:row>
      <xdr:rowOff>0</xdr:rowOff>
    </xdr:from>
    <xdr:ext cx="304800" cy="304800"/>
    <xdr:sp macro="" textlink="">
      <xdr:nvSpPr>
        <xdr:cNvPr id="314" name="AutoShape 1">
          <a:extLst>
            <a:ext uri="{FF2B5EF4-FFF2-40B4-BE49-F238E27FC236}">
              <a16:creationId xmlns:a16="http://schemas.microsoft.com/office/drawing/2014/main" id="{32196569-B125-4501-B392-54385E05412D}"/>
            </a:ext>
            <a:ext uri="{147F2762-F138-4A5C-976F-8EAC2B608ADB}">
              <a16:predDERef xmlns:a16="http://schemas.microsoft.com/office/drawing/2014/main" pred="{A9C9C4DB-4B97-447C-9099-E87BCB3C537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904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362</xdr:row>
      <xdr:rowOff>0</xdr:rowOff>
    </xdr:from>
    <xdr:ext cx="304800" cy="304800"/>
    <xdr:sp macro="" textlink="">
      <xdr:nvSpPr>
        <xdr:cNvPr id="315" name="AutoShape 1">
          <a:extLst>
            <a:ext uri="{FF2B5EF4-FFF2-40B4-BE49-F238E27FC236}">
              <a16:creationId xmlns:a16="http://schemas.microsoft.com/office/drawing/2014/main" id="{906A25F6-D6BD-40A3-9395-5BE3CD486B63}"/>
            </a:ext>
            <a:ext uri="{147F2762-F138-4A5C-976F-8EAC2B608ADB}">
              <a16:predDERef xmlns:a16="http://schemas.microsoft.com/office/drawing/2014/main" pred="{CD89554D-BD76-42AD-819A-278AD445B86E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904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362</xdr:row>
      <xdr:rowOff>0</xdr:rowOff>
    </xdr:from>
    <xdr:ext cx="304800" cy="304800"/>
    <xdr:sp macro="" textlink="">
      <xdr:nvSpPr>
        <xdr:cNvPr id="316" name="AutoShape 1">
          <a:extLst>
            <a:ext uri="{FF2B5EF4-FFF2-40B4-BE49-F238E27FC236}">
              <a16:creationId xmlns:a16="http://schemas.microsoft.com/office/drawing/2014/main" id="{F37C9B87-0469-443C-AA43-C6ACF7E9472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904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362</xdr:row>
      <xdr:rowOff>0</xdr:rowOff>
    </xdr:from>
    <xdr:ext cx="304800" cy="304800"/>
    <xdr:sp macro="" textlink="">
      <xdr:nvSpPr>
        <xdr:cNvPr id="317" name="AutoShape 1">
          <a:extLst>
            <a:ext uri="{FF2B5EF4-FFF2-40B4-BE49-F238E27FC236}">
              <a16:creationId xmlns:a16="http://schemas.microsoft.com/office/drawing/2014/main" id="{54713E86-E916-4270-A1FC-DDC4FBE2963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904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362</xdr:row>
      <xdr:rowOff>0</xdr:rowOff>
    </xdr:from>
    <xdr:ext cx="304800" cy="304800"/>
    <xdr:sp macro="" textlink="">
      <xdr:nvSpPr>
        <xdr:cNvPr id="318" name="AutoShape 1">
          <a:extLst>
            <a:ext uri="{FF2B5EF4-FFF2-40B4-BE49-F238E27FC236}">
              <a16:creationId xmlns:a16="http://schemas.microsoft.com/office/drawing/2014/main" id="{48676006-825F-4C2F-8AD3-A4E0D5E6064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904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362</xdr:row>
      <xdr:rowOff>0</xdr:rowOff>
    </xdr:from>
    <xdr:ext cx="304800" cy="304800"/>
    <xdr:sp macro="" textlink="">
      <xdr:nvSpPr>
        <xdr:cNvPr id="319" name="AutoShape 1">
          <a:extLst>
            <a:ext uri="{FF2B5EF4-FFF2-40B4-BE49-F238E27FC236}">
              <a16:creationId xmlns:a16="http://schemas.microsoft.com/office/drawing/2014/main" id="{F5E6FA5C-E91D-4DF9-86F0-246B136914F3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904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362</xdr:row>
      <xdr:rowOff>0</xdr:rowOff>
    </xdr:from>
    <xdr:ext cx="304800" cy="304800"/>
    <xdr:sp macro="" textlink="">
      <xdr:nvSpPr>
        <xdr:cNvPr id="320" name="AutoShape 1">
          <a:extLst>
            <a:ext uri="{FF2B5EF4-FFF2-40B4-BE49-F238E27FC236}">
              <a16:creationId xmlns:a16="http://schemas.microsoft.com/office/drawing/2014/main" id="{E773DA08-1BA3-4E91-B6CB-796275153169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904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362</xdr:row>
      <xdr:rowOff>0</xdr:rowOff>
    </xdr:from>
    <xdr:ext cx="304800" cy="304800"/>
    <xdr:sp macro="" textlink="">
      <xdr:nvSpPr>
        <xdr:cNvPr id="321" name="AutoShape 1">
          <a:extLst>
            <a:ext uri="{FF2B5EF4-FFF2-40B4-BE49-F238E27FC236}">
              <a16:creationId xmlns:a16="http://schemas.microsoft.com/office/drawing/2014/main" id="{DB5AEBAD-3CE0-4985-A13A-BCE4A94206CC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904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362</xdr:row>
      <xdr:rowOff>0</xdr:rowOff>
    </xdr:from>
    <xdr:ext cx="304800" cy="304800"/>
    <xdr:sp macro="" textlink="">
      <xdr:nvSpPr>
        <xdr:cNvPr id="322" name="AutoShape 1">
          <a:extLst>
            <a:ext uri="{FF2B5EF4-FFF2-40B4-BE49-F238E27FC236}">
              <a16:creationId xmlns:a16="http://schemas.microsoft.com/office/drawing/2014/main" id="{176BEA2D-5A27-4B2D-ACD3-6BBAE0312AEB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904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362</xdr:row>
      <xdr:rowOff>0</xdr:rowOff>
    </xdr:from>
    <xdr:ext cx="304800" cy="304800"/>
    <xdr:sp macro="" textlink="">
      <xdr:nvSpPr>
        <xdr:cNvPr id="323" name="AutoShape 1">
          <a:extLst>
            <a:ext uri="{FF2B5EF4-FFF2-40B4-BE49-F238E27FC236}">
              <a16:creationId xmlns:a16="http://schemas.microsoft.com/office/drawing/2014/main" id="{5B86F991-2D33-48D5-9683-FC8E5BFDF2A9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904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362</xdr:row>
      <xdr:rowOff>0</xdr:rowOff>
    </xdr:from>
    <xdr:ext cx="304800" cy="304800"/>
    <xdr:sp macro="" textlink="">
      <xdr:nvSpPr>
        <xdr:cNvPr id="324" name="AutoShape 1">
          <a:extLst>
            <a:ext uri="{FF2B5EF4-FFF2-40B4-BE49-F238E27FC236}">
              <a16:creationId xmlns:a16="http://schemas.microsoft.com/office/drawing/2014/main" id="{ADAD02AC-4F7D-44D1-9F9C-8D5C5783C8C4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904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362</xdr:row>
      <xdr:rowOff>0</xdr:rowOff>
    </xdr:from>
    <xdr:ext cx="304800" cy="304800"/>
    <xdr:sp macro="" textlink="">
      <xdr:nvSpPr>
        <xdr:cNvPr id="325" name="AutoShape 1">
          <a:extLst>
            <a:ext uri="{FF2B5EF4-FFF2-40B4-BE49-F238E27FC236}">
              <a16:creationId xmlns:a16="http://schemas.microsoft.com/office/drawing/2014/main" id="{F8F44FAE-32AA-4F87-BE8D-1F336556021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904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362</xdr:row>
      <xdr:rowOff>0</xdr:rowOff>
    </xdr:from>
    <xdr:ext cx="304800" cy="304800"/>
    <xdr:sp macro="" textlink="">
      <xdr:nvSpPr>
        <xdr:cNvPr id="326" name="AutoShape 1">
          <a:extLst>
            <a:ext uri="{FF2B5EF4-FFF2-40B4-BE49-F238E27FC236}">
              <a16:creationId xmlns:a16="http://schemas.microsoft.com/office/drawing/2014/main" id="{3038B431-B720-4E08-B5BB-11A70F122ECF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904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362</xdr:row>
      <xdr:rowOff>0</xdr:rowOff>
    </xdr:from>
    <xdr:ext cx="304800" cy="304800"/>
    <xdr:sp macro="" textlink="">
      <xdr:nvSpPr>
        <xdr:cNvPr id="327" name="AutoShape 1">
          <a:extLst>
            <a:ext uri="{FF2B5EF4-FFF2-40B4-BE49-F238E27FC236}">
              <a16:creationId xmlns:a16="http://schemas.microsoft.com/office/drawing/2014/main" id="{DCD7B0D4-DBDA-4F16-91AC-5609041000D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904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362</xdr:row>
      <xdr:rowOff>0</xdr:rowOff>
    </xdr:from>
    <xdr:ext cx="304800" cy="304800"/>
    <xdr:sp macro="" textlink="">
      <xdr:nvSpPr>
        <xdr:cNvPr id="328" name="AutoShape 1">
          <a:extLst>
            <a:ext uri="{FF2B5EF4-FFF2-40B4-BE49-F238E27FC236}">
              <a16:creationId xmlns:a16="http://schemas.microsoft.com/office/drawing/2014/main" id="{C5992E91-8402-4E8C-89C9-A7FFC24195EF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904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362</xdr:row>
      <xdr:rowOff>0</xdr:rowOff>
    </xdr:from>
    <xdr:ext cx="304800" cy="304800"/>
    <xdr:sp macro="" textlink="">
      <xdr:nvSpPr>
        <xdr:cNvPr id="329" name="AutoShape 1">
          <a:extLst>
            <a:ext uri="{FF2B5EF4-FFF2-40B4-BE49-F238E27FC236}">
              <a16:creationId xmlns:a16="http://schemas.microsoft.com/office/drawing/2014/main" id="{722AA770-20BC-4D1D-A1F8-DD566CB32243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904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362</xdr:row>
      <xdr:rowOff>0</xdr:rowOff>
    </xdr:from>
    <xdr:ext cx="304800" cy="304800"/>
    <xdr:sp macro="" textlink="">
      <xdr:nvSpPr>
        <xdr:cNvPr id="330" name="AutoShape 1">
          <a:extLst>
            <a:ext uri="{FF2B5EF4-FFF2-40B4-BE49-F238E27FC236}">
              <a16:creationId xmlns:a16="http://schemas.microsoft.com/office/drawing/2014/main" id="{ECD1F8E0-4245-4357-86E3-E734D2C29079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904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362</xdr:row>
      <xdr:rowOff>0</xdr:rowOff>
    </xdr:from>
    <xdr:ext cx="304800" cy="304800"/>
    <xdr:sp macro="" textlink="">
      <xdr:nvSpPr>
        <xdr:cNvPr id="331" name="AutoShape 1">
          <a:extLst>
            <a:ext uri="{FF2B5EF4-FFF2-40B4-BE49-F238E27FC236}">
              <a16:creationId xmlns:a16="http://schemas.microsoft.com/office/drawing/2014/main" id="{07E59BE8-FFBE-402F-97FC-2E4C6AC73B71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904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362</xdr:row>
      <xdr:rowOff>0</xdr:rowOff>
    </xdr:from>
    <xdr:ext cx="304800" cy="304800"/>
    <xdr:sp macro="" textlink="">
      <xdr:nvSpPr>
        <xdr:cNvPr id="332" name="AutoShape 1">
          <a:extLst>
            <a:ext uri="{FF2B5EF4-FFF2-40B4-BE49-F238E27FC236}">
              <a16:creationId xmlns:a16="http://schemas.microsoft.com/office/drawing/2014/main" id="{600BA666-43D6-4A56-AE3A-0F818F8C728B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904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362</xdr:row>
      <xdr:rowOff>0</xdr:rowOff>
    </xdr:from>
    <xdr:ext cx="304800" cy="304800"/>
    <xdr:sp macro="" textlink="">
      <xdr:nvSpPr>
        <xdr:cNvPr id="333" name="AutoShape 1">
          <a:extLst>
            <a:ext uri="{FF2B5EF4-FFF2-40B4-BE49-F238E27FC236}">
              <a16:creationId xmlns:a16="http://schemas.microsoft.com/office/drawing/2014/main" id="{576B9F46-5632-4177-9FAA-C4CDA2E6CD86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904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362</xdr:row>
      <xdr:rowOff>0</xdr:rowOff>
    </xdr:from>
    <xdr:ext cx="304800" cy="304800"/>
    <xdr:sp macro="" textlink="">
      <xdr:nvSpPr>
        <xdr:cNvPr id="334" name="AutoShape 1">
          <a:extLst>
            <a:ext uri="{FF2B5EF4-FFF2-40B4-BE49-F238E27FC236}">
              <a16:creationId xmlns:a16="http://schemas.microsoft.com/office/drawing/2014/main" id="{44C5CD63-FA65-4DD1-9C3A-277DF0B4A5EA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904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362</xdr:row>
      <xdr:rowOff>0</xdr:rowOff>
    </xdr:from>
    <xdr:ext cx="304800" cy="304800"/>
    <xdr:sp macro="" textlink="">
      <xdr:nvSpPr>
        <xdr:cNvPr id="335" name="AutoShape 1">
          <a:extLst>
            <a:ext uri="{FF2B5EF4-FFF2-40B4-BE49-F238E27FC236}">
              <a16:creationId xmlns:a16="http://schemas.microsoft.com/office/drawing/2014/main" id="{FCF84368-8116-45C3-941B-166DF53A628B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904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362</xdr:row>
      <xdr:rowOff>0</xdr:rowOff>
    </xdr:from>
    <xdr:ext cx="304800" cy="304800"/>
    <xdr:sp macro="" textlink="">
      <xdr:nvSpPr>
        <xdr:cNvPr id="336" name="AutoShape 1">
          <a:extLst>
            <a:ext uri="{FF2B5EF4-FFF2-40B4-BE49-F238E27FC236}">
              <a16:creationId xmlns:a16="http://schemas.microsoft.com/office/drawing/2014/main" id="{BD2A9588-9B6A-40D0-9951-20F53350732B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904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362</xdr:row>
      <xdr:rowOff>0</xdr:rowOff>
    </xdr:from>
    <xdr:ext cx="304800" cy="304800"/>
    <xdr:sp macro="" textlink="">
      <xdr:nvSpPr>
        <xdr:cNvPr id="337" name="AutoShape 1">
          <a:extLst>
            <a:ext uri="{FF2B5EF4-FFF2-40B4-BE49-F238E27FC236}">
              <a16:creationId xmlns:a16="http://schemas.microsoft.com/office/drawing/2014/main" id="{C52B2B7B-EF2E-473D-996C-8E41E7172FF7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904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362</xdr:row>
      <xdr:rowOff>0</xdr:rowOff>
    </xdr:from>
    <xdr:ext cx="304800" cy="304800"/>
    <xdr:sp macro="" textlink="">
      <xdr:nvSpPr>
        <xdr:cNvPr id="338" name="AutoShape 1">
          <a:extLst>
            <a:ext uri="{FF2B5EF4-FFF2-40B4-BE49-F238E27FC236}">
              <a16:creationId xmlns:a16="http://schemas.microsoft.com/office/drawing/2014/main" id="{A85CD707-1EC5-46DF-AFB2-D3C2BB6C512C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904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362</xdr:row>
      <xdr:rowOff>0</xdr:rowOff>
    </xdr:from>
    <xdr:ext cx="304800" cy="304800"/>
    <xdr:sp macro="" textlink="">
      <xdr:nvSpPr>
        <xdr:cNvPr id="339" name="AutoShape 1">
          <a:extLst>
            <a:ext uri="{FF2B5EF4-FFF2-40B4-BE49-F238E27FC236}">
              <a16:creationId xmlns:a16="http://schemas.microsoft.com/office/drawing/2014/main" id="{8F5F8F1A-07FF-4E25-9843-BEE68A0E4744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904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362</xdr:row>
      <xdr:rowOff>0</xdr:rowOff>
    </xdr:from>
    <xdr:ext cx="304800" cy="304800"/>
    <xdr:sp macro="" textlink="">
      <xdr:nvSpPr>
        <xdr:cNvPr id="340" name="AutoShape 1">
          <a:extLst>
            <a:ext uri="{FF2B5EF4-FFF2-40B4-BE49-F238E27FC236}">
              <a16:creationId xmlns:a16="http://schemas.microsoft.com/office/drawing/2014/main" id="{B60AE5CF-970B-4BE7-99B6-BD7FE39F31C5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904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362</xdr:row>
      <xdr:rowOff>0</xdr:rowOff>
    </xdr:from>
    <xdr:ext cx="304800" cy="304800"/>
    <xdr:sp macro="" textlink="">
      <xdr:nvSpPr>
        <xdr:cNvPr id="341" name="AutoShape 1">
          <a:extLst>
            <a:ext uri="{FF2B5EF4-FFF2-40B4-BE49-F238E27FC236}">
              <a16:creationId xmlns:a16="http://schemas.microsoft.com/office/drawing/2014/main" id="{4412ED52-7F5A-4382-9605-46014E78A91F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904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362</xdr:row>
      <xdr:rowOff>0</xdr:rowOff>
    </xdr:from>
    <xdr:ext cx="304800" cy="304800"/>
    <xdr:sp macro="" textlink="">
      <xdr:nvSpPr>
        <xdr:cNvPr id="342" name="AutoShape 1">
          <a:extLst>
            <a:ext uri="{FF2B5EF4-FFF2-40B4-BE49-F238E27FC236}">
              <a16:creationId xmlns:a16="http://schemas.microsoft.com/office/drawing/2014/main" id="{90179AB9-5354-4D1E-9724-DED01A7575B4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904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362</xdr:row>
      <xdr:rowOff>0</xdr:rowOff>
    </xdr:from>
    <xdr:ext cx="304800" cy="304800"/>
    <xdr:sp macro="" textlink="">
      <xdr:nvSpPr>
        <xdr:cNvPr id="343" name="AutoShape 1">
          <a:extLst>
            <a:ext uri="{FF2B5EF4-FFF2-40B4-BE49-F238E27FC236}">
              <a16:creationId xmlns:a16="http://schemas.microsoft.com/office/drawing/2014/main" id="{72C23AC3-F8BA-4E59-A73E-E614CBAAE68A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904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362</xdr:row>
      <xdr:rowOff>0</xdr:rowOff>
    </xdr:from>
    <xdr:ext cx="304800" cy="304800"/>
    <xdr:sp macro="" textlink="">
      <xdr:nvSpPr>
        <xdr:cNvPr id="344" name="AutoShape 1">
          <a:extLst>
            <a:ext uri="{FF2B5EF4-FFF2-40B4-BE49-F238E27FC236}">
              <a16:creationId xmlns:a16="http://schemas.microsoft.com/office/drawing/2014/main" id="{B53BE99E-E2AC-4FDA-86CB-4175874EF1E3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904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362</xdr:row>
      <xdr:rowOff>0</xdr:rowOff>
    </xdr:from>
    <xdr:ext cx="304800" cy="304800"/>
    <xdr:sp macro="" textlink="">
      <xdr:nvSpPr>
        <xdr:cNvPr id="345" name="AutoShape 1">
          <a:extLst>
            <a:ext uri="{FF2B5EF4-FFF2-40B4-BE49-F238E27FC236}">
              <a16:creationId xmlns:a16="http://schemas.microsoft.com/office/drawing/2014/main" id="{AEAC3219-90B7-43E9-8AF3-5BE3674AA42E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904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362</xdr:row>
      <xdr:rowOff>0</xdr:rowOff>
    </xdr:from>
    <xdr:ext cx="304800" cy="304800"/>
    <xdr:sp macro="" textlink="">
      <xdr:nvSpPr>
        <xdr:cNvPr id="346" name="AutoShape 1">
          <a:extLst>
            <a:ext uri="{FF2B5EF4-FFF2-40B4-BE49-F238E27FC236}">
              <a16:creationId xmlns:a16="http://schemas.microsoft.com/office/drawing/2014/main" id="{8BBF921D-C64B-4AA2-98EB-591EA7E93E3B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904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362</xdr:row>
      <xdr:rowOff>0</xdr:rowOff>
    </xdr:from>
    <xdr:ext cx="304800" cy="304800"/>
    <xdr:sp macro="" textlink="">
      <xdr:nvSpPr>
        <xdr:cNvPr id="347" name="AutoShape 1">
          <a:extLst>
            <a:ext uri="{FF2B5EF4-FFF2-40B4-BE49-F238E27FC236}">
              <a16:creationId xmlns:a16="http://schemas.microsoft.com/office/drawing/2014/main" id="{06E77B2E-519C-49AC-A772-46B3A52AB51A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904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362</xdr:row>
      <xdr:rowOff>0</xdr:rowOff>
    </xdr:from>
    <xdr:ext cx="304800" cy="304800"/>
    <xdr:sp macro="" textlink="">
      <xdr:nvSpPr>
        <xdr:cNvPr id="348" name="AutoShape 1">
          <a:extLst>
            <a:ext uri="{FF2B5EF4-FFF2-40B4-BE49-F238E27FC236}">
              <a16:creationId xmlns:a16="http://schemas.microsoft.com/office/drawing/2014/main" id="{3BD02958-1E49-45B7-B452-C6749A820EF9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904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362</xdr:row>
      <xdr:rowOff>0</xdr:rowOff>
    </xdr:from>
    <xdr:ext cx="304800" cy="304800"/>
    <xdr:sp macro="" textlink="">
      <xdr:nvSpPr>
        <xdr:cNvPr id="349" name="AutoShape 1">
          <a:extLst>
            <a:ext uri="{FF2B5EF4-FFF2-40B4-BE49-F238E27FC236}">
              <a16:creationId xmlns:a16="http://schemas.microsoft.com/office/drawing/2014/main" id="{2312DD19-A299-4A65-9ACF-FCD5F5F7A807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904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362</xdr:row>
      <xdr:rowOff>0</xdr:rowOff>
    </xdr:from>
    <xdr:ext cx="304800" cy="304800"/>
    <xdr:sp macro="" textlink="">
      <xdr:nvSpPr>
        <xdr:cNvPr id="350" name="AutoShape 1">
          <a:extLst>
            <a:ext uri="{FF2B5EF4-FFF2-40B4-BE49-F238E27FC236}">
              <a16:creationId xmlns:a16="http://schemas.microsoft.com/office/drawing/2014/main" id="{28A5B49F-6F89-4BA0-8230-C2BBCDC76F1E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904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362</xdr:row>
      <xdr:rowOff>0</xdr:rowOff>
    </xdr:from>
    <xdr:ext cx="304800" cy="304800"/>
    <xdr:sp macro="" textlink="">
      <xdr:nvSpPr>
        <xdr:cNvPr id="351" name="AutoShape 1">
          <a:extLst>
            <a:ext uri="{FF2B5EF4-FFF2-40B4-BE49-F238E27FC236}">
              <a16:creationId xmlns:a16="http://schemas.microsoft.com/office/drawing/2014/main" id="{CC52D6F6-81D4-48CD-B497-DC04766EABAF}"/>
            </a:ext>
            <a:ext uri="{147F2762-F138-4A5C-976F-8EAC2B608ADB}">
              <a16:predDERef xmlns:a16="http://schemas.microsoft.com/office/drawing/2014/main" pred="{A9C9C4DB-4B97-447C-9099-E87BCB3C537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904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362</xdr:row>
      <xdr:rowOff>0</xdr:rowOff>
    </xdr:from>
    <xdr:ext cx="304800" cy="304800"/>
    <xdr:sp macro="" textlink="">
      <xdr:nvSpPr>
        <xdr:cNvPr id="352" name="AutoShape 1">
          <a:extLst>
            <a:ext uri="{FF2B5EF4-FFF2-40B4-BE49-F238E27FC236}">
              <a16:creationId xmlns:a16="http://schemas.microsoft.com/office/drawing/2014/main" id="{654B1700-43F2-4FE6-B163-D7D5BBE7B48C}"/>
            </a:ext>
            <a:ext uri="{147F2762-F138-4A5C-976F-8EAC2B608ADB}">
              <a16:predDERef xmlns:a16="http://schemas.microsoft.com/office/drawing/2014/main" pred="{CD89554D-BD76-42AD-819A-278AD445B86E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904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362</xdr:row>
      <xdr:rowOff>0</xdr:rowOff>
    </xdr:from>
    <xdr:ext cx="304800" cy="304800"/>
    <xdr:sp macro="" textlink="">
      <xdr:nvSpPr>
        <xdr:cNvPr id="353" name="AutoShape 1">
          <a:extLst>
            <a:ext uri="{FF2B5EF4-FFF2-40B4-BE49-F238E27FC236}">
              <a16:creationId xmlns:a16="http://schemas.microsoft.com/office/drawing/2014/main" id="{E9CEBA2D-8BB2-4D40-B650-8BC2C534FE4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904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362</xdr:row>
      <xdr:rowOff>0</xdr:rowOff>
    </xdr:from>
    <xdr:ext cx="304800" cy="304800"/>
    <xdr:sp macro="" textlink="">
      <xdr:nvSpPr>
        <xdr:cNvPr id="354" name="AutoShape 1">
          <a:extLst>
            <a:ext uri="{FF2B5EF4-FFF2-40B4-BE49-F238E27FC236}">
              <a16:creationId xmlns:a16="http://schemas.microsoft.com/office/drawing/2014/main" id="{613F1B20-7A90-479B-84FA-EFFDCA776799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904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362</xdr:row>
      <xdr:rowOff>0</xdr:rowOff>
    </xdr:from>
    <xdr:ext cx="304800" cy="304800"/>
    <xdr:sp macro="" textlink="">
      <xdr:nvSpPr>
        <xdr:cNvPr id="355" name="AutoShape 1">
          <a:extLst>
            <a:ext uri="{FF2B5EF4-FFF2-40B4-BE49-F238E27FC236}">
              <a16:creationId xmlns:a16="http://schemas.microsoft.com/office/drawing/2014/main" id="{EC10E7F1-783B-416C-96E1-513DD100CEAA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904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362</xdr:row>
      <xdr:rowOff>0</xdr:rowOff>
    </xdr:from>
    <xdr:ext cx="304800" cy="304800"/>
    <xdr:sp macro="" textlink="">
      <xdr:nvSpPr>
        <xdr:cNvPr id="356" name="AutoShape 1">
          <a:extLst>
            <a:ext uri="{FF2B5EF4-FFF2-40B4-BE49-F238E27FC236}">
              <a16:creationId xmlns:a16="http://schemas.microsoft.com/office/drawing/2014/main" id="{5C13ECA4-252A-4CD5-A39A-0354902DC3B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904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362</xdr:row>
      <xdr:rowOff>0</xdr:rowOff>
    </xdr:from>
    <xdr:ext cx="304800" cy="304800"/>
    <xdr:sp macro="" textlink="">
      <xdr:nvSpPr>
        <xdr:cNvPr id="357" name="AutoShape 1">
          <a:extLst>
            <a:ext uri="{FF2B5EF4-FFF2-40B4-BE49-F238E27FC236}">
              <a16:creationId xmlns:a16="http://schemas.microsoft.com/office/drawing/2014/main" id="{956E8DA2-A611-4486-985C-B78E20F11337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904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362</xdr:row>
      <xdr:rowOff>0</xdr:rowOff>
    </xdr:from>
    <xdr:ext cx="304800" cy="304800"/>
    <xdr:sp macro="" textlink="">
      <xdr:nvSpPr>
        <xdr:cNvPr id="358" name="AutoShape 1">
          <a:extLst>
            <a:ext uri="{FF2B5EF4-FFF2-40B4-BE49-F238E27FC236}">
              <a16:creationId xmlns:a16="http://schemas.microsoft.com/office/drawing/2014/main" id="{071399E1-E56B-4FDF-ABFC-48E7D9E9A936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904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362</xdr:row>
      <xdr:rowOff>0</xdr:rowOff>
    </xdr:from>
    <xdr:ext cx="304800" cy="304800"/>
    <xdr:sp macro="" textlink="">
      <xdr:nvSpPr>
        <xdr:cNvPr id="359" name="AutoShape 1">
          <a:extLst>
            <a:ext uri="{FF2B5EF4-FFF2-40B4-BE49-F238E27FC236}">
              <a16:creationId xmlns:a16="http://schemas.microsoft.com/office/drawing/2014/main" id="{B1153FE4-D0D9-4B06-9EDF-4989CB6864EC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904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362</xdr:row>
      <xdr:rowOff>0</xdr:rowOff>
    </xdr:from>
    <xdr:ext cx="304800" cy="304800"/>
    <xdr:sp macro="" textlink="">
      <xdr:nvSpPr>
        <xdr:cNvPr id="360" name="AutoShape 1">
          <a:extLst>
            <a:ext uri="{FF2B5EF4-FFF2-40B4-BE49-F238E27FC236}">
              <a16:creationId xmlns:a16="http://schemas.microsoft.com/office/drawing/2014/main" id="{4369D6A1-33B6-4691-A68C-2AB4993E343B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904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362</xdr:row>
      <xdr:rowOff>0</xdr:rowOff>
    </xdr:from>
    <xdr:ext cx="304800" cy="304800"/>
    <xdr:sp macro="" textlink="">
      <xdr:nvSpPr>
        <xdr:cNvPr id="361" name="AutoShape 1">
          <a:extLst>
            <a:ext uri="{FF2B5EF4-FFF2-40B4-BE49-F238E27FC236}">
              <a16:creationId xmlns:a16="http://schemas.microsoft.com/office/drawing/2014/main" id="{CCF53779-B663-49FA-B76D-B6272B3D910A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904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362</xdr:row>
      <xdr:rowOff>0</xdr:rowOff>
    </xdr:from>
    <xdr:ext cx="304800" cy="304800"/>
    <xdr:sp macro="" textlink="">
      <xdr:nvSpPr>
        <xdr:cNvPr id="362" name="AutoShape 1">
          <a:extLst>
            <a:ext uri="{FF2B5EF4-FFF2-40B4-BE49-F238E27FC236}">
              <a16:creationId xmlns:a16="http://schemas.microsoft.com/office/drawing/2014/main" id="{93C7909B-9C4F-4605-BD95-C19E6893023C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904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362</xdr:row>
      <xdr:rowOff>0</xdr:rowOff>
    </xdr:from>
    <xdr:ext cx="304800" cy="304800"/>
    <xdr:sp macro="" textlink="">
      <xdr:nvSpPr>
        <xdr:cNvPr id="363" name="AutoShape 1">
          <a:extLst>
            <a:ext uri="{FF2B5EF4-FFF2-40B4-BE49-F238E27FC236}">
              <a16:creationId xmlns:a16="http://schemas.microsoft.com/office/drawing/2014/main" id="{3E208239-C4CF-4155-8FA4-FFC305EF91E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904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362</xdr:row>
      <xdr:rowOff>0</xdr:rowOff>
    </xdr:from>
    <xdr:ext cx="304800" cy="304800"/>
    <xdr:sp macro="" textlink="">
      <xdr:nvSpPr>
        <xdr:cNvPr id="364" name="AutoShape 1">
          <a:extLst>
            <a:ext uri="{FF2B5EF4-FFF2-40B4-BE49-F238E27FC236}">
              <a16:creationId xmlns:a16="http://schemas.microsoft.com/office/drawing/2014/main" id="{F3C3BD6E-BBDE-41C5-9EFF-31713794DCD6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904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362</xdr:row>
      <xdr:rowOff>0</xdr:rowOff>
    </xdr:from>
    <xdr:ext cx="304800" cy="304800"/>
    <xdr:sp macro="" textlink="">
      <xdr:nvSpPr>
        <xdr:cNvPr id="365" name="AutoShape 1">
          <a:extLst>
            <a:ext uri="{FF2B5EF4-FFF2-40B4-BE49-F238E27FC236}">
              <a16:creationId xmlns:a16="http://schemas.microsoft.com/office/drawing/2014/main" id="{41D12DBC-478D-4806-9BFA-2DD907020C3F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904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362</xdr:row>
      <xdr:rowOff>0</xdr:rowOff>
    </xdr:from>
    <xdr:ext cx="304800" cy="304800"/>
    <xdr:sp macro="" textlink="">
      <xdr:nvSpPr>
        <xdr:cNvPr id="366" name="AutoShape 1">
          <a:extLst>
            <a:ext uri="{FF2B5EF4-FFF2-40B4-BE49-F238E27FC236}">
              <a16:creationId xmlns:a16="http://schemas.microsoft.com/office/drawing/2014/main" id="{7621FEFA-CF75-4707-96BB-A458D20621A6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904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362</xdr:row>
      <xdr:rowOff>0</xdr:rowOff>
    </xdr:from>
    <xdr:ext cx="304800" cy="304800"/>
    <xdr:sp macro="" textlink="">
      <xdr:nvSpPr>
        <xdr:cNvPr id="367" name="AutoShape 1">
          <a:extLst>
            <a:ext uri="{FF2B5EF4-FFF2-40B4-BE49-F238E27FC236}">
              <a16:creationId xmlns:a16="http://schemas.microsoft.com/office/drawing/2014/main" id="{0C7BEC04-A2A2-4BD3-B0B8-2C61727E591F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904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362</xdr:row>
      <xdr:rowOff>0</xdr:rowOff>
    </xdr:from>
    <xdr:ext cx="304800" cy="304800"/>
    <xdr:sp macro="" textlink="">
      <xdr:nvSpPr>
        <xdr:cNvPr id="368" name="AutoShape 1">
          <a:extLst>
            <a:ext uri="{FF2B5EF4-FFF2-40B4-BE49-F238E27FC236}">
              <a16:creationId xmlns:a16="http://schemas.microsoft.com/office/drawing/2014/main" id="{59F271FD-0696-4447-BC36-1800CFE07A7E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904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362</xdr:row>
      <xdr:rowOff>0</xdr:rowOff>
    </xdr:from>
    <xdr:ext cx="304800" cy="304800"/>
    <xdr:sp macro="" textlink="">
      <xdr:nvSpPr>
        <xdr:cNvPr id="369" name="AutoShape 1">
          <a:extLst>
            <a:ext uri="{FF2B5EF4-FFF2-40B4-BE49-F238E27FC236}">
              <a16:creationId xmlns:a16="http://schemas.microsoft.com/office/drawing/2014/main" id="{922FD09B-17F7-4565-BE93-5BAA73072405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904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362</xdr:row>
      <xdr:rowOff>0</xdr:rowOff>
    </xdr:from>
    <xdr:ext cx="304800" cy="304800"/>
    <xdr:sp macro="" textlink="">
      <xdr:nvSpPr>
        <xdr:cNvPr id="370" name="AutoShape 1">
          <a:extLst>
            <a:ext uri="{FF2B5EF4-FFF2-40B4-BE49-F238E27FC236}">
              <a16:creationId xmlns:a16="http://schemas.microsoft.com/office/drawing/2014/main" id="{337F40A5-94F9-4226-A55F-B5DCBF12B5D3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904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362</xdr:row>
      <xdr:rowOff>0</xdr:rowOff>
    </xdr:from>
    <xdr:ext cx="304800" cy="304800"/>
    <xdr:sp macro="" textlink="">
      <xdr:nvSpPr>
        <xdr:cNvPr id="371" name="AutoShape 1">
          <a:extLst>
            <a:ext uri="{FF2B5EF4-FFF2-40B4-BE49-F238E27FC236}">
              <a16:creationId xmlns:a16="http://schemas.microsoft.com/office/drawing/2014/main" id="{143A4E83-1050-4A25-B082-FFEE98AC4785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904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362</xdr:row>
      <xdr:rowOff>0</xdr:rowOff>
    </xdr:from>
    <xdr:ext cx="304800" cy="304800"/>
    <xdr:sp macro="" textlink="">
      <xdr:nvSpPr>
        <xdr:cNvPr id="372" name="AutoShape 1">
          <a:extLst>
            <a:ext uri="{FF2B5EF4-FFF2-40B4-BE49-F238E27FC236}">
              <a16:creationId xmlns:a16="http://schemas.microsoft.com/office/drawing/2014/main" id="{499E918A-FFB8-431C-91B8-4D9B85F2BB91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904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362</xdr:row>
      <xdr:rowOff>0</xdr:rowOff>
    </xdr:from>
    <xdr:ext cx="304800" cy="304800"/>
    <xdr:sp macro="" textlink="">
      <xdr:nvSpPr>
        <xdr:cNvPr id="373" name="AutoShape 1">
          <a:extLst>
            <a:ext uri="{FF2B5EF4-FFF2-40B4-BE49-F238E27FC236}">
              <a16:creationId xmlns:a16="http://schemas.microsoft.com/office/drawing/2014/main" id="{539C8EA9-DB12-4020-9930-FB3AA4EC8492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904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362</xdr:row>
      <xdr:rowOff>0</xdr:rowOff>
    </xdr:from>
    <xdr:ext cx="304800" cy="304800"/>
    <xdr:sp macro="" textlink="">
      <xdr:nvSpPr>
        <xdr:cNvPr id="374" name="AutoShape 1">
          <a:extLst>
            <a:ext uri="{FF2B5EF4-FFF2-40B4-BE49-F238E27FC236}">
              <a16:creationId xmlns:a16="http://schemas.microsoft.com/office/drawing/2014/main" id="{C65208F5-9343-42DF-85C6-601931A97BC0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904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362</xdr:row>
      <xdr:rowOff>0</xdr:rowOff>
    </xdr:from>
    <xdr:ext cx="304800" cy="304800"/>
    <xdr:sp macro="" textlink="">
      <xdr:nvSpPr>
        <xdr:cNvPr id="375" name="AutoShape 1">
          <a:extLst>
            <a:ext uri="{FF2B5EF4-FFF2-40B4-BE49-F238E27FC236}">
              <a16:creationId xmlns:a16="http://schemas.microsoft.com/office/drawing/2014/main" id="{D88EC524-8E2F-4B9C-8AA8-CF46F838AB4F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904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362</xdr:row>
      <xdr:rowOff>0</xdr:rowOff>
    </xdr:from>
    <xdr:ext cx="304800" cy="304800"/>
    <xdr:sp macro="" textlink="">
      <xdr:nvSpPr>
        <xdr:cNvPr id="376" name="AutoShape 1">
          <a:extLst>
            <a:ext uri="{FF2B5EF4-FFF2-40B4-BE49-F238E27FC236}">
              <a16:creationId xmlns:a16="http://schemas.microsoft.com/office/drawing/2014/main" id="{70EF3A89-3D7E-498B-BECC-079C41939B39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904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362</xdr:row>
      <xdr:rowOff>0</xdr:rowOff>
    </xdr:from>
    <xdr:ext cx="304800" cy="304800"/>
    <xdr:sp macro="" textlink="">
      <xdr:nvSpPr>
        <xdr:cNvPr id="377" name="AutoShape 1">
          <a:extLst>
            <a:ext uri="{FF2B5EF4-FFF2-40B4-BE49-F238E27FC236}">
              <a16:creationId xmlns:a16="http://schemas.microsoft.com/office/drawing/2014/main" id="{AD38C7C8-E0E6-403C-BC92-19A97E467F7E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904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362</xdr:row>
      <xdr:rowOff>0</xdr:rowOff>
    </xdr:from>
    <xdr:ext cx="304800" cy="304800"/>
    <xdr:sp macro="" textlink="">
      <xdr:nvSpPr>
        <xdr:cNvPr id="378" name="AutoShape 1">
          <a:extLst>
            <a:ext uri="{FF2B5EF4-FFF2-40B4-BE49-F238E27FC236}">
              <a16:creationId xmlns:a16="http://schemas.microsoft.com/office/drawing/2014/main" id="{BA1E9030-3BBA-4672-81A3-C4D0F64F9119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904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362</xdr:row>
      <xdr:rowOff>0</xdr:rowOff>
    </xdr:from>
    <xdr:ext cx="304800" cy="304800"/>
    <xdr:sp macro="" textlink="">
      <xdr:nvSpPr>
        <xdr:cNvPr id="379" name="AutoShape 1">
          <a:extLst>
            <a:ext uri="{FF2B5EF4-FFF2-40B4-BE49-F238E27FC236}">
              <a16:creationId xmlns:a16="http://schemas.microsoft.com/office/drawing/2014/main" id="{11F4E4C3-33E7-40F8-9656-02C68A53D800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904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362</xdr:row>
      <xdr:rowOff>0</xdr:rowOff>
    </xdr:from>
    <xdr:ext cx="304800" cy="304800"/>
    <xdr:sp macro="" textlink="">
      <xdr:nvSpPr>
        <xdr:cNvPr id="380" name="AutoShape 1">
          <a:extLst>
            <a:ext uri="{FF2B5EF4-FFF2-40B4-BE49-F238E27FC236}">
              <a16:creationId xmlns:a16="http://schemas.microsoft.com/office/drawing/2014/main" id="{08116C07-2999-4807-8355-F6392E7293AA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904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362</xdr:row>
      <xdr:rowOff>0</xdr:rowOff>
    </xdr:from>
    <xdr:ext cx="304800" cy="304800"/>
    <xdr:sp macro="" textlink="">
      <xdr:nvSpPr>
        <xdr:cNvPr id="381" name="AutoShape 1">
          <a:extLst>
            <a:ext uri="{FF2B5EF4-FFF2-40B4-BE49-F238E27FC236}">
              <a16:creationId xmlns:a16="http://schemas.microsoft.com/office/drawing/2014/main" id="{8E19608B-5239-4641-8123-CD819EB2899F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904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362</xdr:row>
      <xdr:rowOff>0</xdr:rowOff>
    </xdr:from>
    <xdr:ext cx="304800" cy="304800"/>
    <xdr:sp macro="" textlink="">
      <xdr:nvSpPr>
        <xdr:cNvPr id="382" name="AutoShape 1">
          <a:extLst>
            <a:ext uri="{FF2B5EF4-FFF2-40B4-BE49-F238E27FC236}">
              <a16:creationId xmlns:a16="http://schemas.microsoft.com/office/drawing/2014/main" id="{A588280A-E9FD-46CA-9854-212B375F8CB0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904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362</xdr:row>
      <xdr:rowOff>0</xdr:rowOff>
    </xdr:from>
    <xdr:ext cx="304800" cy="304800"/>
    <xdr:sp macro="" textlink="">
      <xdr:nvSpPr>
        <xdr:cNvPr id="383" name="AutoShape 1">
          <a:extLst>
            <a:ext uri="{FF2B5EF4-FFF2-40B4-BE49-F238E27FC236}">
              <a16:creationId xmlns:a16="http://schemas.microsoft.com/office/drawing/2014/main" id="{89B7C461-304F-4E89-BAFB-FF8096B86684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904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362</xdr:row>
      <xdr:rowOff>0</xdr:rowOff>
    </xdr:from>
    <xdr:ext cx="304800" cy="304800"/>
    <xdr:sp macro="" textlink="">
      <xdr:nvSpPr>
        <xdr:cNvPr id="384" name="AutoShape 1">
          <a:extLst>
            <a:ext uri="{FF2B5EF4-FFF2-40B4-BE49-F238E27FC236}">
              <a16:creationId xmlns:a16="http://schemas.microsoft.com/office/drawing/2014/main" id="{7A77EA8E-ECFC-4289-8512-5C17282FDD5B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904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362</xdr:row>
      <xdr:rowOff>0</xdr:rowOff>
    </xdr:from>
    <xdr:ext cx="304800" cy="304800"/>
    <xdr:sp macro="" textlink="">
      <xdr:nvSpPr>
        <xdr:cNvPr id="385" name="AutoShape 1">
          <a:extLst>
            <a:ext uri="{FF2B5EF4-FFF2-40B4-BE49-F238E27FC236}">
              <a16:creationId xmlns:a16="http://schemas.microsoft.com/office/drawing/2014/main" id="{9EC4AF20-01B6-43BE-A573-B70F5E2989FB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904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362</xdr:row>
      <xdr:rowOff>0</xdr:rowOff>
    </xdr:from>
    <xdr:ext cx="304800" cy="304800"/>
    <xdr:sp macro="" textlink="">
      <xdr:nvSpPr>
        <xdr:cNvPr id="386" name="AutoShape 1">
          <a:extLst>
            <a:ext uri="{FF2B5EF4-FFF2-40B4-BE49-F238E27FC236}">
              <a16:creationId xmlns:a16="http://schemas.microsoft.com/office/drawing/2014/main" id="{A45F77E5-519F-41E7-B861-2663C1D291D2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904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362</xdr:row>
      <xdr:rowOff>0</xdr:rowOff>
    </xdr:from>
    <xdr:ext cx="304800" cy="304800"/>
    <xdr:sp macro="" textlink="">
      <xdr:nvSpPr>
        <xdr:cNvPr id="387" name="AutoShape 1">
          <a:extLst>
            <a:ext uri="{FF2B5EF4-FFF2-40B4-BE49-F238E27FC236}">
              <a16:creationId xmlns:a16="http://schemas.microsoft.com/office/drawing/2014/main" id="{2F67950B-3A86-4321-A989-503AA36A77F3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904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362</xdr:row>
      <xdr:rowOff>0</xdr:rowOff>
    </xdr:from>
    <xdr:ext cx="304800" cy="304800"/>
    <xdr:sp macro="" textlink="">
      <xdr:nvSpPr>
        <xdr:cNvPr id="388" name="AutoShape 1">
          <a:extLst>
            <a:ext uri="{FF2B5EF4-FFF2-40B4-BE49-F238E27FC236}">
              <a16:creationId xmlns:a16="http://schemas.microsoft.com/office/drawing/2014/main" id="{900F57ED-6F63-4B0D-B78D-653D01EA8D48}"/>
            </a:ext>
            <a:ext uri="{147F2762-F138-4A5C-976F-8EAC2B608ADB}">
              <a16:predDERef xmlns:a16="http://schemas.microsoft.com/office/drawing/2014/main" pred="{A9C9C4DB-4B97-447C-9099-E87BCB3C537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904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362</xdr:row>
      <xdr:rowOff>0</xdr:rowOff>
    </xdr:from>
    <xdr:ext cx="304800" cy="304800"/>
    <xdr:sp macro="" textlink="">
      <xdr:nvSpPr>
        <xdr:cNvPr id="389" name="AutoShape 1">
          <a:extLst>
            <a:ext uri="{FF2B5EF4-FFF2-40B4-BE49-F238E27FC236}">
              <a16:creationId xmlns:a16="http://schemas.microsoft.com/office/drawing/2014/main" id="{111E92FE-BB86-4F96-B186-2B1C3E3F8570}"/>
            </a:ext>
            <a:ext uri="{147F2762-F138-4A5C-976F-8EAC2B608ADB}">
              <a16:predDERef xmlns:a16="http://schemas.microsoft.com/office/drawing/2014/main" pred="{CD89554D-BD76-42AD-819A-278AD445B86E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904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384</xdr:row>
      <xdr:rowOff>0</xdr:rowOff>
    </xdr:from>
    <xdr:ext cx="304800" cy="304800"/>
    <xdr:sp macro="" textlink="">
      <xdr:nvSpPr>
        <xdr:cNvPr id="390" name="AutoShape 1">
          <a:extLst>
            <a:ext uri="{FF2B5EF4-FFF2-40B4-BE49-F238E27FC236}">
              <a16:creationId xmlns:a16="http://schemas.microsoft.com/office/drawing/2014/main" id="{A8A456C3-731F-4173-8F89-A2C59BE8193A}"/>
            </a:ext>
          </a:extLst>
        </xdr:cNvPr>
        <xdr:cNvSpPr>
          <a:spLocks noChangeAspect="1" noChangeArrowheads="1"/>
        </xdr:cNvSpPr>
      </xdr:nvSpPr>
      <xdr:spPr bwMode="auto">
        <a:xfrm>
          <a:off x="1390650" y="7330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384</xdr:row>
      <xdr:rowOff>0</xdr:rowOff>
    </xdr:from>
    <xdr:ext cx="304800" cy="304800"/>
    <xdr:sp macro="" textlink="">
      <xdr:nvSpPr>
        <xdr:cNvPr id="391" name="AutoShape 1">
          <a:extLst>
            <a:ext uri="{FF2B5EF4-FFF2-40B4-BE49-F238E27FC236}">
              <a16:creationId xmlns:a16="http://schemas.microsoft.com/office/drawing/2014/main" id="{BE208095-D37A-4A48-8067-6398EB3525A7}"/>
            </a:ext>
          </a:extLst>
        </xdr:cNvPr>
        <xdr:cNvSpPr>
          <a:spLocks noChangeAspect="1" noChangeArrowheads="1"/>
        </xdr:cNvSpPr>
      </xdr:nvSpPr>
      <xdr:spPr bwMode="auto">
        <a:xfrm>
          <a:off x="1390650" y="7330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393</xdr:row>
      <xdr:rowOff>0</xdr:rowOff>
    </xdr:from>
    <xdr:ext cx="304800" cy="304800"/>
    <xdr:sp macro="" textlink="">
      <xdr:nvSpPr>
        <xdr:cNvPr id="392" name="AutoShape 1">
          <a:extLst>
            <a:ext uri="{FF2B5EF4-FFF2-40B4-BE49-F238E27FC236}">
              <a16:creationId xmlns:a16="http://schemas.microsoft.com/office/drawing/2014/main" id="{83E23D9A-4C39-4B2F-8F0C-2C60AC6E0B9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7501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393</xdr:row>
      <xdr:rowOff>0</xdr:rowOff>
    </xdr:from>
    <xdr:ext cx="304800" cy="304800"/>
    <xdr:sp macro="" textlink="">
      <xdr:nvSpPr>
        <xdr:cNvPr id="393" name="AutoShape 1">
          <a:extLst>
            <a:ext uri="{FF2B5EF4-FFF2-40B4-BE49-F238E27FC236}">
              <a16:creationId xmlns:a16="http://schemas.microsoft.com/office/drawing/2014/main" id="{19E14863-6C64-4237-9343-3E8621FB8D3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7501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393</xdr:row>
      <xdr:rowOff>0</xdr:rowOff>
    </xdr:from>
    <xdr:ext cx="304800" cy="304800"/>
    <xdr:sp macro="" textlink="">
      <xdr:nvSpPr>
        <xdr:cNvPr id="394" name="AutoShape 1">
          <a:extLst>
            <a:ext uri="{FF2B5EF4-FFF2-40B4-BE49-F238E27FC236}">
              <a16:creationId xmlns:a16="http://schemas.microsoft.com/office/drawing/2014/main" id="{41711751-6F9B-4776-B0A0-C6AE1D9B5E6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7501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393</xdr:row>
      <xdr:rowOff>0</xdr:rowOff>
    </xdr:from>
    <xdr:ext cx="304800" cy="304800"/>
    <xdr:sp macro="" textlink="">
      <xdr:nvSpPr>
        <xdr:cNvPr id="395" name="AutoShape 1">
          <a:extLst>
            <a:ext uri="{FF2B5EF4-FFF2-40B4-BE49-F238E27FC236}">
              <a16:creationId xmlns:a16="http://schemas.microsoft.com/office/drawing/2014/main" id="{A37DFB28-BEC0-4BAA-86BE-D06515B6F0F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7501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393</xdr:row>
      <xdr:rowOff>0</xdr:rowOff>
    </xdr:from>
    <xdr:ext cx="304800" cy="304800"/>
    <xdr:sp macro="" textlink="">
      <xdr:nvSpPr>
        <xdr:cNvPr id="396" name="AutoShape 1">
          <a:extLst>
            <a:ext uri="{FF2B5EF4-FFF2-40B4-BE49-F238E27FC236}">
              <a16:creationId xmlns:a16="http://schemas.microsoft.com/office/drawing/2014/main" id="{E4B212EE-675E-417E-B411-5F6E48669F2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7501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393</xdr:row>
      <xdr:rowOff>0</xdr:rowOff>
    </xdr:from>
    <xdr:ext cx="304800" cy="304800"/>
    <xdr:sp macro="" textlink="">
      <xdr:nvSpPr>
        <xdr:cNvPr id="397" name="AutoShape 1">
          <a:extLst>
            <a:ext uri="{FF2B5EF4-FFF2-40B4-BE49-F238E27FC236}">
              <a16:creationId xmlns:a16="http://schemas.microsoft.com/office/drawing/2014/main" id="{621E82D3-720E-4C3D-9142-EF441C723BF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7501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393</xdr:row>
      <xdr:rowOff>0</xdr:rowOff>
    </xdr:from>
    <xdr:ext cx="304800" cy="304800"/>
    <xdr:sp macro="" textlink="">
      <xdr:nvSpPr>
        <xdr:cNvPr id="398" name="AutoShape 1">
          <a:extLst>
            <a:ext uri="{FF2B5EF4-FFF2-40B4-BE49-F238E27FC236}">
              <a16:creationId xmlns:a16="http://schemas.microsoft.com/office/drawing/2014/main" id="{0EDFDC04-273B-49B7-A2DA-803D99E041F7}"/>
            </a:ext>
          </a:extLst>
        </xdr:cNvPr>
        <xdr:cNvSpPr>
          <a:spLocks noChangeAspect="1" noChangeArrowheads="1"/>
        </xdr:cNvSpPr>
      </xdr:nvSpPr>
      <xdr:spPr bwMode="auto">
        <a:xfrm>
          <a:off x="1390650" y="7501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393</xdr:row>
      <xdr:rowOff>0</xdr:rowOff>
    </xdr:from>
    <xdr:ext cx="304800" cy="304800"/>
    <xdr:sp macro="" textlink="">
      <xdr:nvSpPr>
        <xdr:cNvPr id="399" name="AutoShape 1">
          <a:extLst>
            <a:ext uri="{FF2B5EF4-FFF2-40B4-BE49-F238E27FC236}">
              <a16:creationId xmlns:a16="http://schemas.microsoft.com/office/drawing/2014/main" id="{023841FA-450D-4F5F-9AD1-2A257DAE1E2E}"/>
            </a:ext>
          </a:extLst>
        </xdr:cNvPr>
        <xdr:cNvSpPr>
          <a:spLocks noChangeAspect="1" noChangeArrowheads="1"/>
        </xdr:cNvSpPr>
      </xdr:nvSpPr>
      <xdr:spPr bwMode="auto">
        <a:xfrm>
          <a:off x="1390650" y="7501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393</xdr:row>
      <xdr:rowOff>0</xdr:rowOff>
    </xdr:from>
    <xdr:ext cx="304800" cy="304800"/>
    <xdr:sp macro="" textlink="">
      <xdr:nvSpPr>
        <xdr:cNvPr id="400" name="AutoShape 1">
          <a:extLst>
            <a:ext uri="{FF2B5EF4-FFF2-40B4-BE49-F238E27FC236}">
              <a16:creationId xmlns:a16="http://schemas.microsoft.com/office/drawing/2014/main" id="{D2093A5E-51EB-4390-B8DA-B766F0B2B7C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7501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393</xdr:row>
      <xdr:rowOff>0</xdr:rowOff>
    </xdr:from>
    <xdr:ext cx="304800" cy="304800"/>
    <xdr:sp macro="" textlink="">
      <xdr:nvSpPr>
        <xdr:cNvPr id="401" name="AutoShape 1">
          <a:extLst>
            <a:ext uri="{FF2B5EF4-FFF2-40B4-BE49-F238E27FC236}">
              <a16:creationId xmlns:a16="http://schemas.microsoft.com/office/drawing/2014/main" id="{BA2B329E-1B68-4430-93A1-09EFAF3E181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7501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393</xdr:row>
      <xdr:rowOff>0</xdr:rowOff>
    </xdr:from>
    <xdr:ext cx="304800" cy="304800"/>
    <xdr:sp macro="" textlink="">
      <xdr:nvSpPr>
        <xdr:cNvPr id="402" name="AutoShape 1">
          <a:extLst>
            <a:ext uri="{FF2B5EF4-FFF2-40B4-BE49-F238E27FC236}">
              <a16:creationId xmlns:a16="http://schemas.microsoft.com/office/drawing/2014/main" id="{CB1D9339-AFC9-479B-B60F-5C31430B183F}"/>
            </a:ext>
          </a:extLst>
        </xdr:cNvPr>
        <xdr:cNvSpPr>
          <a:spLocks noChangeAspect="1" noChangeArrowheads="1"/>
        </xdr:cNvSpPr>
      </xdr:nvSpPr>
      <xdr:spPr bwMode="auto">
        <a:xfrm>
          <a:off x="1390650" y="7501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393</xdr:row>
      <xdr:rowOff>0</xdr:rowOff>
    </xdr:from>
    <xdr:ext cx="304800" cy="304800"/>
    <xdr:sp macro="" textlink="">
      <xdr:nvSpPr>
        <xdr:cNvPr id="403" name="AutoShape 1">
          <a:extLst>
            <a:ext uri="{FF2B5EF4-FFF2-40B4-BE49-F238E27FC236}">
              <a16:creationId xmlns:a16="http://schemas.microsoft.com/office/drawing/2014/main" id="{8E05D26C-C8EC-464B-8195-4EAB17D3EEF7}"/>
            </a:ext>
          </a:extLst>
        </xdr:cNvPr>
        <xdr:cNvSpPr>
          <a:spLocks noChangeAspect="1" noChangeArrowheads="1"/>
        </xdr:cNvSpPr>
      </xdr:nvSpPr>
      <xdr:spPr bwMode="auto">
        <a:xfrm>
          <a:off x="1390650" y="7501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393</xdr:row>
      <xdr:rowOff>0</xdr:rowOff>
    </xdr:from>
    <xdr:ext cx="304800" cy="304800"/>
    <xdr:sp macro="" textlink="">
      <xdr:nvSpPr>
        <xdr:cNvPr id="404" name="AutoShape 1">
          <a:extLst>
            <a:ext uri="{FF2B5EF4-FFF2-40B4-BE49-F238E27FC236}">
              <a16:creationId xmlns:a16="http://schemas.microsoft.com/office/drawing/2014/main" id="{A6DD8A9B-85D7-4803-BEA9-DA359520785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7501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393</xdr:row>
      <xdr:rowOff>0</xdr:rowOff>
    </xdr:from>
    <xdr:ext cx="304800" cy="304800"/>
    <xdr:sp macro="" textlink="">
      <xdr:nvSpPr>
        <xdr:cNvPr id="405" name="AutoShape 1">
          <a:extLst>
            <a:ext uri="{FF2B5EF4-FFF2-40B4-BE49-F238E27FC236}">
              <a16:creationId xmlns:a16="http://schemas.microsoft.com/office/drawing/2014/main" id="{67F4FA5B-4814-4417-8EE0-9CA1E382E0B9}"/>
            </a:ext>
          </a:extLst>
        </xdr:cNvPr>
        <xdr:cNvSpPr>
          <a:spLocks noChangeAspect="1" noChangeArrowheads="1"/>
        </xdr:cNvSpPr>
      </xdr:nvSpPr>
      <xdr:spPr bwMode="auto">
        <a:xfrm>
          <a:off x="1390650" y="7501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393</xdr:row>
      <xdr:rowOff>0</xdr:rowOff>
    </xdr:from>
    <xdr:ext cx="304800" cy="304800"/>
    <xdr:sp macro="" textlink="">
      <xdr:nvSpPr>
        <xdr:cNvPr id="406" name="AutoShape 1">
          <a:extLst>
            <a:ext uri="{FF2B5EF4-FFF2-40B4-BE49-F238E27FC236}">
              <a16:creationId xmlns:a16="http://schemas.microsoft.com/office/drawing/2014/main" id="{94A97A81-6760-4C7C-9334-779A7977DD59}"/>
            </a:ext>
          </a:extLst>
        </xdr:cNvPr>
        <xdr:cNvSpPr>
          <a:spLocks noChangeAspect="1" noChangeArrowheads="1"/>
        </xdr:cNvSpPr>
      </xdr:nvSpPr>
      <xdr:spPr bwMode="auto">
        <a:xfrm>
          <a:off x="1390650" y="7501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393</xdr:row>
      <xdr:rowOff>0</xdr:rowOff>
    </xdr:from>
    <xdr:ext cx="304800" cy="304800"/>
    <xdr:sp macro="" textlink="">
      <xdr:nvSpPr>
        <xdr:cNvPr id="407" name="AutoShape 1">
          <a:extLst>
            <a:ext uri="{FF2B5EF4-FFF2-40B4-BE49-F238E27FC236}">
              <a16:creationId xmlns:a16="http://schemas.microsoft.com/office/drawing/2014/main" id="{C5CF1B4D-A9A0-4D45-920E-540C2EBAD2BA}"/>
            </a:ext>
          </a:extLst>
        </xdr:cNvPr>
        <xdr:cNvSpPr>
          <a:spLocks noChangeAspect="1" noChangeArrowheads="1"/>
        </xdr:cNvSpPr>
      </xdr:nvSpPr>
      <xdr:spPr bwMode="auto">
        <a:xfrm>
          <a:off x="1390650" y="7501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393</xdr:row>
      <xdr:rowOff>0</xdr:rowOff>
    </xdr:from>
    <xdr:ext cx="304800" cy="304800"/>
    <xdr:sp macro="" textlink="">
      <xdr:nvSpPr>
        <xdr:cNvPr id="408" name="AutoShape 1">
          <a:extLst>
            <a:ext uri="{FF2B5EF4-FFF2-40B4-BE49-F238E27FC236}">
              <a16:creationId xmlns:a16="http://schemas.microsoft.com/office/drawing/2014/main" id="{DC448820-4AA4-4DC3-AA4C-0B9E8A1A1ABD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7501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393</xdr:row>
      <xdr:rowOff>0</xdr:rowOff>
    </xdr:from>
    <xdr:ext cx="304800" cy="304800"/>
    <xdr:sp macro="" textlink="">
      <xdr:nvSpPr>
        <xdr:cNvPr id="409" name="AutoShape 1">
          <a:extLst>
            <a:ext uri="{FF2B5EF4-FFF2-40B4-BE49-F238E27FC236}">
              <a16:creationId xmlns:a16="http://schemas.microsoft.com/office/drawing/2014/main" id="{53C9BBDF-0798-4496-9B0E-4D50F3E35F5B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7501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393</xdr:row>
      <xdr:rowOff>0</xdr:rowOff>
    </xdr:from>
    <xdr:ext cx="304800" cy="304800"/>
    <xdr:sp macro="" textlink="">
      <xdr:nvSpPr>
        <xdr:cNvPr id="410" name="AutoShape 1">
          <a:extLst>
            <a:ext uri="{FF2B5EF4-FFF2-40B4-BE49-F238E27FC236}">
              <a16:creationId xmlns:a16="http://schemas.microsoft.com/office/drawing/2014/main" id="{EB6D7DC9-4D31-4B9E-9C52-8410C17C7285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7501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393</xdr:row>
      <xdr:rowOff>0</xdr:rowOff>
    </xdr:from>
    <xdr:ext cx="304800" cy="304800"/>
    <xdr:sp macro="" textlink="">
      <xdr:nvSpPr>
        <xdr:cNvPr id="411" name="AutoShape 1">
          <a:extLst>
            <a:ext uri="{FF2B5EF4-FFF2-40B4-BE49-F238E27FC236}">
              <a16:creationId xmlns:a16="http://schemas.microsoft.com/office/drawing/2014/main" id="{1560D71E-4F2B-4EA3-88AA-F4BD8375580B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7501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393</xdr:row>
      <xdr:rowOff>0</xdr:rowOff>
    </xdr:from>
    <xdr:ext cx="304800" cy="304800"/>
    <xdr:sp macro="" textlink="">
      <xdr:nvSpPr>
        <xdr:cNvPr id="412" name="AutoShape 1">
          <a:extLst>
            <a:ext uri="{FF2B5EF4-FFF2-40B4-BE49-F238E27FC236}">
              <a16:creationId xmlns:a16="http://schemas.microsoft.com/office/drawing/2014/main" id="{292D01A5-4A06-40A5-9023-24B6EAFCF2BB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7501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393</xdr:row>
      <xdr:rowOff>0</xdr:rowOff>
    </xdr:from>
    <xdr:ext cx="304800" cy="304800"/>
    <xdr:sp macro="" textlink="">
      <xdr:nvSpPr>
        <xdr:cNvPr id="413" name="AutoShape 1">
          <a:extLst>
            <a:ext uri="{FF2B5EF4-FFF2-40B4-BE49-F238E27FC236}">
              <a16:creationId xmlns:a16="http://schemas.microsoft.com/office/drawing/2014/main" id="{322522E8-3569-45F7-BA77-CF0BC616024E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7501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393</xdr:row>
      <xdr:rowOff>0</xdr:rowOff>
    </xdr:from>
    <xdr:ext cx="304800" cy="304800"/>
    <xdr:sp macro="" textlink="">
      <xdr:nvSpPr>
        <xdr:cNvPr id="414" name="AutoShape 1">
          <a:extLst>
            <a:ext uri="{FF2B5EF4-FFF2-40B4-BE49-F238E27FC236}">
              <a16:creationId xmlns:a16="http://schemas.microsoft.com/office/drawing/2014/main" id="{D4ADE90D-F685-4707-A261-1783E7B05C34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7501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393</xdr:row>
      <xdr:rowOff>0</xdr:rowOff>
    </xdr:from>
    <xdr:ext cx="304800" cy="304800"/>
    <xdr:sp macro="" textlink="">
      <xdr:nvSpPr>
        <xdr:cNvPr id="415" name="AutoShape 1">
          <a:extLst>
            <a:ext uri="{FF2B5EF4-FFF2-40B4-BE49-F238E27FC236}">
              <a16:creationId xmlns:a16="http://schemas.microsoft.com/office/drawing/2014/main" id="{C16240FE-00B3-487A-9A35-5B2A426C8383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7501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393</xdr:row>
      <xdr:rowOff>0</xdr:rowOff>
    </xdr:from>
    <xdr:ext cx="304800" cy="304800"/>
    <xdr:sp macro="" textlink="">
      <xdr:nvSpPr>
        <xdr:cNvPr id="416" name="AutoShape 1">
          <a:extLst>
            <a:ext uri="{FF2B5EF4-FFF2-40B4-BE49-F238E27FC236}">
              <a16:creationId xmlns:a16="http://schemas.microsoft.com/office/drawing/2014/main" id="{B9C51ABB-2A47-4993-8971-A3C66FFB7CB8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7501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393</xdr:row>
      <xdr:rowOff>0</xdr:rowOff>
    </xdr:from>
    <xdr:ext cx="304800" cy="304800"/>
    <xdr:sp macro="" textlink="">
      <xdr:nvSpPr>
        <xdr:cNvPr id="417" name="AutoShape 1">
          <a:extLst>
            <a:ext uri="{FF2B5EF4-FFF2-40B4-BE49-F238E27FC236}">
              <a16:creationId xmlns:a16="http://schemas.microsoft.com/office/drawing/2014/main" id="{14E4BED4-97DC-4DB3-B5BB-2FFCF92D8A6A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7501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393</xdr:row>
      <xdr:rowOff>0</xdr:rowOff>
    </xdr:from>
    <xdr:ext cx="304800" cy="304800"/>
    <xdr:sp macro="" textlink="">
      <xdr:nvSpPr>
        <xdr:cNvPr id="418" name="AutoShape 1">
          <a:extLst>
            <a:ext uri="{FF2B5EF4-FFF2-40B4-BE49-F238E27FC236}">
              <a16:creationId xmlns:a16="http://schemas.microsoft.com/office/drawing/2014/main" id="{57551B77-8CC1-408D-BBF2-90EDA0B9A573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7501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393</xdr:row>
      <xdr:rowOff>0</xdr:rowOff>
    </xdr:from>
    <xdr:ext cx="304800" cy="304800"/>
    <xdr:sp macro="" textlink="">
      <xdr:nvSpPr>
        <xdr:cNvPr id="419" name="AutoShape 1">
          <a:extLst>
            <a:ext uri="{FF2B5EF4-FFF2-40B4-BE49-F238E27FC236}">
              <a16:creationId xmlns:a16="http://schemas.microsoft.com/office/drawing/2014/main" id="{04CB3CC2-6427-4438-9417-21CC764BBF08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7501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393</xdr:row>
      <xdr:rowOff>0</xdr:rowOff>
    </xdr:from>
    <xdr:ext cx="304800" cy="304800"/>
    <xdr:sp macro="" textlink="">
      <xdr:nvSpPr>
        <xdr:cNvPr id="420" name="AutoShape 1">
          <a:extLst>
            <a:ext uri="{FF2B5EF4-FFF2-40B4-BE49-F238E27FC236}">
              <a16:creationId xmlns:a16="http://schemas.microsoft.com/office/drawing/2014/main" id="{D20D9564-FD36-44A1-A75F-3AAE1AA638FB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7501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393</xdr:row>
      <xdr:rowOff>0</xdr:rowOff>
    </xdr:from>
    <xdr:ext cx="304800" cy="304800"/>
    <xdr:sp macro="" textlink="">
      <xdr:nvSpPr>
        <xdr:cNvPr id="421" name="AutoShape 1">
          <a:extLst>
            <a:ext uri="{FF2B5EF4-FFF2-40B4-BE49-F238E27FC236}">
              <a16:creationId xmlns:a16="http://schemas.microsoft.com/office/drawing/2014/main" id="{7DD03BB9-6F6B-4FF5-9E82-A4AB1F320879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7501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393</xdr:row>
      <xdr:rowOff>0</xdr:rowOff>
    </xdr:from>
    <xdr:ext cx="304800" cy="304800"/>
    <xdr:sp macro="" textlink="">
      <xdr:nvSpPr>
        <xdr:cNvPr id="422" name="AutoShape 1">
          <a:extLst>
            <a:ext uri="{FF2B5EF4-FFF2-40B4-BE49-F238E27FC236}">
              <a16:creationId xmlns:a16="http://schemas.microsoft.com/office/drawing/2014/main" id="{F77B0DFE-BDF6-40F4-B5F3-ABAE3745F5F0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7501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393</xdr:row>
      <xdr:rowOff>0</xdr:rowOff>
    </xdr:from>
    <xdr:ext cx="304800" cy="304800"/>
    <xdr:sp macro="" textlink="">
      <xdr:nvSpPr>
        <xdr:cNvPr id="423" name="AutoShape 1">
          <a:extLst>
            <a:ext uri="{FF2B5EF4-FFF2-40B4-BE49-F238E27FC236}">
              <a16:creationId xmlns:a16="http://schemas.microsoft.com/office/drawing/2014/main" id="{54ADE56E-776C-4465-886B-4A3629D5F9E2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7501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393</xdr:row>
      <xdr:rowOff>0</xdr:rowOff>
    </xdr:from>
    <xdr:ext cx="304800" cy="304800"/>
    <xdr:sp macro="" textlink="">
      <xdr:nvSpPr>
        <xdr:cNvPr id="424" name="AutoShape 1">
          <a:extLst>
            <a:ext uri="{FF2B5EF4-FFF2-40B4-BE49-F238E27FC236}">
              <a16:creationId xmlns:a16="http://schemas.microsoft.com/office/drawing/2014/main" id="{9D880ADC-99F1-4B2A-9CAC-E72799C3E8BD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7501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393</xdr:row>
      <xdr:rowOff>0</xdr:rowOff>
    </xdr:from>
    <xdr:ext cx="304800" cy="304800"/>
    <xdr:sp macro="" textlink="">
      <xdr:nvSpPr>
        <xdr:cNvPr id="425" name="AutoShape 1">
          <a:extLst>
            <a:ext uri="{FF2B5EF4-FFF2-40B4-BE49-F238E27FC236}">
              <a16:creationId xmlns:a16="http://schemas.microsoft.com/office/drawing/2014/main" id="{CE93C66D-7788-49F1-B89F-CECC3583D2EA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7501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393</xdr:row>
      <xdr:rowOff>0</xdr:rowOff>
    </xdr:from>
    <xdr:ext cx="304800" cy="304800"/>
    <xdr:sp macro="" textlink="">
      <xdr:nvSpPr>
        <xdr:cNvPr id="426" name="AutoShape 1">
          <a:extLst>
            <a:ext uri="{FF2B5EF4-FFF2-40B4-BE49-F238E27FC236}">
              <a16:creationId xmlns:a16="http://schemas.microsoft.com/office/drawing/2014/main" id="{B8C9179C-506B-473A-998E-2DA16034350E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7501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393</xdr:row>
      <xdr:rowOff>0</xdr:rowOff>
    </xdr:from>
    <xdr:ext cx="304800" cy="304800"/>
    <xdr:sp macro="" textlink="">
      <xdr:nvSpPr>
        <xdr:cNvPr id="427" name="AutoShape 1">
          <a:extLst>
            <a:ext uri="{FF2B5EF4-FFF2-40B4-BE49-F238E27FC236}">
              <a16:creationId xmlns:a16="http://schemas.microsoft.com/office/drawing/2014/main" id="{2B3D09A9-235F-4720-AC76-4BD39CF14EA1}"/>
            </a:ext>
            <a:ext uri="{147F2762-F138-4A5C-976F-8EAC2B608ADB}">
              <a16:predDERef xmlns:a16="http://schemas.microsoft.com/office/drawing/2014/main" pred="{A9C9C4DB-4B97-447C-9099-E87BCB3C537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7501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393</xdr:row>
      <xdr:rowOff>0</xdr:rowOff>
    </xdr:from>
    <xdr:ext cx="304800" cy="304800"/>
    <xdr:sp macro="" textlink="">
      <xdr:nvSpPr>
        <xdr:cNvPr id="428" name="AutoShape 1">
          <a:extLst>
            <a:ext uri="{FF2B5EF4-FFF2-40B4-BE49-F238E27FC236}">
              <a16:creationId xmlns:a16="http://schemas.microsoft.com/office/drawing/2014/main" id="{7CAEA685-F725-4455-9BFC-3A9ACD0D6CF3}"/>
            </a:ext>
            <a:ext uri="{147F2762-F138-4A5C-976F-8EAC2B608ADB}">
              <a16:predDERef xmlns:a16="http://schemas.microsoft.com/office/drawing/2014/main" pred="{CD89554D-BD76-42AD-819A-278AD445B86E}"/>
            </a:ext>
          </a:extLst>
        </xdr:cNvPr>
        <xdr:cNvSpPr>
          <a:spLocks noChangeAspect="1" noChangeArrowheads="1"/>
        </xdr:cNvSpPr>
      </xdr:nvSpPr>
      <xdr:spPr bwMode="auto">
        <a:xfrm>
          <a:off x="1390650" y="7501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393</xdr:row>
      <xdr:rowOff>0</xdr:rowOff>
    </xdr:from>
    <xdr:ext cx="304800" cy="304800"/>
    <xdr:sp macro="" textlink="">
      <xdr:nvSpPr>
        <xdr:cNvPr id="429" name="AutoShape 1">
          <a:extLst>
            <a:ext uri="{FF2B5EF4-FFF2-40B4-BE49-F238E27FC236}">
              <a16:creationId xmlns:a16="http://schemas.microsoft.com/office/drawing/2014/main" id="{A65C68E4-86AF-4D0C-8433-867C1D277EE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7501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393</xdr:row>
      <xdr:rowOff>0</xdr:rowOff>
    </xdr:from>
    <xdr:ext cx="304800" cy="304800"/>
    <xdr:sp macro="" textlink="">
      <xdr:nvSpPr>
        <xdr:cNvPr id="430" name="AutoShape 1">
          <a:extLst>
            <a:ext uri="{FF2B5EF4-FFF2-40B4-BE49-F238E27FC236}">
              <a16:creationId xmlns:a16="http://schemas.microsoft.com/office/drawing/2014/main" id="{ED571234-3DBF-4F47-868C-4118C8912743}"/>
            </a:ext>
          </a:extLst>
        </xdr:cNvPr>
        <xdr:cNvSpPr>
          <a:spLocks noChangeAspect="1" noChangeArrowheads="1"/>
        </xdr:cNvSpPr>
      </xdr:nvSpPr>
      <xdr:spPr bwMode="auto">
        <a:xfrm>
          <a:off x="1390650" y="7501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393</xdr:row>
      <xdr:rowOff>0</xdr:rowOff>
    </xdr:from>
    <xdr:ext cx="304800" cy="304800"/>
    <xdr:sp macro="" textlink="">
      <xdr:nvSpPr>
        <xdr:cNvPr id="431" name="AutoShape 1">
          <a:extLst>
            <a:ext uri="{FF2B5EF4-FFF2-40B4-BE49-F238E27FC236}">
              <a16:creationId xmlns:a16="http://schemas.microsoft.com/office/drawing/2014/main" id="{C62D4360-D66B-41C3-BE90-E45783488AC7}"/>
            </a:ext>
          </a:extLst>
        </xdr:cNvPr>
        <xdr:cNvSpPr>
          <a:spLocks noChangeAspect="1" noChangeArrowheads="1"/>
        </xdr:cNvSpPr>
      </xdr:nvSpPr>
      <xdr:spPr bwMode="auto">
        <a:xfrm>
          <a:off x="1390650" y="7501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393</xdr:row>
      <xdr:rowOff>0</xdr:rowOff>
    </xdr:from>
    <xdr:ext cx="304800" cy="304800"/>
    <xdr:sp macro="" textlink="">
      <xdr:nvSpPr>
        <xdr:cNvPr id="432" name="AutoShape 1">
          <a:extLst>
            <a:ext uri="{FF2B5EF4-FFF2-40B4-BE49-F238E27FC236}">
              <a16:creationId xmlns:a16="http://schemas.microsoft.com/office/drawing/2014/main" id="{E98DEFEA-EC20-42FC-976C-3B940C7C503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7501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393</xdr:row>
      <xdr:rowOff>0</xdr:rowOff>
    </xdr:from>
    <xdr:ext cx="304800" cy="304800"/>
    <xdr:sp macro="" textlink="">
      <xdr:nvSpPr>
        <xdr:cNvPr id="433" name="AutoShape 1">
          <a:extLst>
            <a:ext uri="{FF2B5EF4-FFF2-40B4-BE49-F238E27FC236}">
              <a16:creationId xmlns:a16="http://schemas.microsoft.com/office/drawing/2014/main" id="{9F2B39AB-E7B9-4FB3-9A11-1E3C1096745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7501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393</xdr:row>
      <xdr:rowOff>0</xdr:rowOff>
    </xdr:from>
    <xdr:ext cx="304800" cy="304800"/>
    <xdr:sp macro="" textlink="">
      <xdr:nvSpPr>
        <xdr:cNvPr id="434" name="AutoShape 1">
          <a:extLst>
            <a:ext uri="{FF2B5EF4-FFF2-40B4-BE49-F238E27FC236}">
              <a16:creationId xmlns:a16="http://schemas.microsoft.com/office/drawing/2014/main" id="{1D8DE1DB-CF5B-4FC9-B68B-68107899E479}"/>
            </a:ext>
          </a:extLst>
        </xdr:cNvPr>
        <xdr:cNvSpPr>
          <a:spLocks noChangeAspect="1" noChangeArrowheads="1"/>
        </xdr:cNvSpPr>
      </xdr:nvSpPr>
      <xdr:spPr bwMode="auto">
        <a:xfrm>
          <a:off x="1390650" y="7501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393</xdr:row>
      <xdr:rowOff>0</xdr:rowOff>
    </xdr:from>
    <xdr:ext cx="304800" cy="304800"/>
    <xdr:sp macro="" textlink="">
      <xdr:nvSpPr>
        <xdr:cNvPr id="435" name="AutoShape 1">
          <a:extLst>
            <a:ext uri="{FF2B5EF4-FFF2-40B4-BE49-F238E27FC236}">
              <a16:creationId xmlns:a16="http://schemas.microsoft.com/office/drawing/2014/main" id="{96B95A13-7F39-4947-AD60-BE2C0721B8EE}"/>
            </a:ext>
          </a:extLst>
        </xdr:cNvPr>
        <xdr:cNvSpPr>
          <a:spLocks noChangeAspect="1" noChangeArrowheads="1"/>
        </xdr:cNvSpPr>
      </xdr:nvSpPr>
      <xdr:spPr bwMode="auto">
        <a:xfrm>
          <a:off x="1390650" y="7501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393</xdr:row>
      <xdr:rowOff>0</xdr:rowOff>
    </xdr:from>
    <xdr:ext cx="304800" cy="304800"/>
    <xdr:sp macro="" textlink="">
      <xdr:nvSpPr>
        <xdr:cNvPr id="436" name="AutoShape 1">
          <a:extLst>
            <a:ext uri="{FF2B5EF4-FFF2-40B4-BE49-F238E27FC236}">
              <a16:creationId xmlns:a16="http://schemas.microsoft.com/office/drawing/2014/main" id="{0C0ECFDE-8D07-4B36-BA4A-754459E56E5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7501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393</xdr:row>
      <xdr:rowOff>0</xdr:rowOff>
    </xdr:from>
    <xdr:ext cx="304800" cy="304800"/>
    <xdr:sp macro="" textlink="">
      <xdr:nvSpPr>
        <xdr:cNvPr id="437" name="AutoShape 1">
          <a:extLst>
            <a:ext uri="{FF2B5EF4-FFF2-40B4-BE49-F238E27FC236}">
              <a16:creationId xmlns:a16="http://schemas.microsoft.com/office/drawing/2014/main" id="{A701B659-28C1-4B76-8DE6-90239D6D525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7501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393</xdr:row>
      <xdr:rowOff>0</xdr:rowOff>
    </xdr:from>
    <xdr:ext cx="304800" cy="304800"/>
    <xdr:sp macro="" textlink="">
      <xdr:nvSpPr>
        <xdr:cNvPr id="438" name="AutoShape 1">
          <a:extLst>
            <a:ext uri="{FF2B5EF4-FFF2-40B4-BE49-F238E27FC236}">
              <a16:creationId xmlns:a16="http://schemas.microsoft.com/office/drawing/2014/main" id="{A4D0A524-491E-417C-94AB-4D254A05E994}"/>
            </a:ext>
          </a:extLst>
        </xdr:cNvPr>
        <xdr:cNvSpPr>
          <a:spLocks noChangeAspect="1" noChangeArrowheads="1"/>
        </xdr:cNvSpPr>
      </xdr:nvSpPr>
      <xdr:spPr bwMode="auto">
        <a:xfrm>
          <a:off x="1390650" y="7501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393</xdr:row>
      <xdr:rowOff>0</xdr:rowOff>
    </xdr:from>
    <xdr:ext cx="304800" cy="304800"/>
    <xdr:sp macro="" textlink="">
      <xdr:nvSpPr>
        <xdr:cNvPr id="439" name="AutoShape 1">
          <a:extLst>
            <a:ext uri="{FF2B5EF4-FFF2-40B4-BE49-F238E27FC236}">
              <a16:creationId xmlns:a16="http://schemas.microsoft.com/office/drawing/2014/main" id="{D36795E3-E449-4227-B4E1-87540271D529}"/>
            </a:ext>
          </a:extLst>
        </xdr:cNvPr>
        <xdr:cNvSpPr>
          <a:spLocks noChangeAspect="1" noChangeArrowheads="1"/>
        </xdr:cNvSpPr>
      </xdr:nvSpPr>
      <xdr:spPr bwMode="auto">
        <a:xfrm>
          <a:off x="1390650" y="7501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393</xdr:row>
      <xdr:rowOff>0</xdr:rowOff>
    </xdr:from>
    <xdr:ext cx="304800" cy="304800"/>
    <xdr:sp macro="" textlink="">
      <xdr:nvSpPr>
        <xdr:cNvPr id="440" name="AutoShape 1">
          <a:extLst>
            <a:ext uri="{FF2B5EF4-FFF2-40B4-BE49-F238E27FC236}">
              <a16:creationId xmlns:a16="http://schemas.microsoft.com/office/drawing/2014/main" id="{F8DB6B14-B59D-442F-A90F-ACFB00F3030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7501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393</xdr:row>
      <xdr:rowOff>0</xdr:rowOff>
    </xdr:from>
    <xdr:ext cx="304800" cy="304800"/>
    <xdr:sp macro="" textlink="">
      <xdr:nvSpPr>
        <xdr:cNvPr id="441" name="AutoShape 1">
          <a:extLst>
            <a:ext uri="{FF2B5EF4-FFF2-40B4-BE49-F238E27FC236}">
              <a16:creationId xmlns:a16="http://schemas.microsoft.com/office/drawing/2014/main" id="{68DF04DF-8B7B-4743-8825-91EEAF9BEB49}"/>
            </a:ext>
          </a:extLst>
        </xdr:cNvPr>
        <xdr:cNvSpPr>
          <a:spLocks noChangeAspect="1" noChangeArrowheads="1"/>
        </xdr:cNvSpPr>
      </xdr:nvSpPr>
      <xdr:spPr bwMode="auto">
        <a:xfrm>
          <a:off x="1390650" y="7501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393</xdr:row>
      <xdr:rowOff>0</xdr:rowOff>
    </xdr:from>
    <xdr:ext cx="304800" cy="304800"/>
    <xdr:sp macro="" textlink="">
      <xdr:nvSpPr>
        <xdr:cNvPr id="442" name="AutoShape 1">
          <a:extLst>
            <a:ext uri="{FF2B5EF4-FFF2-40B4-BE49-F238E27FC236}">
              <a16:creationId xmlns:a16="http://schemas.microsoft.com/office/drawing/2014/main" id="{2EB2B9A4-EFC8-414D-9FBD-B18CA274EBD9}"/>
            </a:ext>
          </a:extLst>
        </xdr:cNvPr>
        <xdr:cNvSpPr>
          <a:spLocks noChangeAspect="1" noChangeArrowheads="1"/>
        </xdr:cNvSpPr>
      </xdr:nvSpPr>
      <xdr:spPr bwMode="auto">
        <a:xfrm>
          <a:off x="1390650" y="7501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393</xdr:row>
      <xdr:rowOff>0</xdr:rowOff>
    </xdr:from>
    <xdr:ext cx="304800" cy="304800"/>
    <xdr:sp macro="" textlink="">
      <xdr:nvSpPr>
        <xdr:cNvPr id="443" name="AutoShape 1">
          <a:extLst>
            <a:ext uri="{FF2B5EF4-FFF2-40B4-BE49-F238E27FC236}">
              <a16:creationId xmlns:a16="http://schemas.microsoft.com/office/drawing/2014/main" id="{248FE6B1-E48F-41EF-BC77-36D469266EAF}"/>
            </a:ext>
          </a:extLst>
        </xdr:cNvPr>
        <xdr:cNvSpPr>
          <a:spLocks noChangeAspect="1" noChangeArrowheads="1"/>
        </xdr:cNvSpPr>
      </xdr:nvSpPr>
      <xdr:spPr bwMode="auto">
        <a:xfrm>
          <a:off x="1390650" y="7501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393</xdr:row>
      <xdr:rowOff>0</xdr:rowOff>
    </xdr:from>
    <xdr:ext cx="304800" cy="304800"/>
    <xdr:sp macro="" textlink="">
      <xdr:nvSpPr>
        <xdr:cNvPr id="444" name="AutoShape 1">
          <a:extLst>
            <a:ext uri="{FF2B5EF4-FFF2-40B4-BE49-F238E27FC236}">
              <a16:creationId xmlns:a16="http://schemas.microsoft.com/office/drawing/2014/main" id="{D54B879A-C0F0-4581-98BE-2FD022B17C91}"/>
            </a:ext>
          </a:extLst>
        </xdr:cNvPr>
        <xdr:cNvSpPr>
          <a:spLocks noChangeAspect="1" noChangeArrowheads="1"/>
        </xdr:cNvSpPr>
      </xdr:nvSpPr>
      <xdr:spPr bwMode="auto">
        <a:xfrm>
          <a:off x="1390650" y="7501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393</xdr:row>
      <xdr:rowOff>0</xdr:rowOff>
    </xdr:from>
    <xdr:ext cx="304800" cy="304800"/>
    <xdr:sp macro="" textlink="">
      <xdr:nvSpPr>
        <xdr:cNvPr id="445" name="AutoShape 1">
          <a:extLst>
            <a:ext uri="{FF2B5EF4-FFF2-40B4-BE49-F238E27FC236}">
              <a16:creationId xmlns:a16="http://schemas.microsoft.com/office/drawing/2014/main" id="{95A9E9EA-92C2-4A70-901F-2ED4AE4802B2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7501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393</xdr:row>
      <xdr:rowOff>0</xdr:rowOff>
    </xdr:from>
    <xdr:ext cx="304800" cy="304800"/>
    <xdr:sp macro="" textlink="">
      <xdr:nvSpPr>
        <xdr:cNvPr id="446" name="AutoShape 1">
          <a:extLst>
            <a:ext uri="{FF2B5EF4-FFF2-40B4-BE49-F238E27FC236}">
              <a16:creationId xmlns:a16="http://schemas.microsoft.com/office/drawing/2014/main" id="{4D0C9C3F-A695-4797-89ED-A8BF1DB418F3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7501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393</xdr:row>
      <xdr:rowOff>0</xdr:rowOff>
    </xdr:from>
    <xdr:ext cx="304800" cy="304800"/>
    <xdr:sp macro="" textlink="">
      <xdr:nvSpPr>
        <xdr:cNvPr id="447" name="AutoShape 1">
          <a:extLst>
            <a:ext uri="{FF2B5EF4-FFF2-40B4-BE49-F238E27FC236}">
              <a16:creationId xmlns:a16="http://schemas.microsoft.com/office/drawing/2014/main" id="{939407E8-A91B-4817-8C5F-F4D817219111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7501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393</xdr:row>
      <xdr:rowOff>0</xdr:rowOff>
    </xdr:from>
    <xdr:ext cx="304800" cy="304800"/>
    <xdr:sp macro="" textlink="">
      <xdr:nvSpPr>
        <xdr:cNvPr id="448" name="AutoShape 1">
          <a:extLst>
            <a:ext uri="{FF2B5EF4-FFF2-40B4-BE49-F238E27FC236}">
              <a16:creationId xmlns:a16="http://schemas.microsoft.com/office/drawing/2014/main" id="{732D6BF4-F726-4673-8170-AA6588015B7A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7501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393</xdr:row>
      <xdr:rowOff>0</xdr:rowOff>
    </xdr:from>
    <xdr:ext cx="304800" cy="304800"/>
    <xdr:sp macro="" textlink="">
      <xdr:nvSpPr>
        <xdr:cNvPr id="449" name="AutoShape 1">
          <a:extLst>
            <a:ext uri="{FF2B5EF4-FFF2-40B4-BE49-F238E27FC236}">
              <a16:creationId xmlns:a16="http://schemas.microsoft.com/office/drawing/2014/main" id="{348A0FCC-68DA-42F3-9252-D6FB7F1253FF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7501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393</xdr:row>
      <xdr:rowOff>0</xdr:rowOff>
    </xdr:from>
    <xdr:ext cx="304800" cy="304800"/>
    <xdr:sp macro="" textlink="">
      <xdr:nvSpPr>
        <xdr:cNvPr id="450" name="AutoShape 1">
          <a:extLst>
            <a:ext uri="{FF2B5EF4-FFF2-40B4-BE49-F238E27FC236}">
              <a16:creationId xmlns:a16="http://schemas.microsoft.com/office/drawing/2014/main" id="{D1F974A9-D9A5-4C2E-B69A-27B3149E98C8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7501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393</xdr:row>
      <xdr:rowOff>0</xdr:rowOff>
    </xdr:from>
    <xdr:ext cx="304800" cy="304800"/>
    <xdr:sp macro="" textlink="">
      <xdr:nvSpPr>
        <xdr:cNvPr id="451" name="AutoShape 1">
          <a:extLst>
            <a:ext uri="{FF2B5EF4-FFF2-40B4-BE49-F238E27FC236}">
              <a16:creationId xmlns:a16="http://schemas.microsoft.com/office/drawing/2014/main" id="{E6579C27-A477-4E2B-B375-60AFF09EA5C9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7501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393</xdr:row>
      <xdr:rowOff>0</xdr:rowOff>
    </xdr:from>
    <xdr:ext cx="304800" cy="304800"/>
    <xdr:sp macro="" textlink="">
      <xdr:nvSpPr>
        <xdr:cNvPr id="452" name="AutoShape 1">
          <a:extLst>
            <a:ext uri="{FF2B5EF4-FFF2-40B4-BE49-F238E27FC236}">
              <a16:creationId xmlns:a16="http://schemas.microsoft.com/office/drawing/2014/main" id="{B54A140D-BD47-44D7-9C21-0EA693AC1EDD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7501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393</xdr:row>
      <xdr:rowOff>0</xdr:rowOff>
    </xdr:from>
    <xdr:ext cx="304800" cy="304800"/>
    <xdr:sp macro="" textlink="">
      <xdr:nvSpPr>
        <xdr:cNvPr id="453" name="AutoShape 1">
          <a:extLst>
            <a:ext uri="{FF2B5EF4-FFF2-40B4-BE49-F238E27FC236}">
              <a16:creationId xmlns:a16="http://schemas.microsoft.com/office/drawing/2014/main" id="{29E685AF-8299-4122-8708-E280C101400A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7501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393</xdr:row>
      <xdr:rowOff>0</xdr:rowOff>
    </xdr:from>
    <xdr:ext cx="304800" cy="304800"/>
    <xdr:sp macro="" textlink="">
      <xdr:nvSpPr>
        <xdr:cNvPr id="454" name="AutoShape 1">
          <a:extLst>
            <a:ext uri="{FF2B5EF4-FFF2-40B4-BE49-F238E27FC236}">
              <a16:creationId xmlns:a16="http://schemas.microsoft.com/office/drawing/2014/main" id="{41F26805-AACA-4A8A-9812-91A453431C48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7501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393</xdr:row>
      <xdr:rowOff>0</xdr:rowOff>
    </xdr:from>
    <xdr:ext cx="304800" cy="304800"/>
    <xdr:sp macro="" textlink="">
      <xdr:nvSpPr>
        <xdr:cNvPr id="455" name="AutoShape 1">
          <a:extLst>
            <a:ext uri="{FF2B5EF4-FFF2-40B4-BE49-F238E27FC236}">
              <a16:creationId xmlns:a16="http://schemas.microsoft.com/office/drawing/2014/main" id="{3B095241-DF17-4FE5-A003-8303F8C8B54C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7501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393</xdr:row>
      <xdr:rowOff>0</xdr:rowOff>
    </xdr:from>
    <xdr:ext cx="304800" cy="304800"/>
    <xdr:sp macro="" textlink="">
      <xdr:nvSpPr>
        <xdr:cNvPr id="456" name="AutoShape 1">
          <a:extLst>
            <a:ext uri="{FF2B5EF4-FFF2-40B4-BE49-F238E27FC236}">
              <a16:creationId xmlns:a16="http://schemas.microsoft.com/office/drawing/2014/main" id="{51398368-C56F-47CE-BF00-17532E9F8897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7501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393</xdr:row>
      <xdr:rowOff>0</xdr:rowOff>
    </xdr:from>
    <xdr:ext cx="304800" cy="304800"/>
    <xdr:sp macro="" textlink="">
      <xdr:nvSpPr>
        <xdr:cNvPr id="457" name="AutoShape 1">
          <a:extLst>
            <a:ext uri="{FF2B5EF4-FFF2-40B4-BE49-F238E27FC236}">
              <a16:creationId xmlns:a16="http://schemas.microsoft.com/office/drawing/2014/main" id="{D3FCDFAA-C9E6-4E1F-AA07-F1B5B33DE33F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7501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393</xdr:row>
      <xdr:rowOff>0</xdr:rowOff>
    </xdr:from>
    <xdr:ext cx="304800" cy="304800"/>
    <xdr:sp macro="" textlink="">
      <xdr:nvSpPr>
        <xdr:cNvPr id="458" name="AutoShape 1">
          <a:extLst>
            <a:ext uri="{FF2B5EF4-FFF2-40B4-BE49-F238E27FC236}">
              <a16:creationId xmlns:a16="http://schemas.microsoft.com/office/drawing/2014/main" id="{E0A0AD22-B790-45F8-8DC0-BB8706354ADE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7501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393</xdr:row>
      <xdr:rowOff>0</xdr:rowOff>
    </xdr:from>
    <xdr:ext cx="304800" cy="304800"/>
    <xdr:sp macro="" textlink="">
      <xdr:nvSpPr>
        <xdr:cNvPr id="459" name="AutoShape 1">
          <a:extLst>
            <a:ext uri="{FF2B5EF4-FFF2-40B4-BE49-F238E27FC236}">
              <a16:creationId xmlns:a16="http://schemas.microsoft.com/office/drawing/2014/main" id="{B52F700B-8778-4F70-9776-FD5BA194A000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7501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393</xdr:row>
      <xdr:rowOff>0</xdr:rowOff>
    </xdr:from>
    <xdr:ext cx="304800" cy="304800"/>
    <xdr:sp macro="" textlink="">
      <xdr:nvSpPr>
        <xdr:cNvPr id="460" name="AutoShape 1">
          <a:extLst>
            <a:ext uri="{FF2B5EF4-FFF2-40B4-BE49-F238E27FC236}">
              <a16:creationId xmlns:a16="http://schemas.microsoft.com/office/drawing/2014/main" id="{43A68C30-FD02-4A32-B136-1280E388C00E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7501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393</xdr:row>
      <xdr:rowOff>0</xdr:rowOff>
    </xdr:from>
    <xdr:ext cx="304800" cy="304800"/>
    <xdr:sp macro="" textlink="">
      <xdr:nvSpPr>
        <xdr:cNvPr id="461" name="AutoShape 1">
          <a:extLst>
            <a:ext uri="{FF2B5EF4-FFF2-40B4-BE49-F238E27FC236}">
              <a16:creationId xmlns:a16="http://schemas.microsoft.com/office/drawing/2014/main" id="{F5ECB777-BE7B-401B-8D9D-C080C0E23C4E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7501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393</xdr:row>
      <xdr:rowOff>0</xdr:rowOff>
    </xdr:from>
    <xdr:ext cx="304800" cy="304800"/>
    <xdr:sp macro="" textlink="">
      <xdr:nvSpPr>
        <xdr:cNvPr id="462" name="AutoShape 1">
          <a:extLst>
            <a:ext uri="{FF2B5EF4-FFF2-40B4-BE49-F238E27FC236}">
              <a16:creationId xmlns:a16="http://schemas.microsoft.com/office/drawing/2014/main" id="{103DA805-DCBE-4919-97CE-94C0F2881C22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7501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393</xdr:row>
      <xdr:rowOff>0</xdr:rowOff>
    </xdr:from>
    <xdr:ext cx="304800" cy="304800"/>
    <xdr:sp macro="" textlink="">
      <xdr:nvSpPr>
        <xdr:cNvPr id="463" name="AutoShape 1">
          <a:extLst>
            <a:ext uri="{FF2B5EF4-FFF2-40B4-BE49-F238E27FC236}">
              <a16:creationId xmlns:a16="http://schemas.microsoft.com/office/drawing/2014/main" id="{D38361C9-BC21-495D-B8B7-2289E5088749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7501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393</xdr:row>
      <xdr:rowOff>0</xdr:rowOff>
    </xdr:from>
    <xdr:ext cx="304800" cy="304800"/>
    <xdr:sp macro="" textlink="">
      <xdr:nvSpPr>
        <xdr:cNvPr id="464" name="AutoShape 1">
          <a:extLst>
            <a:ext uri="{FF2B5EF4-FFF2-40B4-BE49-F238E27FC236}">
              <a16:creationId xmlns:a16="http://schemas.microsoft.com/office/drawing/2014/main" id="{1879C375-6077-4CFA-AB18-5056FE172853}"/>
            </a:ext>
            <a:ext uri="{147F2762-F138-4A5C-976F-8EAC2B608ADB}">
              <a16:predDERef xmlns:a16="http://schemas.microsoft.com/office/drawing/2014/main" pred="{A9C9C4DB-4B97-447C-9099-E87BCB3C537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7501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393</xdr:row>
      <xdr:rowOff>0</xdr:rowOff>
    </xdr:from>
    <xdr:ext cx="304800" cy="304800"/>
    <xdr:sp macro="" textlink="">
      <xdr:nvSpPr>
        <xdr:cNvPr id="465" name="AutoShape 1">
          <a:extLst>
            <a:ext uri="{FF2B5EF4-FFF2-40B4-BE49-F238E27FC236}">
              <a16:creationId xmlns:a16="http://schemas.microsoft.com/office/drawing/2014/main" id="{C67EA2B0-07CE-4B58-96E1-C94DFFEBA818}"/>
            </a:ext>
            <a:ext uri="{147F2762-F138-4A5C-976F-8EAC2B608ADB}">
              <a16:predDERef xmlns:a16="http://schemas.microsoft.com/office/drawing/2014/main" pred="{CD89554D-BD76-42AD-819A-278AD445B86E}"/>
            </a:ext>
          </a:extLst>
        </xdr:cNvPr>
        <xdr:cNvSpPr>
          <a:spLocks noChangeAspect="1" noChangeArrowheads="1"/>
        </xdr:cNvSpPr>
      </xdr:nvSpPr>
      <xdr:spPr bwMode="auto">
        <a:xfrm>
          <a:off x="1390650" y="7501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435</xdr:row>
      <xdr:rowOff>0</xdr:rowOff>
    </xdr:from>
    <xdr:ext cx="304800" cy="304800"/>
    <xdr:sp macro="" textlink="">
      <xdr:nvSpPr>
        <xdr:cNvPr id="466" name="AutoShape 1">
          <a:extLst>
            <a:ext uri="{FF2B5EF4-FFF2-40B4-BE49-F238E27FC236}">
              <a16:creationId xmlns:a16="http://schemas.microsoft.com/office/drawing/2014/main" id="{5B03DFC4-2286-49C0-B0D8-AF37B39F1C0A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298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435</xdr:row>
      <xdr:rowOff>0</xdr:rowOff>
    </xdr:from>
    <xdr:ext cx="304800" cy="304800"/>
    <xdr:sp macro="" textlink="">
      <xdr:nvSpPr>
        <xdr:cNvPr id="467" name="AutoShape 1">
          <a:extLst>
            <a:ext uri="{FF2B5EF4-FFF2-40B4-BE49-F238E27FC236}">
              <a16:creationId xmlns:a16="http://schemas.microsoft.com/office/drawing/2014/main" id="{E4D4C110-C00E-4859-8682-92268F194899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298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444</xdr:row>
      <xdr:rowOff>0</xdr:rowOff>
    </xdr:from>
    <xdr:ext cx="304800" cy="304800"/>
    <xdr:sp macro="" textlink="">
      <xdr:nvSpPr>
        <xdr:cNvPr id="468" name="AutoShape 1">
          <a:extLst>
            <a:ext uri="{FF2B5EF4-FFF2-40B4-BE49-F238E27FC236}">
              <a16:creationId xmlns:a16="http://schemas.microsoft.com/office/drawing/2014/main" id="{BC568241-3F24-4D3C-9641-1ABC36548CC9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468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444</xdr:row>
      <xdr:rowOff>0</xdr:rowOff>
    </xdr:from>
    <xdr:ext cx="304800" cy="304800"/>
    <xdr:sp macro="" textlink="">
      <xdr:nvSpPr>
        <xdr:cNvPr id="469" name="AutoShape 1">
          <a:extLst>
            <a:ext uri="{FF2B5EF4-FFF2-40B4-BE49-F238E27FC236}">
              <a16:creationId xmlns:a16="http://schemas.microsoft.com/office/drawing/2014/main" id="{4CCCE9D3-401C-4FFF-8B56-EAFE416BD5B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468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444</xdr:row>
      <xdr:rowOff>0</xdr:rowOff>
    </xdr:from>
    <xdr:ext cx="304800" cy="304800"/>
    <xdr:sp macro="" textlink="">
      <xdr:nvSpPr>
        <xdr:cNvPr id="470" name="AutoShape 1">
          <a:extLst>
            <a:ext uri="{FF2B5EF4-FFF2-40B4-BE49-F238E27FC236}">
              <a16:creationId xmlns:a16="http://schemas.microsoft.com/office/drawing/2014/main" id="{30CEDEDE-FC0D-4C2F-969E-B764BB830D3F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468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444</xdr:row>
      <xdr:rowOff>0</xdr:rowOff>
    </xdr:from>
    <xdr:ext cx="304800" cy="304800"/>
    <xdr:sp macro="" textlink="">
      <xdr:nvSpPr>
        <xdr:cNvPr id="471" name="AutoShape 1">
          <a:extLst>
            <a:ext uri="{FF2B5EF4-FFF2-40B4-BE49-F238E27FC236}">
              <a16:creationId xmlns:a16="http://schemas.microsoft.com/office/drawing/2014/main" id="{5BA0854F-4C58-49E0-92FA-862219AA09B4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468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444</xdr:row>
      <xdr:rowOff>0</xdr:rowOff>
    </xdr:from>
    <xdr:ext cx="304800" cy="304800"/>
    <xdr:sp macro="" textlink="">
      <xdr:nvSpPr>
        <xdr:cNvPr id="472" name="AutoShape 1">
          <a:extLst>
            <a:ext uri="{FF2B5EF4-FFF2-40B4-BE49-F238E27FC236}">
              <a16:creationId xmlns:a16="http://schemas.microsoft.com/office/drawing/2014/main" id="{58A66248-88B0-4D97-B97E-FE2A30A5B7CC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468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444</xdr:row>
      <xdr:rowOff>0</xdr:rowOff>
    </xdr:from>
    <xdr:ext cx="304800" cy="304800"/>
    <xdr:sp macro="" textlink="">
      <xdr:nvSpPr>
        <xdr:cNvPr id="473" name="AutoShape 1">
          <a:extLst>
            <a:ext uri="{FF2B5EF4-FFF2-40B4-BE49-F238E27FC236}">
              <a16:creationId xmlns:a16="http://schemas.microsoft.com/office/drawing/2014/main" id="{8540EC78-E3F7-494A-B02D-8110323273A9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468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444</xdr:row>
      <xdr:rowOff>0</xdr:rowOff>
    </xdr:from>
    <xdr:ext cx="304800" cy="304800"/>
    <xdr:sp macro="" textlink="">
      <xdr:nvSpPr>
        <xdr:cNvPr id="474" name="AutoShape 1">
          <a:extLst>
            <a:ext uri="{FF2B5EF4-FFF2-40B4-BE49-F238E27FC236}">
              <a16:creationId xmlns:a16="http://schemas.microsoft.com/office/drawing/2014/main" id="{5EDDFA1F-98DE-48E7-827F-BB29DB1E9EF3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468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444</xdr:row>
      <xdr:rowOff>0</xdr:rowOff>
    </xdr:from>
    <xdr:ext cx="304800" cy="304800"/>
    <xdr:sp macro="" textlink="">
      <xdr:nvSpPr>
        <xdr:cNvPr id="475" name="AutoShape 1">
          <a:extLst>
            <a:ext uri="{FF2B5EF4-FFF2-40B4-BE49-F238E27FC236}">
              <a16:creationId xmlns:a16="http://schemas.microsoft.com/office/drawing/2014/main" id="{3362AC0B-1670-43EA-A531-EA376F87608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468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444</xdr:row>
      <xdr:rowOff>0</xdr:rowOff>
    </xdr:from>
    <xdr:ext cx="304800" cy="304800"/>
    <xdr:sp macro="" textlink="">
      <xdr:nvSpPr>
        <xdr:cNvPr id="476" name="AutoShape 1">
          <a:extLst>
            <a:ext uri="{FF2B5EF4-FFF2-40B4-BE49-F238E27FC236}">
              <a16:creationId xmlns:a16="http://schemas.microsoft.com/office/drawing/2014/main" id="{36F4F930-979B-4DE5-8B1D-2A0CD835C011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468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444</xdr:row>
      <xdr:rowOff>0</xdr:rowOff>
    </xdr:from>
    <xdr:ext cx="304800" cy="304800"/>
    <xdr:sp macro="" textlink="">
      <xdr:nvSpPr>
        <xdr:cNvPr id="477" name="AutoShape 1">
          <a:extLst>
            <a:ext uri="{FF2B5EF4-FFF2-40B4-BE49-F238E27FC236}">
              <a16:creationId xmlns:a16="http://schemas.microsoft.com/office/drawing/2014/main" id="{CCEA8C59-5CAB-4D25-AC25-710316A1160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468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444</xdr:row>
      <xdr:rowOff>0</xdr:rowOff>
    </xdr:from>
    <xdr:ext cx="304800" cy="304800"/>
    <xdr:sp macro="" textlink="">
      <xdr:nvSpPr>
        <xdr:cNvPr id="478" name="AutoShape 1">
          <a:extLst>
            <a:ext uri="{FF2B5EF4-FFF2-40B4-BE49-F238E27FC236}">
              <a16:creationId xmlns:a16="http://schemas.microsoft.com/office/drawing/2014/main" id="{02A98479-6B54-449B-A481-252A0B5BE3A1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468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444</xdr:row>
      <xdr:rowOff>0</xdr:rowOff>
    </xdr:from>
    <xdr:ext cx="304800" cy="304800"/>
    <xdr:sp macro="" textlink="">
      <xdr:nvSpPr>
        <xdr:cNvPr id="479" name="AutoShape 1">
          <a:extLst>
            <a:ext uri="{FF2B5EF4-FFF2-40B4-BE49-F238E27FC236}">
              <a16:creationId xmlns:a16="http://schemas.microsoft.com/office/drawing/2014/main" id="{2CAD7D68-3A64-4FF4-8D57-A8B1B1B9145E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468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444</xdr:row>
      <xdr:rowOff>0</xdr:rowOff>
    </xdr:from>
    <xdr:ext cx="304800" cy="304800"/>
    <xdr:sp macro="" textlink="">
      <xdr:nvSpPr>
        <xdr:cNvPr id="480" name="AutoShape 1">
          <a:extLst>
            <a:ext uri="{FF2B5EF4-FFF2-40B4-BE49-F238E27FC236}">
              <a16:creationId xmlns:a16="http://schemas.microsoft.com/office/drawing/2014/main" id="{1E1C2D96-12C0-4D47-A2F6-2842EF1C982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468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444</xdr:row>
      <xdr:rowOff>0</xdr:rowOff>
    </xdr:from>
    <xdr:ext cx="304800" cy="304800"/>
    <xdr:sp macro="" textlink="">
      <xdr:nvSpPr>
        <xdr:cNvPr id="481" name="AutoShape 1">
          <a:extLst>
            <a:ext uri="{FF2B5EF4-FFF2-40B4-BE49-F238E27FC236}">
              <a16:creationId xmlns:a16="http://schemas.microsoft.com/office/drawing/2014/main" id="{8AF19E37-CE48-44B1-8804-0E289B72D3E9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468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444</xdr:row>
      <xdr:rowOff>0</xdr:rowOff>
    </xdr:from>
    <xdr:ext cx="304800" cy="304800"/>
    <xdr:sp macro="" textlink="">
      <xdr:nvSpPr>
        <xdr:cNvPr id="482" name="AutoShape 1">
          <a:extLst>
            <a:ext uri="{FF2B5EF4-FFF2-40B4-BE49-F238E27FC236}">
              <a16:creationId xmlns:a16="http://schemas.microsoft.com/office/drawing/2014/main" id="{CDE22607-4A25-42D6-913C-43212332278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468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444</xdr:row>
      <xdr:rowOff>0</xdr:rowOff>
    </xdr:from>
    <xdr:ext cx="304800" cy="304800"/>
    <xdr:sp macro="" textlink="">
      <xdr:nvSpPr>
        <xdr:cNvPr id="483" name="AutoShape 1">
          <a:extLst>
            <a:ext uri="{FF2B5EF4-FFF2-40B4-BE49-F238E27FC236}">
              <a16:creationId xmlns:a16="http://schemas.microsoft.com/office/drawing/2014/main" id="{2DB6DBAC-A320-45C3-AD30-575D16F1302B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468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444</xdr:row>
      <xdr:rowOff>0</xdr:rowOff>
    </xdr:from>
    <xdr:ext cx="304800" cy="304800"/>
    <xdr:sp macro="" textlink="">
      <xdr:nvSpPr>
        <xdr:cNvPr id="484" name="AutoShape 1">
          <a:extLst>
            <a:ext uri="{FF2B5EF4-FFF2-40B4-BE49-F238E27FC236}">
              <a16:creationId xmlns:a16="http://schemas.microsoft.com/office/drawing/2014/main" id="{EB8A8BEE-C265-4060-B5FA-ECA24F859475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468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444</xdr:row>
      <xdr:rowOff>0</xdr:rowOff>
    </xdr:from>
    <xdr:ext cx="304800" cy="304800"/>
    <xdr:sp macro="" textlink="">
      <xdr:nvSpPr>
        <xdr:cNvPr id="485" name="AutoShape 1">
          <a:extLst>
            <a:ext uri="{FF2B5EF4-FFF2-40B4-BE49-F238E27FC236}">
              <a16:creationId xmlns:a16="http://schemas.microsoft.com/office/drawing/2014/main" id="{9F253C72-40EB-4021-8C1C-3E34936F540A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468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444</xdr:row>
      <xdr:rowOff>0</xdr:rowOff>
    </xdr:from>
    <xdr:ext cx="304800" cy="304800"/>
    <xdr:sp macro="" textlink="">
      <xdr:nvSpPr>
        <xdr:cNvPr id="486" name="AutoShape 1">
          <a:extLst>
            <a:ext uri="{FF2B5EF4-FFF2-40B4-BE49-F238E27FC236}">
              <a16:creationId xmlns:a16="http://schemas.microsoft.com/office/drawing/2014/main" id="{6736B1A5-E905-4EE0-9375-8515B9065998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468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444</xdr:row>
      <xdr:rowOff>0</xdr:rowOff>
    </xdr:from>
    <xdr:ext cx="304800" cy="304800"/>
    <xdr:sp macro="" textlink="">
      <xdr:nvSpPr>
        <xdr:cNvPr id="487" name="AutoShape 1">
          <a:extLst>
            <a:ext uri="{FF2B5EF4-FFF2-40B4-BE49-F238E27FC236}">
              <a16:creationId xmlns:a16="http://schemas.microsoft.com/office/drawing/2014/main" id="{97DF714F-4B0E-4D10-B21A-F076FBCFB34A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468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444</xdr:row>
      <xdr:rowOff>0</xdr:rowOff>
    </xdr:from>
    <xdr:ext cx="304800" cy="304800"/>
    <xdr:sp macro="" textlink="">
      <xdr:nvSpPr>
        <xdr:cNvPr id="488" name="AutoShape 1">
          <a:extLst>
            <a:ext uri="{FF2B5EF4-FFF2-40B4-BE49-F238E27FC236}">
              <a16:creationId xmlns:a16="http://schemas.microsoft.com/office/drawing/2014/main" id="{A6EE53D4-2147-496D-B463-0D295207D4AC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468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444</xdr:row>
      <xdr:rowOff>0</xdr:rowOff>
    </xdr:from>
    <xdr:ext cx="304800" cy="304800"/>
    <xdr:sp macro="" textlink="">
      <xdr:nvSpPr>
        <xdr:cNvPr id="489" name="AutoShape 1">
          <a:extLst>
            <a:ext uri="{FF2B5EF4-FFF2-40B4-BE49-F238E27FC236}">
              <a16:creationId xmlns:a16="http://schemas.microsoft.com/office/drawing/2014/main" id="{BD55D074-7719-4939-8E58-E2F921D2FAC3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468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444</xdr:row>
      <xdr:rowOff>0</xdr:rowOff>
    </xdr:from>
    <xdr:ext cx="304800" cy="304800"/>
    <xdr:sp macro="" textlink="">
      <xdr:nvSpPr>
        <xdr:cNvPr id="490" name="AutoShape 1">
          <a:extLst>
            <a:ext uri="{FF2B5EF4-FFF2-40B4-BE49-F238E27FC236}">
              <a16:creationId xmlns:a16="http://schemas.microsoft.com/office/drawing/2014/main" id="{B094D85F-B5CF-41FD-8590-BCF6DB615D43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468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444</xdr:row>
      <xdr:rowOff>0</xdr:rowOff>
    </xdr:from>
    <xdr:ext cx="304800" cy="304800"/>
    <xdr:sp macro="" textlink="">
      <xdr:nvSpPr>
        <xdr:cNvPr id="491" name="AutoShape 1">
          <a:extLst>
            <a:ext uri="{FF2B5EF4-FFF2-40B4-BE49-F238E27FC236}">
              <a16:creationId xmlns:a16="http://schemas.microsoft.com/office/drawing/2014/main" id="{29B96D47-9E06-4326-A4C6-6E999CF0F277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468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444</xdr:row>
      <xdr:rowOff>0</xdr:rowOff>
    </xdr:from>
    <xdr:ext cx="304800" cy="304800"/>
    <xdr:sp macro="" textlink="">
      <xdr:nvSpPr>
        <xdr:cNvPr id="492" name="AutoShape 1">
          <a:extLst>
            <a:ext uri="{FF2B5EF4-FFF2-40B4-BE49-F238E27FC236}">
              <a16:creationId xmlns:a16="http://schemas.microsoft.com/office/drawing/2014/main" id="{1C52B9A4-8D22-4639-8227-55991BDFFC20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468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444</xdr:row>
      <xdr:rowOff>0</xdr:rowOff>
    </xdr:from>
    <xdr:ext cx="304800" cy="304800"/>
    <xdr:sp macro="" textlink="">
      <xdr:nvSpPr>
        <xdr:cNvPr id="493" name="AutoShape 1">
          <a:extLst>
            <a:ext uri="{FF2B5EF4-FFF2-40B4-BE49-F238E27FC236}">
              <a16:creationId xmlns:a16="http://schemas.microsoft.com/office/drawing/2014/main" id="{3568D245-CEBD-43C7-9C68-5E11DE011672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468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444</xdr:row>
      <xdr:rowOff>0</xdr:rowOff>
    </xdr:from>
    <xdr:ext cx="304800" cy="304800"/>
    <xdr:sp macro="" textlink="">
      <xdr:nvSpPr>
        <xdr:cNvPr id="494" name="AutoShape 1">
          <a:extLst>
            <a:ext uri="{FF2B5EF4-FFF2-40B4-BE49-F238E27FC236}">
              <a16:creationId xmlns:a16="http://schemas.microsoft.com/office/drawing/2014/main" id="{7CBF250F-1A01-4BF2-84B1-CCFA52CFEF4D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468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444</xdr:row>
      <xdr:rowOff>0</xdr:rowOff>
    </xdr:from>
    <xdr:ext cx="304800" cy="304800"/>
    <xdr:sp macro="" textlink="">
      <xdr:nvSpPr>
        <xdr:cNvPr id="495" name="AutoShape 1">
          <a:extLst>
            <a:ext uri="{FF2B5EF4-FFF2-40B4-BE49-F238E27FC236}">
              <a16:creationId xmlns:a16="http://schemas.microsoft.com/office/drawing/2014/main" id="{6E1C0896-5A0E-4BF6-80EE-30EAF680AE4E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468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444</xdr:row>
      <xdr:rowOff>0</xdr:rowOff>
    </xdr:from>
    <xdr:ext cx="304800" cy="304800"/>
    <xdr:sp macro="" textlink="">
      <xdr:nvSpPr>
        <xdr:cNvPr id="496" name="AutoShape 1">
          <a:extLst>
            <a:ext uri="{FF2B5EF4-FFF2-40B4-BE49-F238E27FC236}">
              <a16:creationId xmlns:a16="http://schemas.microsoft.com/office/drawing/2014/main" id="{300646BD-BD67-4539-9680-999FD3C788CD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468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444</xdr:row>
      <xdr:rowOff>0</xdr:rowOff>
    </xdr:from>
    <xdr:ext cx="304800" cy="304800"/>
    <xdr:sp macro="" textlink="">
      <xdr:nvSpPr>
        <xdr:cNvPr id="497" name="AutoShape 1">
          <a:extLst>
            <a:ext uri="{FF2B5EF4-FFF2-40B4-BE49-F238E27FC236}">
              <a16:creationId xmlns:a16="http://schemas.microsoft.com/office/drawing/2014/main" id="{08DC1BA3-346C-4C68-8D61-86B642DE5D58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468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444</xdr:row>
      <xdr:rowOff>0</xdr:rowOff>
    </xdr:from>
    <xdr:ext cx="304800" cy="304800"/>
    <xdr:sp macro="" textlink="">
      <xdr:nvSpPr>
        <xdr:cNvPr id="498" name="AutoShape 1">
          <a:extLst>
            <a:ext uri="{FF2B5EF4-FFF2-40B4-BE49-F238E27FC236}">
              <a16:creationId xmlns:a16="http://schemas.microsoft.com/office/drawing/2014/main" id="{AEF85E10-F950-4FD9-A39A-EED1B30DA70C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468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444</xdr:row>
      <xdr:rowOff>0</xdr:rowOff>
    </xdr:from>
    <xdr:ext cx="304800" cy="304800"/>
    <xdr:sp macro="" textlink="">
      <xdr:nvSpPr>
        <xdr:cNvPr id="499" name="AutoShape 1">
          <a:extLst>
            <a:ext uri="{FF2B5EF4-FFF2-40B4-BE49-F238E27FC236}">
              <a16:creationId xmlns:a16="http://schemas.microsoft.com/office/drawing/2014/main" id="{A48ACE16-CB2E-4C01-9D8D-5386B293B57C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468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444</xdr:row>
      <xdr:rowOff>0</xdr:rowOff>
    </xdr:from>
    <xdr:ext cx="304800" cy="304800"/>
    <xdr:sp macro="" textlink="">
      <xdr:nvSpPr>
        <xdr:cNvPr id="500" name="AutoShape 1">
          <a:extLst>
            <a:ext uri="{FF2B5EF4-FFF2-40B4-BE49-F238E27FC236}">
              <a16:creationId xmlns:a16="http://schemas.microsoft.com/office/drawing/2014/main" id="{CA515FCE-EF11-44A4-A3A3-3365206804A8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468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444</xdr:row>
      <xdr:rowOff>0</xdr:rowOff>
    </xdr:from>
    <xdr:ext cx="304800" cy="304800"/>
    <xdr:sp macro="" textlink="">
      <xdr:nvSpPr>
        <xdr:cNvPr id="501" name="AutoShape 1">
          <a:extLst>
            <a:ext uri="{FF2B5EF4-FFF2-40B4-BE49-F238E27FC236}">
              <a16:creationId xmlns:a16="http://schemas.microsoft.com/office/drawing/2014/main" id="{DC107846-440E-4803-BE18-C244A8C885FB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468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444</xdr:row>
      <xdr:rowOff>0</xdr:rowOff>
    </xdr:from>
    <xdr:ext cx="304800" cy="304800"/>
    <xdr:sp macro="" textlink="">
      <xdr:nvSpPr>
        <xdr:cNvPr id="502" name="AutoShape 1">
          <a:extLst>
            <a:ext uri="{FF2B5EF4-FFF2-40B4-BE49-F238E27FC236}">
              <a16:creationId xmlns:a16="http://schemas.microsoft.com/office/drawing/2014/main" id="{A3A11698-4C98-40AA-A3ED-C7608605C78B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468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444</xdr:row>
      <xdr:rowOff>0</xdr:rowOff>
    </xdr:from>
    <xdr:ext cx="304800" cy="304800"/>
    <xdr:sp macro="" textlink="">
      <xdr:nvSpPr>
        <xdr:cNvPr id="503" name="AutoShape 1">
          <a:extLst>
            <a:ext uri="{FF2B5EF4-FFF2-40B4-BE49-F238E27FC236}">
              <a16:creationId xmlns:a16="http://schemas.microsoft.com/office/drawing/2014/main" id="{3A606E9F-1C86-4F16-9B22-4742F4F16CD3}"/>
            </a:ext>
            <a:ext uri="{147F2762-F138-4A5C-976F-8EAC2B608ADB}">
              <a16:predDERef xmlns:a16="http://schemas.microsoft.com/office/drawing/2014/main" pred="{A9C9C4DB-4B97-447C-9099-E87BCB3C537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468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444</xdr:row>
      <xdr:rowOff>0</xdr:rowOff>
    </xdr:from>
    <xdr:ext cx="304800" cy="304800"/>
    <xdr:sp macro="" textlink="">
      <xdr:nvSpPr>
        <xdr:cNvPr id="504" name="AutoShape 1">
          <a:extLst>
            <a:ext uri="{FF2B5EF4-FFF2-40B4-BE49-F238E27FC236}">
              <a16:creationId xmlns:a16="http://schemas.microsoft.com/office/drawing/2014/main" id="{88AED32C-F597-46F8-A293-8FA29A71F59C}"/>
            </a:ext>
            <a:ext uri="{147F2762-F138-4A5C-976F-8EAC2B608ADB}">
              <a16:predDERef xmlns:a16="http://schemas.microsoft.com/office/drawing/2014/main" pred="{CD89554D-BD76-42AD-819A-278AD445B86E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468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444</xdr:row>
      <xdr:rowOff>0</xdr:rowOff>
    </xdr:from>
    <xdr:ext cx="304800" cy="304800"/>
    <xdr:sp macro="" textlink="">
      <xdr:nvSpPr>
        <xdr:cNvPr id="505" name="AutoShape 1">
          <a:extLst>
            <a:ext uri="{FF2B5EF4-FFF2-40B4-BE49-F238E27FC236}">
              <a16:creationId xmlns:a16="http://schemas.microsoft.com/office/drawing/2014/main" id="{76252CDA-98E5-4806-93B6-23958A28CF9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468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444</xdr:row>
      <xdr:rowOff>0</xdr:rowOff>
    </xdr:from>
    <xdr:ext cx="304800" cy="304800"/>
    <xdr:sp macro="" textlink="">
      <xdr:nvSpPr>
        <xdr:cNvPr id="506" name="AutoShape 1">
          <a:extLst>
            <a:ext uri="{FF2B5EF4-FFF2-40B4-BE49-F238E27FC236}">
              <a16:creationId xmlns:a16="http://schemas.microsoft.com/office/drawing/2014/main" id="{161F4C80-9EE2-42C1-A6A6-865E98DAF59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468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444</xdr:row>
      <xdr:rowOff>0</xdr:rowOff>
    </xdr:from>
    <xdr:ext cx="304800" cy="304800"/>
    <xdr:sp macro="" textlink="">
      <xdr:nvSpPr>
        <xdr:cNvPr id="507" name="AutoShape 1">
          <a:extLst>
            <a:ext uri="{FF2B5EF4-FFF2-40B4-BE49-F238E27FC236}">
              <a16:creationId xmlns:a16="http://schemas.microsoft.com/office/drawing/2014/main" id="{E12ABA42-44CF-42F0-940B-DC4EB6C757C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468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444</xdr:row>
      <xdr:rowOff>0</xdr:rowOff>
    </xdr:from>
    <xdr:ext cx="304800" cy="304800"/>
    <xdr:sp macro="" textlink="">
      <xdr:nvSpPr>
        <xdr:cNvPr id="508" name="AutoShape 1">
          <a:extLst>
            <a:ext uri="{FF2B5EF4-FFF2-40B4-BE49-F238E27FC236}">
              <a16:creationId xmlns:a16="http://schemas.microsoft.com/office/drawing/2014/main" id="{ECF20CD7-7797-49D8-BF26-B4E974FBEEAA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468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444</xdr:row>
      <xdr:rowOff>0</xdr:rowOff>
    </xdr:from>
    <xdr:ext cx="304800" cy="304800"/>
    <xdr:sp macro="" textlink="">
      <xdr:nvSpPr>
        <xdr:cNvPr id="509" name="AutoShape 1">
          <a:extLst>
            <a:ext uri="{FF2B5EF4-FFF2-40B4-BE49-F238E27FC236}">
              <a16:creationId xmlns:a16="http://schemas.microsoft.com/office/drawing/2014/main" id="{D1CC081F-38DB-48A8-9BF5-CC4AF86E473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468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444</xdr:row>
      <xdr:rowOff>0</xdr:rowOff>
    </xdr:from>
    <xdr:ext cx="304800" cy="304800"/>
    <xdr:sp macro="" textlink="">
      <xdr:nvSpPr>
        <xdr:cNvPr id="510" name="AutoShape 1">
          <a:extLst>
            <a:ext uri="{FF2B5EF4-FFF2-40B4-BE49-F238E27FC236}">
              <a16:creationId xmlns:a16="http://schemas.microsoft.com/office/drawing/2014/main" id="{4ABDCEA9-6533-4E1F-94FA-EF9B722CBB09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468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444</xdr:row>
      <xdr:rowOff>0</xdr:rowOff>
    </xdr:from>
    <xdr:ext cx="304800" cy="304800"/>
    <xdr:sp macro="" textlink="">
      <xdr:nvSpPr>
        <xdr:cNvPr id="511" name="AutoShape 1">
          <a:extLst>
            <a:ext uri="{FF2B5EF4-FFF2-40B4-BE49-F238E27FC236}">
              <a16:creationId xmlns:a16="http://schemas.microsoft.com/office/drawing/2014/main" id="{EDFC14BF-A295-484F-86BC-2218CEA80739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468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444</xdr:row>
      <xdr:rowOff>0</xdr:rowOff>
    </xdr:from>
    <xdr:ext cx="304800" cy="304800"/>
    <xdr:sp macro="" textlink="">
      <xdr:nvSpPr>
        <xdr:cNvPr id="512" name="AutoShape 1">
          <a:extLst>
            <a:ext uri="{FF2B5EF4-FFF2-40B4-BE49-F238E27FC236}">
              <a16:creationId xmlns:a16="http://schemas.microsoft.com/office/drawing/2014/main" id="{6262D3E7-12EC-4461-A2FB-4DB5FD440854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468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444</xdr:row>
      <xdr:rowOff>0</xdr:rowOff>
    </xdr:from>
    <xdr:ext cx="304800" cy="304800"/>
    <xdr:sp macro="" textlink="">
      <xdr:nvSpPr>
        <xdr:cNvPr id="513" name="AutoShape 1">
          <a:extLst>
            <a:ext uri="{FF2B5EF4-FFF2-40B4-BE49-F238E27FC236}">
              <a16:creationId xmlns:a16="http://schemas.microsoft.com/office/drawing/2014/main" id="{19B70BDF-515D-4DD2-88AF-281C5A9FB674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468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444</xdr:row>
      <xdr:rowOff>0</xdr:rowOff>
    </xdr:from>
    <xdr:ext cx="304800" cy="304800"/>
    <xdr:sp macro="" textlink="">
      <xdr:nvSpPr>
        <xdr:cNvPr id="514" name="AutoShape 1">
          <a:extLst>
            <a:ext uri="{FF2B5EF4-FFF2-40B4-BE49-F238E27FC236}">
              <a16:creationId xmlns:a16="http://schemas.microsoft.com/office/drawing/2014/main" id="{A2F1930C-811F-4383-9D8C-0EBA9F99E18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468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444</xdr:row>
      <xdr:rowOff>0</xdr:rowOff>
    </xdr:from>
    <xdr:ext cx="304800" cy="304800"/>
    <xdr:sp macro="" textlink="">
      <xdr:nvSpPr>
        <xdr:cNvPr id="515" name="AutoShape 1">
          <a:extLst>
            <a:ext uri="{FF2B5EF4-FFF2-40B4-BE49-F238E27FC236}">
              <a16:creationId xmlns:a16="http://schemas.microsoft.com/office/drawing/2014/main" id="{621F6CD8-5D59-446F-BBC1-2382AA64DC0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468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444</xdr:row>
      <xdr:rowOff>0</xdr:rowOff>
    </xdr:from>
    <xdr:ext cx="304800" cy="304800"/>
    <xdr:sp macro="" textlink="">
      <xdr:nvSpPr>
        <xdr:cNvPr id="516" name="AutoShape 1">
          <a:extLst>
            <a:ext uri="{FF2B5EF4-FFF2-40B4-BE49-F238E27FC236}">
              <a16:creationId xmlns:a16="http://schemas.microsoft.com/office/drawing/2014/main" id="{6765DF03-12BC-4E57-98F4-7CFB252887BA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468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444</xdr:row>
      <xdr:rowOff>0</xdr:rowOff>
    </xdr:from>
    <xdr:ext cx="304800" cy="304800"/>
    <xdr:sp macro="" textlink="">
      <xdr:nvSpPr>
        <xdr:cNvPr id="517" name="AutoShape 1">
          <a:extLst>
            <a:ext uri="{FF2B5EF4-FFF2-40B4-BE49-F238E27FC236}">
              <a16:creationId xmlns:a16="http://schemas.microsoft.com/office/drawing/2014/main" id="{FE745F33-DFC7-4CFB-A8D3-647B4433E14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468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444</xdr:row>
      <xdr:rowOff>0</xdr:rowOff>
    </xdr:from>
    <xdr:ext cx="304800" cy="304800"/>
    <xdr:sp macro="" textlink="">
      <xdr:nvSpPr>
        <xdr:cNvPr id="518" name="AutoShape 1">
          <a:extLst>
            <a:ext uri="{FF2B5EF4-FFF2-40B4-BE49-F238E27FC236}">
              <a16:creationId xmlns:a16="http://schemas.microsoft.com/office/drawing/2014/main" id="{74A22538-2BD3-4F0C-810B-DF41CBE4792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468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444</xdr:row>
      <xdr:rowOff>0</xdr:rowOff>
    </xdr:from>
    <xdr:ext cx="304800" cy="304800"/>
    <xdr:sp macro="" textlink="">
      <xdr:nvSpPr>
        <xdr:cNvPr id="519" name="AutoShape 1">
          <a:extLst>
            <a:ext uri="{FF2B5EF4-FFF2-40B4-BE49-F238E27FC236}">
              <a16:creationId xmlns:a16="http://schemas.microsoft.com/office/drawing/2014/main" id="{30C5AF93-8840-4135-8AEC-86C9D5288BDF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468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444</xdr:row>
      <xdr:rowOff>0</xdr:rowOff>
    </xdr:from>
    <xdr:ext cx="304800" cy="304800"/>
    <xdr:sp macro="" textlink="">
      <xdr:nvSpPr>
        <xdr:cNvPr id="520" name="AutoShape 1">
          <a:extLst>
            <a:ext uri="{FF2B5EF4-FFF2-40B4-BE49-F238E27FC236}">
              <a16:creationId xmlns:a16="http://schemas.microsoft.com/office/drawing/2014/main" id="{5FBCE3D9-23EB-4894-BCB4-E47B89C26F0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468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444</xdr:row>
      <xdr:rowOff>0</xdr:rowOff>
    </xdr:from>
    <xdr:ext cx="304800" cy="304800"/>
    <xdr:sp macro="" textlink="">
      <xdr:nvSpPr>
        <xdr:cNvPr id="521" name="AutoShape 1">
          <a:extLst>
            <a:ext uri="{FF2B5EF4-FFF2-40B4-BE49-F238E27FC236}">
              <a16:creationId xmlns:a16="http://schemas.microsoft.com/office/drawing/2014/main" id="{206D2101-12EA-4CB7-8121-A1A75B4D6E7D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468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444</xdr:row>
      <xdr:rowOff>0</xdr:rowOff>
    </xdr:from>
    <xdr:ext cx="304800" cy="304800"/>
    <xdr:sp macro="" textlink="">
      <xdr:nvSpPr>
        <xdr:cNvPr id="522" name="AutoShape 1">
          <a:extLst>
            <a:ext uri="{FF2B5EF4-FFF2-40B4-BE49-F238E27FC236}">
              <a16:creationId xmlns:a16="http://schemas.microsoft.com/office/drawing/2014/main" id="{BCBCCCB6-ECF6-4BB6-B703-262A498DEADA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468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444</xdr:row>
      <xdr:rowOff>0</xdr:rowOff>
    </xdr:from>
    <xdr:ext cx="304800" cy="304800"/>
    <xdr:sp macro="" textlink="">
      <xdr:nvSpPr>
        <xdr:cNvPr id="523" name="AutoShape 1">
          <a:extLst>
            <a:ext uri="{FF2B5EF4-FFF2-40B4-BE49-F238E27FC236}">
              <a16:creationId xmlns:a16="http://schemas.microsoft.com/office/drawing/2014/main" id="{84132E4A-7491-4B1D-A723-4FE0FE699A20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468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444</xdr:row>
      <xdr:rowOff>0</xdr:rowOff>
    </xdr:from>
    <xdr:ext cx="304800" cy="304800"/>
    <xdr:sp macro="" textlink="">
      <xdr:nvSpPr>
        <xdr:cNvPr id="524" name="AutoShape 1">
          <a:extLst>
            <a:ext uri="{FF2B5EF4-FFF2-40B4-BE49-F238E27FC236}">
              <a16:creationId xmlns:a16="http://schemas.microsoft.com/office/drawing/2014/main" id="{2666AC9E-13F7-4A79-966A-A6C680233B63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468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444</xdr:row>
      <xdr:rowOff>0</xdr:rowOff>
    </xdr:from>
    <xdr:ext cx="304800" cy="304800"/>
    <xdr:sp macro="" textlink="">
      <xdr:nvSpPr>
        <xdr:cNvPr id="525" name="AutoShape 1">
          <a:extLst>
            <a:ext uri="{FF2B5EF4-FFF2-40B4-BE49-F238E27FC236}">
              <a16:creationId xmlns:a16="http://schemas.microsoft.com/office/drawing/2014/main" id="{F18C8AD9-8776-4671-B99A-5E869BC064B9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468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444</xdr:row>
      <xdr:rowOff>0</xdr:rowOff>
    </xdr:from>
    <xdr:ext cx="304800" cy="304800"/>
    <xdr:sp macro="" textlink="">
      <xdr:nvSpPr>
        <xdr:cNvPr id="526" name="AutoShape 1">
          <a:extLst>
            <a:ext uri="{FF2B5EF4-FFF2-40B4-BE49-F238E27FC236}">
              <a16:creationId xmlns:a16="http://schemas.microsoft.com/office/drawing/2014/main" id="{B55629AE-CF73-4E03-84D3-4247ABECBFDD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468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444</xdr:row>
      <xdr:rowOff>0</xdr:rowOff>
    </xdr:from>
    <xdr:ext cx="304800" cy="304800"/>
    <xdr:sp macro="" textlink="">
      <xdr:nvSpPr>
        <xdr:cNvPr id="527" name="AutoShape 1">
          <a:extLst>
            <a:ext uri="{FF2B5EF4-FFF2-40B4-BE49-F238E27FC236}">
              <a16:creationId xmlns:a16="http://schemas.microsoft.com/office/drawing/2014/main" id="{C8927E67-9B0F-4310-B9FC-46193F232F2A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468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444</xdr:row>
      <xdr:rowOff>0</xdr:rowOff>
    </xdr:from>
    <xdr:ext cx="304800" cy="304800"/>
    <xdr:sp macro="" textlink="">
      <xdr:nvSpPr>
        <xdr:cNvPr id="528" name="AutoShape 1">
          <a:extLst>
            <a:ext uri="{FF2B5EF4-FFF2-40B4-BE49-F238E27FC236}">
              <a16:creationId xmlns:a16="http://schemas.microsoft.com/office/drawing/2014/main" id="{5267521E-D24D-4BBC-BD1F-2DD989155C74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468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444</xdr:row>
      <xdr:rowOff>0</xdr:rowOff>
    </xdr:from>
    <xdr:ext cx="304800" cy="304800"/>
    <xdr:sp macro="" textlink="">
      <xdr:nvSpPr>
        <xdr:cNvPr id="529" name="AutoShape 1">
          <a:extLst>
            <a:ext uri="{FF2B5EF4-FFF2-40B4-BE49-F238E27FC236}">
              <a16:creationId xmlns:a16="http://schemas.microsoft.com/office/drawing/2014/main" id="{456D92EB-225D-43DC-8B16-EE50F290BE30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468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444</xdr:row>
      <xdr:rowOff>0</xdr:rowOff>
    </xdr:from>
    <xdr:ext cx="304800" cy="304800"/>
    <xdr:sp macro="" textlink="">
      <xdr:nvSpPr>
        <xdr:cNvPr id="530" name="AutoShape 1">
          <a:extLst>
            <a:ext uri="{FF2B5EF4-FFF2-40B4-BE49-F238E27FC236}">
              <a16:creationId xmlns:a16="http://schemas.microsoft.com/office/drawing/2014/main" id="{90663E08-009E-4C44-9424-52EFFD997C00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468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444</xdr:row>
      <xdr:rowOff>0</xdr:rowOff>
    </xdr:from>
    <xdr:ext cx="304800" cy="304800"/>
    <xdr:sp macro="" textlink="">
      <xdr:nvSpPr>
        <xdr:cNvPr id="531" name="AutoShape 1">
          <a:extLst>
            <a:ext uri="{FF2B5EF4-FFF2-40B4-BE49-F238E27FC236}">
              <a16:creationId xmlns:a16="http://schemas.microsoft.com/office/drawing/2014/main" id="{33D4CAF5-D0B7-4BF3-A3BE-7FFCC8935E6A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468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444</xdr:row>
      <xdr:rowOff>0</xdr:rowOff>
    </xdr:from>
    <xdr:ext cx="304800" cy="304800"/>
    <xdr:sp macro="" textlink="">
      <xdr:nvSpPr>
        <xdr:cNvPr id="532" name="AutoShape 1">
          <a:extLst>
            <a:ext uri="{FF2B5EF4-FFF2-40B4-BE49-F238E27FC236}">
              <a16:creationId xmlns:a16="http://schemas.microsoft.com/office/drawing/2014/main" id="{9A3F2B0B-F3E5-46C3-8C58-8BB19469608A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468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444</xdr:row>
      <xdr:rowOff>0</xdr:rowOff>
    </xdr:from>
    <xdr:ext cx="304800" cy="304800"/>
    <xdr:sp macro="" textlink="">
      <xdr:nvSpPr>
        <xdr:cNvPr id="533" name="AutoShape 1">
          <a:extLst>
            <a:ext uri="{FF2B5EF4-FFF2-40B4-BE49-F238E27FC236}">
              <a16:creationId xmlns:a16="http://schemas.microsoft.com/office/drawing/2014/main" id="{1BB89B5B-3E1B-4C5C-A592-F3D163D483A3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468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444</xdr:row>
      <xdr:rowOff>0</xdr:rowOff>
    </xdr:from>
    <xdr:ext cx="304800" cy="304800"/>
    <xdr:sp macro="" textlink="">
      <xdr:nvSpPr>
        <xdr:cNvPr id="534" name="AutoShape 1">
          <a:extLst>
            <a:ext uri="{FF2B5EF4-FFF2-40B4-BE49-F238E27FC236}">
              <a16:creationId xmlns:a16="http://schemas.microsoft.com/office/drawing/2014/main" id="{8A7C58F6-4B34-4AD9-8CC7-11E603C89FA7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468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444</xdr:row>
      <xdr:rowOff>0</xdr:rowOff>
    </xdr:from>
    <xdr:ext cx="304800" cy="304800"/>
    <xdr:sp macro="" textlink="">
      <xdr:nvSpPr>
        <xdr:cNvPr id="535" name="AutoShape 1">
          <a:extLst>
            <a:ext uri="{FF2B5EF4-FFF2-40B4-BE49-F238E27FC236}">
              <a16:creationId xmlns:a16="http://schemas.microsoft.com/office/drawing/2014/main" id="{09AAAF3D-C023-4885-937D-814A54133D0F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468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444</xdr:row>
      <xdr:rowOff>0</xdr:rowOff>
    </xdr:from>
    <xdr:ext cx="304800" cy="304800"/>
    <xdr:sp macro="" textlink="">
      <xdr:nvSpPr>
        <xdr:cNvPr id="536" name="AutoShape 1">
          <a:extLst>
            <a:ext uri="{FF2B5EF4-FFF2-40B4-BE49-F238E27FC236}">
              <a16:creationId xmlns:a16="http://schemas.microsoft.com/office/drawing/2014/main" id="{85CAA56A-E2E5-44E3-8E15-D742A7CA887C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468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444</xdr:row>
      <xdr:rowOff>0</xdr:rowOff>
    </xdr:from>
    <xdr:ext cx="304800" cy="304800"/>
    <xdr:sp macro="" textlink="">
      <xdr:nvSpPr>
        <xdr:cNvPr id="537" name="AutoShape 1">
          <a:extLst>
            <a:ext uri="{FF2B5EF4-FFF2-40B4-BE49-F238E27FC236}">
              <a16:creationId xmlns:a16="http://schemas.microsoft.com/office/drawing/2014/main" id="{8243CA02-80E3-4EED-B084-10568E37ED8E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468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444</xdr:row>
      <xdr:rowOff>0</xdr:rowOff>
    </xdr:from>
    <xdr:ext cx="304800" cy="304800"/>
    <xdr:sp macro="" textlink="">
      <xdr:nvSpPr>
        <xdr:cNvPr id="538" name="AutoShape 1">
          <a:extLst>
            <a:ext uri="{FF2B5EF4-FFF2-40B4-BE49-F238E27FC236}">
              <a16:creationId xmlns:a16="http://schemas.microsoft.com/office/drawing/2014/main" id="{2F65E166-4FA1-43AB-9092-E41A52D56107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468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444</xdr:row>
      <xdr:rowOff>0</xdr:rowOff>
    </xdr:from>
    <xdr:ext cx="304800" cy="304800"/>
    <xdr:sp macro="" textlink="">
      <xdr:nvSpPr>
        <xdr:cNvPr id="539" name="AutoShape 1">
          <a:extLst>
            <a:ext uri="{FF2B5EF4-FFF2-40B4-BE49-F238E27FC236}">
              <a16:creationId xmlns:a16="http://schemas.microsoft.com/office/drawing/2014/main" id="{EA640AEC-071A-48EC-BBEC-CFFA689C6534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468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444</xdr:row>
      <xdr:rowOff>0</xdr:rowOff>
    </xdr:from>
    <xdr:ext cx="304800" cy="304800"/>
    <xdr:sp macro="" textlink="">
      <xdr:nvSpPr>
        <xdr:cNvPr id="540" name="AutoShape 1">
          <a:extLst>
            <a:ext uri="{FF2B5EF4-FFF2-40B4-BE49-F238E27FC236}">
              <a16:creationId xmlns:a16="http://schemas.microsoft.com/office/drawing/2014/main" id="{CDA0E334-B5E3-4A99-91C4-3F9FFD109023}"/>
            </a:ext>
            <a:ext uri="{147F2762-F138-4A5C-976F-8EAC2B608ADB}">
              <a16:predDERef xmlns:a16="http://schemas.microsoft.com/office/drawing/2014/main" pred="{A9C9C4DB-4B97-447C-9099-E87BCB3C537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468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444</xdr:row>
      <xdr:rowOff>0</xdr:rowOff>
    </xdr:from>
    <xdr:ext cx="304800" cy="304800"/>
    <xdr:sp macro="" textlink="">
      <xdr:nvSpPr>
        <xdr:cNvPr id="541" name="AutoShape 1">
          <a:extLst>
            <a:ext uri="{FF2B5EF4-FFF2-40B4-BE49-F238E27FC236}">
              <a16:creationId xmlns:a16="http://schemas.microsoft.com/office/drawing/2014/main" id="{5AF4BC9A-848D-47B2-A11E-D9F07D491A7F}"/>
            </a:ext>
            <a:ext uri="{147F2762-F138-4A5C-976F-8EAC2B608ADB}">
              <a16:predDERef xmlns:a16="http://schemas.microsoft.com/office/drawing/2014/main" pred="{CD89554D-BD76-42AD-819A-278AD445B86E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468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444</xdr:row>
      <xdr:rowOff>0</xdr:rowOff>
    </xdr:from>
    <xdr:ext cx="304800" cy="304800"/>
    <xdr:sp macro="" textlink="">
      <xdr:nvSpPr>
        <xdr:cNvPr id="542" name="AutoShape 1">
          <a:extLst>
            <a:ext uri="{FF2B5EF4-FFF2-40B4-BE49-F238E27FC236}">
              <a16:creationId xmlns:a16="http://schemas.microsoft.com/office/drawing/2014/main" id="{6EDD8DA2-C6AF-4DDB-8942-61E7550AE3D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468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444</xdr:row>
      <xdr:rowOff>0</xdr:rowOff>
    </xdr:from>
    <xdr:ext cx="304800" cy="304800"/>
    <xdr:sp macro="" textlink="">
      <xdr:nvSpPr>
        <xdr:cNvPr id="543" name="AutoShape 1">
          <a:extLst>
            <a:ext uri="{FF2B5EF4-FFF2-40B4-BE49-F238E27FC236}">
              <a16:creationId xmlns:a16="http://schemas.microsoft.com/office/drawing/2014/main" id="{B0A375E7-511E-4E9D-A1F9-D69CE7325596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468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444</xdr:row>
      <xdr:rowOff>0</xdr:rowOff>
    </xdr:from>
    <xdr:ext cx="304800" cy="304800"/>
    <xdr:sp macro="" textlink="">
      <xdr:nvSpPr>
        <xdr:cNvPr id="544" name="AutoShape 1">
          <a:extLst>
            <a:ext uri="{FF2B5EF4-FFF2-40B4-BE49-F238E27FC236}">
              <a16:creationId xmlns:a16="http://schemas.microsoft.com/office/drawing/2014/main" id="{1A7A40A4-A882-4364-8250-5B6F0622504E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468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444</xdr:row>
      <xdr:rowOff>0</xdr:rowOff>
    </xdr:from>
    <xdr:ext cx="304800" cy="304800"/>
    <xdr:sp macro="" textlink="">
      <xdr:nvSpPr>
        <xdr:cNvPr id="545" name="AutoShape 1">
          <a:extLst>
            <a:ext uri="{FF2B5EF4-FFF2-40B4-BE49-F238E27FC236}">
              <a16:creationId xmlns:a16="http://schemas.microsoft.com/office/drawing/2014/main" id="{3CB59D04-4FEE-4D40-8C9B-61DEA65DDA9C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468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444</xdr:row>
      <xdr:rowOff>0</xdr:rowOff>
    </xdr:from>
    <xdr:ext cx="304800" cy="304800"/>
    <xdr:sp macro="" textlink="">
      <xdr:nvSpPr>
        <xdr:cNvPr id="546" name="AutoShape 1">
          <a:extLst>
            <a:ext uri="{FF2B5EF4-FFF2-40B4-BE49-F238E27FC236}">
              <a16:creationId xmlns:a16="http://schemas.microsoft.com/office/drawing/2014/main" id="{58BB5C5C-8807-42D8-8977-05E21D17B6A7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468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444</xdr:row>
      <xdr:rowOff>0</xdr:rowOff>
    </xdr:from>
    <xdr:ext cx="304800" cy="304800"/>
    <xdr:sp macro="" textlink="">
      <xdr:nvSpPr>
        <xdr:cNvPr id="547" name="AutoShape 1">
          <a:extLst>
            <a:ext uri="{FF2B5EF4-FFF2-40B4-BE49-F238E27FC236}">
              <a16:creationId xmlns:a16="http://schemas.microsoft.com/office/drawing/2014/main" id="{6758FCC4-9779-4B9D-A67A-2A801BBD8CA1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468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444</xdr:row>
      <xdr:rowOff>0</xdr:rowOff>
    </xdr:from>
    <xdr:ext cx="304800" cy="304800"/>
    <xdr:sp macro="" textlink="">
      <xdr:nvSpPr>
        <xdr:cNvPr id="548" name="AutoShape 1">
          <a:extLst>
            <a:ext uri="{FF2B5EF4-FFF2-40B4-BE49-F238E27FC236}">
              <a16:creationId xmlns:a16="http://schemas.microsoft.com/office/drawing/2014/main" id="{30986CE6-0F0F-473C-B344-F239121246AF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468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444</xdr:row>
      <xdr:rowOff>0</xdr:rowOff>
    </xdr:from>
    <xdr:ext cx="304800" cy="304800"/>
    <xdr:sp macro="" textlink="">
      <xdr:nvSpPr>
        <xdr:cNvPr id="549" name="AutoShape 1">
          <a:extLst>
            <a:ext uri="{FF2B5EF4-FFF2-40B4-BE49-F238E27FC236}">
              <a16:creationId xmlns:a16="http://schemas.microsoft.com/office/drawing/2014/main" id="{AA6B6DBF-B530-40EA-B42B-1AA0E469FF1B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468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444</xdr:row>
      <xdr:rowOff>0</xdr:rowOff>
    </xdr:from>
    <xdr:ext cx="304800" cy="304800"/>
    <xdr:sp macro="" textlink="">
      <xdr:nvSpPr>
        <xdr:cNvPr id="550" name="AutoShape 1">
          <a:extLst>
            <a:ext uri="{FF2B5EF4-FFF2-40B4-BE49-F238E27FC236}">
              <a16:creationId xmlns:a16="http://schemas.microsoft.com/office/drawing/2014/main" id="{5A22DC12-180F-4E83-9FF1-F6A6F9FDA306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468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444</xdr:row>
      <xdr:rowOff>0</xdr:rowOff>
    </xdr:from>
    <xdr:ext cx="304800" cy="304800"/>
    <xdr:sp macro="" textlink="">
      <xdr:nvSpPr>
        <xdr:cNvPr id="551" name="AutoShape 1">
          <a:extLst>
            <a:ext uri="{FF2B5EF4-FFF2-40B4-BE49-F238E27FC236}">
              <a16:creationId xmlns:a16="http://schemas.microsoft.com/office/drawing/2014/main" id="{1AA9ABA1-0BDD-4B30-AB27-ED9EE753BF31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468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444</xdr:row>
      <xdr:rowOff>0</xdr:rowOff>
    </xdr:from>
    <xdr:ext cx="304800" cy="304800"/>
    <xdr:sp macro="" textlink="">
      <xdr:nvSpPr>
        <xdr:cNvPr id="552" name="AutoShape 1">
          <a:extLst>
            <a:ext uri="{FF2B5EF4-FFF2-40B4-BE49-F238E27FC236}">
              <a16:creationId xmlns:a16="http://schemas.microsoft.com/office/drawing/2014/main" id="{4F27094D-7099-4418-84EF-DF188B9468B9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468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444</xdr:row>
      <xdr:rowOff>0</xdr:rowOff>
    </xdr:from>
    <xdr:ext cx="304800" cy="304800"/>
    <xdr:sp macro="" textlink="">
      <xdr:nvSpPr>
        <xdr:cNvPr id="553" name="AutoShape 1">
          <a:extLst>
            <a:ext uri="{FF2B5EF4-FFF2-40B4-BE49-F238E27FC236}">
              <a16:creationId xmlns:a16="http://schemas.microsoft.com/office/drawing/2014/main" id="{188EBD9D-C67D-4DED-86BF-C3EA06045357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468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444</xdr:row>
      <xdr:rowOff>0</xdr:rowOff>
    </xdr:from>
    <xdr:ext cx="304800" cy="304800"/>
    <xdr:sp macro="" textlink="">
      <xdr:nvSpPr>
        <xdr:cNvPr id="554" name="AutoShape 1">
          <a:extLst>
            <a:ext uri="{FF2B5EF4-FFF2-40B4-BE49-F238E27FC236}">
              <a16:creationId xmlns:a16="http://schemas.microsoft.com/office/drawing/2014/main" id="{0ED130B0-712E-43EC-B073-A3CB30770D7F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468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444</xdr:row>
      <xdr:rowOff>0</xdr:rowOff>
    </xdr:from>
    <xdr:ext cx="304800" cy="304800"/>
    <xdr:sp macro="" textlink="">
      <xdr:nvSpPr>
        <xdr:cNvPr id="555" name="AutoShape 1">
          <a:extLst>
            <a:ext uri="{FF2B5EF4-FFF2-40B4-BE49-F238E27FC236}">
              <a16:creationId xmlns:a16="http://schemas.microsoft.com/office/drawing/2014/main" id="{8EBCE6C4-26FB-43F2-845C-780E10D8EEF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468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444</xdr:row>
      <xdr:rowOff>0</xdr:rowOff>
    </xdr:from>
    <xdr:ext cx="304800" cy="304800"/>
    <xdr:sp macro="" textlink="">
      <xdr:nvSpPr>
        <xdr:cNvPr id="556" name="AutoShape 1">
          <a:extLst>
            <a:ext uri="{FF2B5EF4-FFF2-40B4-BE49-F238E27FC236}">
              <a16:creationId xmlns:a16="http://schemas.microsoft.com/office/drawing/2014/main" id="{716C2281-89C5-4F9D-930D-83F9B74B3587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468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444</xdr:row>
      <xdr:rowOff>0</xdr:rowOff>
    </xdr:from>
    <xdr:ext cx="304800" cy="304800"/>
    <xdr:sp macro="" textlink="">
      <xdr:nvSpPr>
        <xdr:cNvPr id="557" name="AutoShape 1">
          <a:extLst>
            <a:ext uri="{FF2B5EF4-FFF2-40B4-BE49-F238E27FC236}">
              <a16:creationId xmlns:a16="http://schemas.microsoft.com/office/drawing/2014/main" id="{85A912B2-8516-4C68-8176-F4CE1584F8D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468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444</xdr:row>
      <xdr:rowOff>0</xdr:rowOff>
    </xdr:from>
    <xdr:ext cx="304800" cy="304800"/>
    <xdr:sp macro="" textlink="">
      <xdr:nvSpPr>
        <xdr:cNvPr id="558" name="AutoShape 1">
          <a:extLst>
            <a:ext uri="{FF2B5EF4-FFF2-40B4-BE49-F238E27FC236}">
              <a16:creationId xmlns:a16="http://schemas.microsoft.com/office/drawing/2014/main" id="{59814DEE-AD6E-424F-987F-35EC7F4B2A4E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468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444</xdr:row>
      <xdr:rowOff>0</xdr:rowOff>
    </xdr:from>
    <xdr:ext cx="304800" cy="304800"/>
    <xdr:sp macro="" textlink="">
      <xdr:nvSpPr>
        <xdr:cNvPr id="559" name="AutoShape 1">
          <a:extLst>
            <a:ext uri="{FF2B5EF4-FFF2-40B4-BE49-F238E27FC236}">
              <a16:creationId xmlns:a16="http://schemas.microsoft.com/office/drawing/2014/main" id="{6A74954F-229F-4FFF-95AA-D792B70DDAA5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468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444</xdr:row>
      <xdr:rowOff>0</xdr:rowOff>
    </xdr:from>
    <xdr:ext cx="304800" cy="304800"/>
    <xdr:sp macro="" textlink="">
      <xdr:nvSpPr>
        <xdr:cNvPr id="560" name="AutoShape 1">
          <a:extLst>
            <a:ext uri="{FF2B5EF4-FFF2-40B4-BE49-F238E27FC236}">
              <a16:creationId xmlns:a16="http://schemas.microsoft.com/office/drawing/2014/main" id="{B3910F15-F9AF-4D1A-819B-6FE35F04C2B8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468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444</xdr:row>
      <xdr:rowOff>0</xdr:rowOff>
    </xdr:from>
    <xdr:ext cx="304800" cy="304800"/>
    <xdr:sp macro="" textlink="">
      <xdr:nvSpPr>
        <xdr:cNvPr id="561" name="AutoShape 1">
          <a:extLst>
            <a:ext uri="{FF2B5EF4-FFF2-40B4-BE49-F238E27FC236}">
              <a16:creationId xmlns:a16="http://schemas.microsoft.com/office/drawing/2014/main" id="{2F78AD65-F64A-4904-9FC9-1D78AB828623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468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444</xdr:row>
      <xdr:rowOff>0</xdr:rowOff>
    </xdr:from>
    <xdr:ext cx="304800" cy="304800"/>
    <xdr:sp macro="" textlink="">
      <xdr:nvSpPr>
        <xdr:cNvPr id="562" name="AutoShape 1">
          <a:extLst>
            <a:ext uri="{FF2B5EF4-FFF2-40B4-BE49-F238E27FC236}">
              <a16:creationId xmlns:a16="http://schemas.microsoft.com/office/drawing/2014/main" id="{B3ABBC55-B647-468A-AB29-8F2787AC47F6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468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444</xdr:row>
      <xdr:rowOff>0</xdr:rowOff>
    </xdr:from>
    <xdr:ext cx="304800" cy="304800"/>
    <xdr:sp macro="" textlink="">
      <xdr:nvSpPr>
        <xdr:cNvPr id="563" name="AutoShape 1">
          <a:extLst>
            <a:ext uri="{FF2B5EF4-FFF2-40B4-BE49-F238E27FC236}">
              <a16:creationId xmlns:a16="http://schemas.microsoft.com/office/drawing/2014/main" id="{04847CB8-7311-49A0-9281-DBB30D718D0A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468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444</xdr:row>
      <xdr:rowOff>0</xdr:rowOff>
    </xdr:from>
    <xdr:ext cx="304800" cy="304800"/>
    <xdr:sp macro="" textlink="">
      <xdr:nvSpPr>
        <xdr:cNvPr id="564" name="AutoShape 1">
          <a:extLst>
            <a:ext uri="{FF2B5EF4-FFF2-40B4-BE49-F238E27FC236}">
              <a16:creationId xmlns:a16="http://schemas.microsoft.com/office/drawing/2014/main" id="{6381E87A-DF6C-41C3-B38F-3844BB329923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468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444</xdr:row>
      <xdr:rowOff>0</xdr:rowOff>
    </xdr:from>
    <xdr:ext cx="304800" cy="304800"/>
    <xdr:sp macro="" textlink="">
      <xdr:nvSpPr>
        <xdr:cNvPr id="565" name="AutoShape 1">
          <a:extLst>
            <a:ext uri="{FF2B5EF4-FFF2-40B4-BE49-F238E27FC236}">
              <a16:creationId xmlns:a16="http://schemas.microsoft.com/office/drawing/2014/main" id="{56588963-3E8B-447C-8A10-F67F0C5F417F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468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444</xdr:row>
      <xdr:rowOff>0</xdr:rowOff>
    </xdr:from>
    <xdr:ext cx="304800" cy="304800"/>
    <xdr:sp macro="" textlink="">
      <xdr:nvSpPr>
        <xdr:cNvPr id="566" name="AutoShape 1">
          <a:extLst>
            <a:ext uri="{FF2B5EF4-FFF2-40B4-BE49-F238E27FC236}">
              <a16:creationId xmlns:a16="http://schemas.microsoft.com/office/drawing/2014/main" id="{D2B3E0F5-C319-4B3A-B35F-F834C537524C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468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444</xdr:row>
      <xdr:rowOff>0</xdr:rowOff>
    </xdr:from>
    <xdr:ext cx="304800" cy="304800"/>
    <xdr:sp macro="" textlink="">
      <xdr:nvSpPr>
        <xdr:cNvPr id="567" name="AutoShape 1">
          <a:extLst>
            <a:ext uri="{FF2B5EF4-FFF2-40B4-BE49-F238E27FC236}">
              <a16:creationId xmlns:a16="http://schemas.microsoft.com/office/drawing/2014/main" id="{26ACBB50-DCDA-4C49-96FF-A50882CACCB7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468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444</xdr:row>
      <xdr:rowOff>0</xdr:rowOff>
    </xdr:from>
    <xdr:ext cx="304800" cy="304800"/>
    <xdr:sp macro="" textlink="">
      <xdr:nvSpPr>
        <xdr:cNvPr id="568" name="AutoShape 1">
          <a:extLst>
            <a:ext uri="{FF2B5EF4-FFF2-40B4-BE49-F238E27FC236}">
              <a16:creationId xmlns:a16="http://schemas.microsoft.com/office/drawing/2014/main" id="{5A12E3C4-0584-41EF-A123-B6E701719A40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468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444</xdr:row>
      <xdr:rowOff>0</xdr:rowOff>
    </xdr:from>
    <xdr:ext cx="304800" cy="304800"/>
    <xdr:sp macro="" textlink="">
      <xdr:nvSpPr>
        <xdr:cNvPr id="569" name="AutoShape 1">
          <a:extLst>
            <a:ext uri="{FF2B5EF4-FFF2-40B4-BE49-F238E27FC236}">
              <a16:creationId xmlns:a16="http://schemas.microsoft.com/office/drawing/2014/main" id="{0AC79870-22B3-4DAF-8A07-DD6D7FC4EA23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468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444</xdr:row>
      <xdr:rowOff>0</xdr:rowOff>
    </xdr:from>
    <xdr:ext cx="304800" cy="304800"/>
    <xdr:sp macro="" textlink="">
      <xdr:nvSpPr>
        <xdr:cNvPr id="570" name="AutoShape 1">
          <a:extLst>
            <a:ext uri="{FF2B5EF4-FFF2-40B4-BE49-F238E27FC236}">
              <a16:creationId xmlns:a16="http://schemas.microsoft.com/office/drawing/2014/main" id="{7AC7EBF4-A548-45E3-B61D-9AC85215B4A6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468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444</xdr:row>
      <xdr:rowOff>0</xdr:rowOff>
    </xdr:from>
    <xdr:ext cx="304800" cy="304800"/>
    <xdr:sp macro="" textlink="">
      <xdr:nvSpPr>
        <xdr:cNvPr id="571" name="AutoShape 1">
          <a:extLst>
            <a:ext uri="{FF2B5EF4-FFF2-40B4-BE49-F238E27FC236}">
              <a16:creationId xmlns:a16="http://schemas.microsoft.com/office/drawing/2014/main" id="{403F113A-4A4A-4308-B1E0-568173D120D6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468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444</xdr:row>
      <xdr:rowOff>0</xdr:rowOff>
    </xdr:from>
    <xdr:ext cx="304800" cy="304800"/>
    <xdr:sp macro="" textlink="">
      <xdr:nvSpPr>
        <xdr:cNvPr id="572" name="AutoShape 1">
          <a:extLst>
            <a:ext uri="{FF2B5EF4-FFF2-40B4-BE49-F238E27FC236}">
              <a16:creationId xmlns:a16="http://schemas.microsoft.com/office/drawing/2014/main" id="{C08ACC89-82FB-4061-8C57-E2A81CB7250F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468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444</xdr:row>
      <xdr:rowOff>0</xdr:rowOff>
    </xdr:from>
    <xdr:ext cx="304800" cy="304800"/>
    <xdr:sp macro="" textlink="">
      <xdr:nvSpPr>
        <xdr:cNvPr id="573" name="AutoShape 1">
          <a:extLst>
            <a:ext uri="{FF2B5EF4-FFF2-40B4-BE49-F238E27FC236}">
              <a16:creationId xmlns:a16="http://schemas.microsoft.com/office/drawing/2014/main" id="{5FD04374-0EA6-4056-BAFE-823E4903A580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468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444</xdr:row>
      <xdr:rowOff>0</xdr:rowOff>
    </xdr:from>
    <xdr:ext cx="304800" cy="304800"/>
    <xdr:sp macro="" textlink="">
      <xdr:nvSpPr>
        <xdr:cNvPr id="574" name="AutoShape 1">
          <a:extLst>
            <a:ext uri="{FF2B5EF4-FFF2-40B4-BE49-F238E27FC236}">
              <a16:creationId xmlns:a16="http://schemas.microsoft.com/office/drawing/2014/main" id="{1C74E880-F495-4881-A020-F266F021F2CD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468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444</xdr:row>
      <xdr:rowOff>0</xdr:rowOff>
    </xdr:from>
    <xdr:ext cx="304800" cy="304800"/>
    <xdr:sp macro="" textlink="">
      <xdr:nvSpPr>
        <xdr:cNvPr id="575" name="AutoShape 1">
          <a:extLst>
            <a:ext uri="{FF2B5EF4-FFF2-40B4-BE49-F238E27FC236}">
              <a16:creationId xmlns:a16="http://schemas.microsoft.com/office/drawing/2014/main" id="{57E0AE71-E388-4192-BA83-047570096870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468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444</xdr:row>
      <xdr:rowOff>0</xdr:rowOff>
    </xdr:from>
    <xdr:ext cx="304800" cy="304800"/>
    <xdr:sp macro="" textlink="">
      <xdr:nvSpPr>
        <xdr:cNvPr id="576" name="AutoShape 1">
          <a:extLst>
            <a:ext uri="{FF2B5EF4-FFF2-40B4-BE49-F238E27FC236}">
              <a16:creationId xmlns:a16="http://schemas.microsoft.com/office/drawing/2014/main" id="{A18BE5F7-75EF-4C6B-B198-F9BD8C917504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468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444</xdr:row>
      <xdr:rowOff>0</xdr:rowOff>
    </xdr:from>
    <xdr:ext cx="304800" cy="304800"/>
    <xdr:sp macro="" textlink="">
      <xdr:nvSpPr>
        <xdr:cNvPr id="577" name="AutoShape 1">
          <a:extLst>
            <a:ext uri="{FF2B5EF4-FFF2-40B4-BE49-F238E27FC236}">
              <a16:creationId xmlns:a16="http://schemas.microsoft.com/office/drawing/2014/main" id="{FAE46748-095F-4C87-816B-20D8DA80CE6F}"/>
            </a:ext>
            <a:ext uri="{147F2762-F138-4A5C-976F-8EAC2B608ADB}">
              <a16:predDERef xmlns:a16="http://schemas.microsoft.com/office/drawing/2014/main" pred="{A9C9C4DB-4B97-447C-9099-E87BCB3C537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468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444</xdr:row>
      <xdr:rowOff>0</xdr:rowOff>
    </xdr:from>
    <xdr:ext cx="304800" cy="304800"/>
    <xdr:sp macro="" textlink="">
      <xdr:nvSpPr>
        <xdr:cNvPr id="578" name="AutoShape 1">
          <a:extLst>
            <a:ext uri="{FF2B5EF4-FFF2-40B4-BE49-F238E27FC236}">
              <a16:creationId xmlns:a16="http://schemas.microsoft.com/office/drawing/2014/main" id="{CBE8751F-ED2E-42D7-BE26-4125361D04D7}"/>
            </a:ext>
            <a:ext uri="{147F2762-F138-4A5C-976F-8EAC2B608ADB}">
              <a16:predDERef xmlns:a16="http://schemas.microsoft.com/office/drawing/2014/main" pred="{CD89554D-BD76-42AD-819A-278AD445B86E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468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444</xdr:row>
      <xdr:rowOff>0</xdr:rowOff>
    </xdr:from>
    <xdr:ext cx="304800" cy="304800"/>
    <xdr:sp macro="" textlink="">
      <xdr:nvSpPr>
        <xdr:cNvPr id="579" name="AutoShape 1">
          <a:extLst>
            <a:ext uri="{FF2B5EF4-FFF2-40B4-BE49-F238E27FC236}">
              <a16:creationId xmlns:a16="http://schemas.microsoft.com/office/drawing/2014/main" id="{6D2081AA-83E1-4BD2-BBF9-41F393E6E86E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468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444</xdr:row>
      <xdr:rowOff>0</xdr:rowOff>
    </xdr:from>
    <xdr:ext cx="304800" cy="304800"/>
    <xdr:sp macro="" textlink="">
      <xdr:nvSpPr>
        <xdr:cNvPr id="580" name="AutoShape 1">
          <a:extLst>
            <a:ext uri="{FF2B5EF4-FFF2-40B4-BE49-F238E27FC236}">
              <a16:creationId xmlns:a16="http://schemas.microsoft.com/office/drawing/2014/main" id="{585728B1-70F7-49CC-8AE5-D072AD1257F3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468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444</xdr:row>
      <xdr:rowOff>0</xdr:rowOff>
    </xdr:from>
    <xdr:ext cx="304800" cy="304800"/>
    <xdr:sp macro="" textlink="">
      <xdr:nvSpPr>
        <xdr:cNvPr id="581" name="AutoShape 1">
          <a:extLst>
            <a:ext uri="{FF2B5EF4-FFF2-40B4-BE49-F238E27FC236}">
              <a16:creationId xmlns:a16="http://schemas.microsoft.com/office/drawing/2014/main" id="{B7E0754F-35A8-48B1-97F8-3E322012262B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468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444</xdr:row>
      <xdr:rowOff>0</xdr:rowOff>
    </xdr:from>
    <xdr:ext cx="304800" cy="304800"/>
    <xdr:sp macro="" textlink="">
      <xdr:nvSpPr>
        <xdr:cNvPr id="582" name="AutoShape 1">
          <a:extLst>
            <a:ext uri="{FF2B5EF4-FFF2-40B4-BE49-F238E27FC236}">
              <a16:creationId xmlns:a16="http://schemas.microsoft.com/office/drawing/2014/main" id="{03808990-E847-4D45-BA95-A9BF7BCF5BDB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468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444</xdr:row>
      <xdr:rowOff>0</xdr:rowOff>
    </xdr:from>
    <xdr:ext cx="304800" cy="304800"/>
    <xdr:sp macro="" textlink="">
      <xdr:nvSpPr>
        <xdr:cNvPr id="583" name="AutoShape 1">
          <a:extLst>
            <a:ext uri="{FF2B5EF4-FFF2-40B4-BE49-F238E27FC236}">
              <a16:creationId xmlns:a16="http://schemas.microsoft.com/office/drawing/2014/main" id="{99BAB29A-A684-463C-B20A-11303D56D694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468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444</xdr:row>
      <xdr:rowOff>0</xdr:rowOff>
    </xdr:from>
    <xdr:ext cx="304800" cy="304800"/>
    <xdr:sp macro="" textlink="">
      <xdr:nvSpPr>
        <xdr:cNvPr id="584" name="AutoShape 1">
          <a:extLst>
            <a:ext uri="{FF2B5EF4-FFF2-40B4-BE49-F238E27FC236}">
              <a16:creationId xmlns:a16="http://schemas.microsoft.com/office/drawing/2014/main" id="{2B913AB2-F355-48EB-9E7B-5BB3000A058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468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444</xdr:row>
      <xdr:rowOff>0</xdr:rowOff>
    </xdr:from>
    <xdr:ext cx="304800" cy="304800"/>
    <xdr:sp macro="" textlink="">
      <xdr:nvSpPr>
        <xdr:cNvPr id="585" name="AutoShape 1">
          <a:extLst>
            <a:ext uri="{FF2B5EF4-FFF2-40B4-BE49-F238E27FC236}">
              <a16:creationId xmlns:a16="http://schemas.microsoft.com/office/drawing/2014/main" id="{A8BB9C94-DBF2-4BB2-9E10-7B9DCCC0C10B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468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444</xdr:row>
      <xdr:rowOff>0</xdr:rowOff>
    </xdr:from>
    <xdr:ext cx="304800" cy="304800"/>
    <xdr:sp macro="" textlink="">
      <xdr:nvSpPr>
        <xdr:cNvPr id="586" name="AutoShape 1">
          <a:extLst>
            <a:ext uri="{FF2B5EF4-FFF2-40B4-BE49-F238E27FC236}">
              <a16:creationId xmlns:a16="http://schemas.microsoft.com/office/drawing/2014/main" id="{1EA91F4C-7893-4F06-B0D4-78F35A9DAB41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468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444</xdr:row>
      <xdr:rowOff>0</xdr:rowOff>
    </xdr:from>
    <xdr:ext cx="304800" cy="304800"/>
    <xdr:sp macro="" textlink="">
      <xdr:nvSpPr>
        <xdr:cNvPr id="587" name="AutoShape 1">
          <a:extLst>
            <a:ext uri="{FF2B5EF4-FFF2-40B4-BE49-F238E27FC236}">
              <a16:creationId xmlns:a16="http://schemas.microsoft.com/office/drawing/2014/main" id="{007F0953-8361-466B-A92C-8D774469F7A3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468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444</xdr:row>
      <xdr:rowOff>0</xdr:rowOff>
    </xdr:from>
    <xdr:ext cx="304800" cy="304800"/>
    <xdr:sp macro="" textlink="">
      <xdr:nvSpPr>
        <xdr:cNvPr id="588" name="AutoShape 1">
          <a:extLst>
            <a:ext uri="{FF2B5EF4-FFF2-40B4-BE49-F238E27FC236}">
              <a16:creationId xmlns:a16="http://schemas.microsoft.com/office/drawing/2014/main" id="{0BDE8F9E-643C-4E95-9B93-9B8DFEF5354F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468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444</xdr:row>
      <xdr:rowOff>0</xdr:rowOff>
    </xdr:from>
    <xdr:ext cx="304800" cy="304800"/>
    <xdr:sp macro="" textlink="">
      <xdr:nvSpPr>
        <xdr:cNvPr id="589" name="AutoShape 1">
          <a:extLst>
            <a:ext uri="{FF2B5EF4-FFF2-40B4-BE49-F238E27FC236}">
              <a16:creationId xmlns:a16="http://schemas.microsoft.com/office/drawing/2014/main" id="{1526CF68-3169-4708-917E-F2E1CDEDA5EC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468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444</xdr:row>
      <xdr:rowOff>0</xdr:rowOff>
    </xdr:from>
    <xdr:ext cx="304800" cy="304800"/>
    <xdr:sp macro="" textlink="">
      <xdr:nvSpPr>
        <xdr:cNvPr id="590" name="AutoShape 1">
          <a:extLst>
            <a:ext uri="{FF2B5EF4-FFF2-40B4-BE49-F238E27FC236}">
              <a16:creationId xmlns:a16="http://schemas.microsoft.com/office/drawing/2014/main" id="{B5539219-D449-4AA7-A951-1F1976DF5AFE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468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444</xdr:row>
      <xdr:rowOff>0</xdr:rowOff>
    </xdr:from>
    <xdr:ext cx="304800" cy="304800"/>
    <xdr:sp macro="" textlink="">
      <xdr:nvSpPr>
        <xdr:cNvPr id="591" name="AutoShape 1">
          <a:extLst>
            <a:ext uri="{FF2B5EF4-FFF2-40B4-BE49-F238E27FC236}">
              <a16:creationId xmlns:a16="http://schemas.microsoft.com/office/drawing/2014/main" id="{C2AB2AD5-89EE-4F2A-A2FD-FC60C4A1B816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468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444</xdr:row>
      <xdr:rowOff>0</xdr:rowOff>
    </xdr:from>
    <xdr:ext cx="304800" cy="304800"/>
    <xdr:sp macro="" textlink="">
      <xdr:nvSpPr>
        <xdr:cNvPr id="592" name="AutoShape 1">
          <a:extLst>
            <a:ext uri="{FF2B5EF4-FFF2-40B4-BE49-F238E27FC236}">
              <a16:creationId xmlns:a16="http://schemas.microsoft.com/office/drawing/2014/main" id="{4C7B87ED-7087-437D-A737-1EED1C69203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468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444</xdr:row>
      <xdr:rowOff>0</xdr:rowOff>
    </xdr:from>
    <xdr:ext cx="304800" cy="304800"/>
    <xdr:sp macro="" textlink="">
      <xdr:nvSpPr>
        <xdr:cNvPr id="593" name="AutoShape 1">
          <a:extLst>
            <a:ext uri="{FF2B5EF4-FFF2-40B4-BE49-F238E27FC236}">
              <a16:creationId xmlns:a16="http://schemas.microsoft.com/office/drawing/2014/main" id="{BA8ABF5F-A6A7-4158-BBAC-5646DD96062F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468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444</xdr:row>
      <xdr:rowOff>0</xdr:rowOff>
    </xdr:from>
    <xdr:ext cx="304800" cy="304800"/>
    <xdr:sp macro="" textlink="">
      <xdr:nvSpPr>
        <xdr:cNvPr id="594" name="AutoShape 1">
          <a:extLst>
            <a:ext uri="{FF2B5EF4-FFF2-40B4-BE49-F238E27FC236}">
              <a16:creationId xmlns:a16="http://schemas.microsoft.com/office/drawing/2014/main" id="{9FAD9937-039B-4B3C-A64A-CF267C8D6B4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468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444</xdr:row>
      <xdr:rowOff>0</xdr:rowOff>
    </xdr:from>
    <xdr:ext cx="304800" cy="304800"/>
    <xdr:sp macro="" textlink="">
      <xdr:nvSpPr>
        <xdr:cNvPr id="595" name="AutoShape 1">
          <a:extLst>
            <a:ext uri="{FF2B5EF4-FFF2-40B4-BE49-F238E27FC236}">
              <a16:creationId xmlns:a16="http://schemas.microsoft.com/office/drawing/2014/main" id="{72276E93-1D02-48D5-A4A5-1F5B2E749D8B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468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444</xdr:row>
      <xdr:rowOff>0</xdr:rowOff>
    </xdr:from>
    <xdr:ext cx="304800" cy="304800"/>
    <xdr:sp macro="" textlink="">
      <xdr:nvSpPr>
        <xdr:cNvPr id="596" name="AutoShape 1">
          <a:extLst>
            <a:ext uri="{FF2B5EF4-FFF2-40B4-BE49-F238E27FC236}">
              <a16:creationId xmlns:a16="http://schemas.microsoft.com/office/drawing/2014/main" id="{ECE1B929-3E9B-4C71-A4A9-F238CB1DEC62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468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444</xdr:row>
      <xdr:rowOff>0</xdr:rowOff>
    </xdr:from>
    <xdr:ext cx="304800" cy="304800"/>
    <xdr:sp macro="" textlink="">
      <xdr:nvSpPr>
        <xdr:cNvPr id="597" name="AutoShape 1">
          <a:extLst>
            <a:ext uri="{FF2B5EF4-FFF2-40B4-BE49-F238E27FC236}">
              <a16:creationId xmlns:a16="http://schemas.microsoft.com/office/drawing/2014/main" id="{19D7EC4A-59C9-42CF-AE5C-B062FE5C196F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468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444</xdr:row>
      <xdr:rowOff>0</xdr:rowOff>
    </xdr:from>
    <xdr:ext cx="304800" cy="304800"/>
    <xdr:sp macro="" textlink="">
      <xdr:nvSpPr>
        <xdr:cNvPr id="598" name="AutoShape 1">
          <a:extLst>
            <a:ext uri="{FF2B5EF4-FFF2-40B4-BE49-F238E27FC236}">
              <a16:creationId xmlns:a16="http://schemas.microsoft.com/office/drawing/2014/main" id="{EAE5C74B-C81B-4AB3-8BA7-82B202A06894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468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444</xdr:row>
      <xdr:rowOff>0</xdr:rowOff>
    </xdr:from>
    <xdr:ext cx="304800" cy="304800"/>
    <xdr:sp macro="" textlink="">
      <xdr:nvSpPr>
        <xdr:cNvPr id="599" name="AutoShape 1">
          <a:extLst>
            <a:ext uri="{FF2B5EF4-FFF2-40B4-BE49-F238E27FC236}">
              <a16:creationId xmlns:a16="http://schemas.microsoft.com/office/drawing/2014/main" id="{BF52608D-394A-42C1-85A6-FA78AACB24A3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468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444</xdr:row>
      <xdr:rowOff>0</xdr:rowOff>
    </xdr:from>
    <xdr:ext cx="304800" cy="304800"/>
    <xdr:sp macro="" textlink="">
      <xdr:nvSpPr>
        <xdr:cNvPr id="600" name="AutoShape 1">
          <a:extLst>
            <a:ext uri="{FF2B5EF4-FFF2-40B4-BE49-F238E27FC236}">
              <a16:creationId xmlns:a16="http://schemas.microsoft.com/office/drawing/2014/main" id="{AB3A9138-AF52-4917-8C20-798752473FE8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468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444</xdr:row>
      <xdr:rowOff>0</xdr:rowOff>
    </xdr:from>
    <xdr:ext cx="304800" cy="304800"/>
    <xdr:sp macro="" textlink="">
      <xdr:nvSpPr>
        <xdr:cNvPr id="601" name="AutoShape 1">
          <a:extLst>
            <a:ext uri="{FF2B5EF4-FFF2-40B4-BE49-F238E27FC236}">
              <a16:creationId xmlns:a16="http://schemas.microsoft.com/office/drawing/2014/main" id="{BEC23618-D5B6-483E-9F4B-C871152280A9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468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444</xdr:row>
      <xdr:rowOff>0</xdr:rowOff>
    </xdr:from>
    <xdr:ext cx="304800" cy="304800"/>
    <xdr:sp macro="" textlink="">
      <xdr:nvSpPr>
        <xdr:cNvPr id="602" name="AutoShape 1">
          <a:extLst>
            <a:ext uri="{FF2B5EF4-FFF2-40B4-BE49-F238E27FC236}">
              <a16:creationId xmlns:a16="http://schemas.microsoft.com/office/drawing/2014/main" id="{6D833FB0-B07F-4EEF-B8E6-D8FE0A81DEC1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468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444</xdr:row>
      <xdr:rowOff>0</xdr:rowOff>
    </xdr:from>
    <xdr:ext cx="304800" cy="304800"/>
    <xdr:sp macro="" textlink="">
      <xdr:nvSpPr>
        <xdr:cNvPr id="603" name="AutoShape 1">
          <a:extLst>
            <a:ext uri="{FF2B5EF4-FFF2-40B4-BE49-F238E27FC236}">
              <a16:creationId xmlns:a16="http://schemas.microsoft.com/office/drawing/2014/main" id="{A3268C93-89C6-4B22-9BFC-72CF1E628A89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468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444</xdr:row>
      <xdr:rowOff>0</xdr:rowOff>
    </xdr:from>
    <xdr:ext cx="304800" cy="304800"/>
    <xdr:sp macro="" textlink="">
      <xdr:nvSpPr>
        <xdr:cNvPr id="604" name="AutoShape 1">
          <a:extLst>
            <a:ext uri="{FF2B5EF4-FFF2-40B4-BE49-F238E27FC236}">
              <a16:creationId xmlns:a16="http://schemas.microsoft.com/office/drawing/2014/main" id="{F21E52AD-F700-47E3-859A-76EA05B854A0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468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444</xdr:row>
      <xdr:rowOff>0</xdr:rowOff>
    </xdr:from>
    <xdr:ext cx="304800" cy="304800"/>
    <xdr:sp macro="" textlink="">
      <xdr:nvSpPr>
        <xdr:cNvPr id="605" name="AutoShape 1">
          <a:extLst>
            <a:ext uri="{FF2B5EF4-FFF2-40B4-BE49-F238E27FC236}">
              <a16:creationId xmlns:a16="http://schemas.microsoft.com/office/drawing/2014/main" id="{213A9536-63AE-418E-AB11-5923CEFC83E3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468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444</xdr:row>
      <xdr:rowOff>0</xdr:rowOff>
    </xdr:from>
    <xdr:ext cx="304800" cy="304800"/>
    <xdr:sp macro="" textlink="">
      <xdr:nvSpPr>
        <xdr:cNvPr id="606" name="AutoShape 1">
          <a:extLst>
            <a:ext uri="{FF2B5EF4-FFF2-40B4-BE49-F238E27FC236}">
              <a16:creationId xmlns:a16="http://schemas.microsoft.com/office/drawing/2014/main" id="{2FCA610A-DA47-4819-8C54-B2B9C121FACF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468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444</xdr:row>
      <xdr:rowOff>0</xdr:rowOff>
    </xdr:from>
    <xdr:ext cx="304800" cy="304800"/>
    <xdr:sp macro="" textlink="">
      <xdr:nvSpPr>
        <xdr:cNvPr id="607" name="AutoShape 1">
          <a:extLst>
            <a:ext uri="{FF2B5EF4-FFF2-40B4-BE49-F238E27FC236}">
              <a16:creationId xmlns:a16="http://schemas.microsoft.com/office/drawing/2014/main" id="{E520B919-E2EA-4892-B1F2-309396021769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468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444</xdr:row>
      <xdr:rowOff>0</xdr:rowOff>
    </xdr:from>
    <xdr:ext cx="304800" cy="304800"/>
    <xdr:sp macro="" textlink="">
      <xdr:nvSpPr>
        <xdr:cNvPr id="608" name="AutoShape 1">
          <a:extLst>
            <a:ext uri="{FF2B5EF4-FFF2-40B4-BE49-F238E27FC236}">
              <a16:creationId xmlns:a16="http://schemas.microsoft.com/office/drawing/2014/main" id="{C27C0CEC-D8A6-48BE-9992-48C52981E036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468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444</xdr:row>
      <xdr:rowOff>0</xdr:rowOff>
    </xdr:from>
    <xdr:ext cx="304800" cy="304800"/>
    <xdr:sp macro="" textlink="">
      <xdr:nvSpPr>
        <xdr:cNvPr id="609" name="AutoShape 1">
          <a:extLst>
            <a:ext uri="{FF2B5EF4-FFF2-40B4-BE49-F238E27FC236}">
              <a16:creationId xmlns:a16="http://schemas.microsoft.com/office/drawing/2014/main" id="{58F9B3F5-4DE4-4F15-89BA-4C3DF2F8DBDA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468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444</xdr:row>
      <xdr:rowOff>0</xdr:rowOff>
    </xdr:from>
    <xdr:ext cx="304800" cy="304800"/>
    <xdr:sp macro="" textlink="">
      <xdr:nvSpPr>
        <xdr:cNvPr id="610" name="AutoShape 1">
          <a:extLst>
            <a:ext uri="{FF2B5EF4-FFF2-40B4-BE49-F238E27FC236}">
              <a16:creationId xmlns:a16="http://schemas.microsoft.com/office/drawing/2014/main" id="{32AD7955-1D7A-4C36-A0B7-428AF8C16A37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468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444</xdr:row>
      <xdr:rowOff>0</xdr:rowOff>
    </xdr:from>
    <xdr:ext cx="304800" cy="304800"/>
    <xdr:sp macro="" textlink="">
      <xdr:nvSpPr>
        <xdr:cNvPr id="611" name="AutoShape 1">
          <a:extLst>
            <a:ext uri="{FF2B5EF4-FFF2-40B4-BE49-F238E27FC236}">
              <a16:creationId xmlns:a16="http://schemas.microsoft.com/office/drawing/2014/main" id="{514C3F93-6311-48DE-9ABE-F93AACE8DBD7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468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444</xdr:row>
      <xdr:rowOff>0</xdr:rowOff>
    </xdr:from>
    <xdr:ext cx="304800" cy="304800"/>
    <xdr:sp macro="" textlink="">
      <xdr:nvSpPr>
        <xdr:cNvPr id="612" name="AutoShape 1">
          <a:extLst>
            <a:ext uri="{FF2B5EF4-FFF2-40B4-BE49-F238E27FC236}">
              <a16:creationId xmlns:a16="http://schemas.microsoft.com/office/drawing/2014/main" id="{6EC92C9C-22B8-4E30-91E0-4D3DBDD90DAD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468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444</xdr:row>
      <xdr:rowOff>0</xdr:rowOff>
    </xdr:from>
    <xdr:ext cx="304800" cy="304800"/>
    <xdr:sp macro="" textlink="">
      <xdr:nvSpPr>
        <xdr:cNvPr id="613" name="AutoShape 1">
          <a:extLst>
            <a:ext uri="{FF2B5EF4-FFF2-40B4-BE49-F238E27FC236}">
              <a16:creationId xmlns:a16="http://schemas.microsoft.com/office/drawing/2014/main" id="{F5110FA1-70F4-43E5-A4CD-5C533205A635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468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444</xdr:row>
      <xdr:rowOff>0</xdr:rowOff>
    </xdr:from>
    <xdr:ext cx="304800" cy="304800"/>
    <xdr:sp macro="" textlink="">
      <xdr:nvSpPr>
        <xdr:cNvPr id="614" name="AutoShape 1">
          <a:extLst>
            <a:ext uri="{FF2B5EF4-FFF2-40B4-BE49-F238E27FC236}">
              <a16:creationId xmlns:a16="http://schemas.microsoft.com/office/drawing/2014/main" id="{F99076CF-D904-44E5-9198-71B5A536B1D6}"/>
            </a:ext>
            <a:ext uri="{147F2762-F138-4A5C-976F-8EAC2B608ADB}">
              <a16:predDERef xmlns:a16="http://schemas.microsoft.com/office/drawing/2014/main" pred="{A9C9C4DB-4B97-447C-9099-E87BCB3C537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468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444</xdr:row>
      <xdr:rowOff>0</xdr:rowOff>
    </xdr:from>
    <xdr:ext cx="304800" cy="304800"/>
    <xdr:sp macro="" textlink="">
      <xdr:nvSpPr>
        <xdr:cNvPr id="615" name="AutoShape 1">
          <a:extLst>
            <a:ext uri="{FF2B5EF4-FFF2-40B4-BE49-F238E27FC236}">
              <a16:creationId xmlns:a16="http://schemas.microsoft.com/office/drawing/2014/main" id="{E60A6F42-CEDF-4ACC-B216-6A3B09ED5C36}"/>
            </a:ext>
            <a:ext uri="{147F2762-F138-4A5C-976F-8EAC2B608ADB}">
              <a16:predDERef xmlns:a16="http://schemas.microsoft.com/office/drawing/2014/main" pred="{CD89554D-BD76-42AD-819A-278AD445B86E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468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469</xdr:row>
      <xdr:rowOff>0</xdr:rowOff>
    </xdr:from>
    <xdr:ext cx="304800" cy="304800"/>
    <xdr:sp macro="" textlink="">
      <xdr:nvSpPr>
        <xdr:cNvPr id="616" name="AutoShape 1">
          <a:extLst>
            <a:ext uri="{FF2B5EF4-FFF2-40B4-BE49-F238E27FC236}">
              <a16:creationId xmlns:a16="http://schemas.microsoft.com/office/drawing/2014/main" id="{3B552971-A8FB-4076-A902-9AC0982FA9D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952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469</xdr:row>
      <xdr:rowOff>0</xdr:rowOff>
    </xdr:from>
    <xdr:ext cx="304800" cy="304800"/>
    <xdr:sp macro="" textlink="">
      <xdr:nvSpPr>
        <xdr:cNvPr id="617" name="AutoShape 1">
          <a:extLst>
            <a:ext uri="{FF2B5EF4-FFF2-40B4-BE49-F238E27FC236}">
              <a16:creationId xmlns:a16="http://schemas.microsoft.com/office/drawing/2014/main" id="{511A82E2-CB8A-4B95-BBDE-3D671A3950D7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952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618" name="AutoShape 1">
          <a:extLst>
            <a:ext uri="{FF2B5EF4-FFF2-40B4-BE49-F238E27FC236}">
              <a16:creationId xmlns:a16="http://schemas.microsoft.com/office/drawing/2014/main" id="{F8D220BB-925F-45FF-9910-6FE343A3238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619" name="AutoShape 1">
          <a:extLst>
            <a:ext uri="{FF2B5EF4-FFF2-40B4-BE49-F238E27FC236}">
              <a16:creationId xmlns:a16="http://schemas.microsoft.com/office/drawing/2014/main" id="{CCE95BAA-279F-447A-9F16-6694A949CA3C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620" name="AutoShape 1">
          <a:extLst>
            <a:ext uri="{FF2B5EF4-FFF2-40B4-BE49-F238E27FC236}">
              <a16:creationId xmlns:a16="http://schemas.microsoft.com/office/drawing/2014/main" id="{EF84EAE7-E6B5-4436-8A5B-1E9AEEAAC4E6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621" name="AutoShape 1">
          <a:extLst>
            <a:ext uri="{FF2B5EF4-FFF2-40B4-BE49-F238E27FC236}">
              <a16:creationId xmlns:a16="http://schemas.microsoft.com/office/drawing/2014/main" id="{3B37B741-17BD-4AB2-9B07-FFC8650C29D3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622" name="AutoShape 1">
          <a:extLst>
            <a:ext uri="{FF2B5EF4-FFF2-40B4-BE49-F238E27FC236}">
              <a16:creationId xmlns:a16="http://schemas.microsoft.com/office/drawing/2014/main" id="{383E859C-DBA2-4FC8-A325-A8DD3BCDF4E7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623" name="AutoShape 1">
          <a:extLst>
            <a:ext uri="{FF2B5EF4-FFF2-40B4-BE49-F238E27FC236}">
              <a16:creationId xmlns:a16="http://schemas.microsoft.com/office/drawing/2014/main" id="{0FE69768-B89D-449A-9764-5372089A76A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624" name="AutoShape 1">
          <a:extLst>
            <a:ext uri="{FF2B5EF4-FFF2-40B4-BE49-F238E27FC236}">
              <a16:creationId xmlns:a16="http://schemas.microsoft.com/office/drawing/2014/main" id="{7FE798E0-A1F7-4497-8D62-5F636574E6B1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625" name="AutoShape 1">
          <a:extLst>
            <a:ext uri="{FF2B5EF4-FFF2-40B4-BE49-F238E27FC236}">
              <a16:creationId xmlns:a16="http://schemas.microsoft.com/office/drawing/2014/main" id="{D403D2A5-E86A-46FD-AF9F-2A56367BF657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626" name="AutoShape 1">
          <a:extLst>
            <a:ext uri="{FF2B5EF4-FFF2-40B4-BE49-F238E27FC236}">
              <a16:creationId xmlns:a16="http://schemas.microsoft.com/office/drawing/2014/main" id="{14B895A8-3B9E-4439-BA37-170651BD8E1B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627" name="AutoShape 1">
          <a:extLst>
            <a:ext uri="{FF2B5EF4-FFF2-40B4-BE49-F238E27FC236}">
              <a16:creationId xmlns:a16="http://schemas.microsoft.com/office/drawing/2014/main" id="{4965C089-40F7-40F4-BE5C-95E8805EE3A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628" name="AutoShape 1">
          <a:extLst>
            <a:ext uri="{FF2B5EF4-FFF2-40B4-BE49-F238E27FC236}">
              <a16:creationId xmlns:a16="http://schemas.microsoft.com/office/drawing/2014/main" id="{F43DDC6B-3A21-403B-AF26-C8D420742267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629" name="AutoShape 1">
          <a:extLst>
            <a:ext uri="{FF2B5EF4-FFF2-40B4-BE49-F238E27FC236}">
              <a16:creationId xmlns:a16="http://schemas.microsoft.com/office/drawing/2014/main" id="{FC18807A-0FA5-45DD-89B5-2C730848FB5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630" name="AutoShape 1">
          <a:extLst>
            <a:ext uri="{FF2B5EF4-FFF2-40B4-BE49-F238E27FC236}">
              <a16:creationId xmlns:a16="http://schemas.microsoft.com/office/drawing/2014/main" id="{F3DD8A2D-D4B5-4D45-BB06-A920A746EB07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631" name="AutoShape 1">
          <a:extLst>
            <a:ext uri="{FF2B5EF4-FFF2-40B4-BE49-F238E27FC236}">
              <a16:creationId xmlns:a16="http://schemas.microsoft.com/office/drawing/2014/main" id="{C3BFF7B7-5E1E-4DD1-8487-66F839D29F3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632" name="AutoShape 1">
          <a:extLst>
            <a:ext uri="{FF2B5EF4-FFF2-40B4-BE49-F238E27FC236}">
              <a16:creationId xmlns:a16="http://schemas.microsoft.com/office/drawing/2014/main" id="{E8295704-0136-4963-AD64-F1727C674779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633" name="AutoShape 1">
          <a:extLst>
            <a:ext uri="{FF2B5EF4-FFF2-40B4-BE49-F238E27FC236}">
              <a16:creationId xmlns:a16="http://schemas.microsoft.com/office/drawing/2014/main" id="{3F56DF49-D48C-4515-AC7F-401EB652CF1B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634" name="AutoShape 1">
          <a:extLst>
            <a:ext uri="{FF2B5EF4-FFF2-40B4-BE49-F238E27FC236}">
              <a16:creationId xmlns:a16="http://schemas.microsoft.com/office/drawing/2014/main" id="{DB9ADD53-3E20-4E59-AE1C-A5095D393838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635" name="AutoShape 1">
          <a:extLst>
            <a:ext uri="{FF2B5EF4-FFF2-40B4-BE49-F238E27FC236}">
              <a16:creationId xmlns:a16="http://schemas.microsoft.com/office/drawing/2014/main" id="{27A74767-B697-4928-9D9C-B771DDE4A77D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636" name="AutoShape 1">
          <a:extLst>
            <a:ext uri="{FF2B5EF4-FFF2-40B4-BE49-F238E27FC236}">
              <a16:creationId xmlns:a16="http://schemas.microsoft.com/office/drawing/2014/main" id="{4A6E75AD-1B81-437B-8D71-3A682DE3D353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637" name="AutoShape 1">
          <a:extLst>
            <a:ext uri="{FF2B5EF4-FFF2-40B4-BE49-F238E27FC236}">
              <a16:creationId xmlns:a16="http://schemas.microsoft.com/office/drawing/2014/main" id="{E6A61A18-EDA0-4EA7-8CA3-547500C74C3B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638" name="AutoShape 1">
          <a:extLst>
            <a:ext uri="{FF2B5EF4-FFF2-40B4-BE49-F238E27FC236}">
              <a16:creationId xmlns:a16="http://schemas.microsoft.com/office/drawing/2014/main" id="{AF947839-0AF6-40B8-BE8B-C8FFD906149B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639" name="AutoShape 1">
          <a:extLst>
            <a:ext uri="{FF2B5EF4-FFF2-40B4-BE49-F238E27FC236}">
              <a16:creationId xmlns:a16="http://schemas.microsoft.com/office/drawing/2014/main" id="{741D3F97-9DBE-499E-AC1F-5107EED26922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640" name="AutoShape 1">
          <a:extLst>
            <a:ext uri="{FF2B5EF4-FFF2-40B4-BE49-F238E27FC236}">
              <a16:creationId xmlns:a16="http://schemas.microsoft.com/office/drawing/2014/main" id="{9EF247E2-A658-4C4D-B825-9E6E8ED852A8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641" name="AutoShape 1">
          <a:extLst>
            <a:ext uri="{FF2B5EF4-FFF2-40B4-BE49-F238E27FC236}">
              <a16:creationId xmlns:a16="http://schemas.microsoft.com/office/drawing/2014/main" id="{E36A5FFC-6910-4261-8C1C-F2CE3D3EFB66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642" name="AutoShape 1">
          <a:extLst>
            <a:ext uri="{FF2B5EF4-FFF2-40B4-BE49-F238E27FC236}">
              <a16:creationId xmlns:a16="http://schemas.microsoft.com/office/drawing/2014/main" id="{23304B47-7EF5-4B2E-A248-0EABDAF17C5C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643" name="AutoShape 1">
          <a:extLst>
            <a:ext uri="{FF2B5EF4-FFF2-40B4-BE49-F238E27FC236}">
              <a16:creationId xmlns:a16="http://schemas.microsoft.com/office/drawing/2014/main" id="{F5B969B9-7A2C-416A-823F-8DCC6C428129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644" name="AutoShape 1">
          <a:extLst>
            <a:ext uri="{FF2B5EF4-FFF2-40B4-BE49-F238E27FC236}">
              <a16:creationId xmlns:a16="http://schemas.microsoft.com/office/drawing/2014/main" id="{D03D617A-D46C-4370-9C9F-3246E8A96229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645" name="AutoShape 1">
          <a:extLst>
            <a:ext uri="{FF2B5EF4-FFF2-40B4-BE49-F238E27FC236}">
              <a16:creationId xmlns:a16="http://schemas.microsoft.com/office/drawing/2014/main" id="{588B570A-2C52-430D-958E-8E9B077DFB4E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646" name="AutoShape 1">
          <a:extLst>
            <a:ext uri="{FF2B5EF4-FFF2-40B4-BE49-F238E27FC236}">
              <a16:creationId xmlns:a16="http://schemas.microsoft.com/office/drawing/2014/main" id="{8E7AD302-DE69-4B93-970A-654BEA36FF71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647" name="AutoShape 1">
          <a:extLst>
            <a:ext uri="{FF2B5EF4-FFF2-40B4-BE49-F238E27FC236}">
              <a16:creationId xmlns:a16="http://schemas.microsoft.com/office/drawing/2014/main" id="{CBF06679-A3D7-452F-8ADD-0B7778E4C336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648" name="AutoShape 1">
          <a:extLst>
            <a:ext uri="{FF2B5EF4-FFF2-40B4-BE49-F238E27FC236}">
              <a16:creationId xmlns:a16="http://schemas.microsoft.com/office/drawing/2014/main" id="{88C6E16F-C51A-45BA-9C22-A1DD2B6621CA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649" name="AutoShape 1">
          <a:extLst>
            <a:ext uri="{FF2B5EF4-FFF2-40B4-BE49-F238E27FC236}">
              <a16:creationId xmlns:a16="http://schemas.microsoft.com/office/drawing/2014/main" id="{525BE4A5-13CF-4871-9420-9FD8F44BE2A8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650" name="AutoShape 1">
          <a:extLst>
            <a:ext uri="{FF2B5EF4-FFF2-40B4-BE49-F238E27FC236}">
              <a16:creationId xmlns:a16="http://schemas.microsoft.com/office/drawing/2014/main" id="{11D395AC-909E-45CB-820E-A8ECC2EC08CD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651" name="AutoShape 1">
          <a:extLst>
            <a:ext uri="{FF2B5EF4-FFF2-40B4-BE49-F238E27FC236}">
              <a16:creationId xmlns:a16="http://schemas.microsoft.com/office/drawing/2014/main" id="{752285EA-D0B2-4FBE-8BF6-2AACD5D87AD7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652" name="AutoShape 1">
          <a:extLst>
            <a:ext uri="{FF2B5EF4-FFF2-40B4-BE49-F238E27FC236}">
              <a16:creationId xmlns:a16="http://schemas.microsoft.com/office/drawing/2014/main" id="{A7EF133D-1C6D-4E08-A9E1-C79901AC924D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653" name="AutoShape 1">
          <a:extLst>
            <a:ext uri="{FF2B5EF4-FFF2-40B4-BE49-F238E27FC236}">
              <a16:creationId xmlns:a16="http://schemas.microsoft.com/office/drawing/2014/main" id="{5A6093CC-A7FE-4824-A431-92573CF67311}"/>
            </a:ext>
            <a:ext uri="{147F2762-F138-4A5C-976F-8EAC2B608ADB}">
              <a16:predDERef xmlns:a16="http://schemas.microsoft.com/office/drawing/2014/main" pred="{A9C9C4DB-4B97-447C-9099-E87BCB3C537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654" name="AutoShape 1">
          <a:extLst>
            <a:ext uri="{FF2B5EF4-FFF2-40B4-BE49-F238E27FC236}">
              <a16:creationId xmlns:a16="http://schemas.microsoft.com/office/drawing/2014/main" id="{2DAB5E35-7ADE-4080-808A-C88E4008C0C1}"/>
            </a:ext>
            <a:ext uri="{147F2762-F138-4A5C-976F-8EAC2B608ADB}">
              <a16:predDERef xmlns:a16="http://schemas.microsoft.com/office/drawing/2014/main" pred="{CD89554D-BD76-42AD-819A-278AD445B86E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655" name="AutoShape 1">
          <a:extLst>
            <a:ext uri="{FF2B5EF4-FFF2-40B4-BE49-F238E27FC236}">
              <a16:creationId xmlns:a16="http://schemas.microsoft.com/office/drawing/2014/main" id="{16154CD6-5B41-4256-BDDE-C162D5C169E9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656" name="AutoShape 1">
          <a:extLst>
            <a:ext uri="{FF2B5EF4-FFF2-40B4-BE49-F238E27FC236}">
              <a16:creationId xmlns:a16="http://schemas.microsoft.com/office/drawing/2014/main" id="{CB922F3E-9B26-4588-A9AA-692DEDC2C51F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657" name="AutoShape 1">
          <a:extLst>
            <a:ext uri="{FF2B5EF4-FFF2-40B4-BE49-F238E27FC236}">
              <a16:creationId xmlns:a16="http://schemas.microsoft.com/office/drawing/2014/main" id="{849232F9-0306-476F-9969-2D20A7655474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658" name="AutoShape 1">
          <a:extLst>
            <a:ext uri="{FF2B5EF4-FFF2-40B4-BE49-F238E27FC236}">
              <a16:creationId xmlns:a16="http://schemas.microsoft.com/office/drawing/2014/main" id="{5A2B7F40-49F5-4368-AC9A-DE141B15063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659" name="AutoShape 1">
          <a:extLst>
            <a:ext uri="{FF2B5EF4-FFF2-40B4-BE49-F238E27FC236}">
              <a16:creationId xmlns:a16="http://schemas.microsoft.com/office/drawing/2014/main" id="{E5C60E67-F20C-47A7-B994-E00705A6036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660" name="AutoShape 1">
          <a:extLst>
            <a:ext uri="{FF2B5EF4-FFF2-40B4-BE49-F238E27FC236}">
              <a16:creationId xmlns:a16="http://schemas.microsoft.com/office/drawing/2014/main" id="{55D57962-21B9-4652-BBD8-75F463D44CC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661" name="AutoShape 1">
          <a:extLst>
            <a:ext uri="{FF2B5EF4-FFF2-40B4-BE49-F238E27FC236}">
              <a16:creationId xmlns:a16="http://schemas.microsoft.com/office/drawing/2014/main" id="{CF79EE19-0894-45BA-92D7-7ACA8F73A5D4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662" name="AutoShape 1">
          <a:extLst>
            <a:ext uri="{FF2B5EF4-FFF2-40B4-BE49-F238E27FC236}">
              <a16:creationId xmlns:a16="http://schemas.microsoft.com/office/drawing/2014/main" id="{32B3D720-7290-4E6C-A43F-D55BFF28588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663" name="AutoShape 1">
          <a:extLst>
            <a:ext uri="{FF2B5EF4-FFF2-40B4-BE49-F238E27FC236}">
              <a16:creationId xmlns:a16="http://schemas.microsoft.com/office/drawing/2014/main" id="{2750AB53-D435-4223-AB43-7095D1B6A34A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664" name="AutoShape 1">
          <a:extLst>
            <a:ext uri="{FF2B5EF4-FFF2-40B4-BE49-F238E27FC236}">
              <a16:creationId xmlns:a16="http://schemas.microsoft.com/office/drawing/2014/main" id="{D1E6C993-ED51-4F3F-9C17-3ECE87DC4F0A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665" name="AutoShape 1">
          <a:extLst>
            <a:ext uri="{FF2B5EF4-FFF2-40B4-BE49-F238E27FC236}">
              <a16:creationId xmlns:a16="http://schemas.microsoft.com/office/drawing/2014/main" id="{481DC027-CFEC-425A-8762-FCDF5123FF43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666" name="AutoShape 1">
          <a:extLst>
            <a:ext uri="{FF2B5EF4-FFF2-40B4-BE49-F238E27FC236}">
              <a16:creationId xmlns:a16="http://schemas.microsoft.com/office/drawing/2014/main" id="{981EBB6E-1D3E-4E5E-B1A6-6C51DE37AC4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667" name="AutoShape 1">
          <a:extLst>
            <a:ext uri="{FF2B5EF4-FFF2-40B4-BE49-F238E27FC236}">
              <a16:creationId xmlns:a16="http://schemas.microsoft.com/office/drawing/2014/main" id="{84E435BA-0268-4D7E-BB3F-913D70991036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668" name="AutoShape 1">
          <a:extLst>
            <a:ext uri="{FF2B5EF4-FFF2-40B4-BE49-F238E27FC236}">
              <a16:creationId xmlns:a16="http://schemas.microsoft.com/office/drawing/2014/main" id="{D09448F8-2958-4C97-93B7-67F8D4B0976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669" name="AutoShape 1">
          <a:extLst>
            <a:ext uri="{FF2B5EF4-FFF2-40B4-BE49-F238E27FC236}">
              <a16:creationId xmlns:a16="http://schemas.microsoft.com/office/drawing/2014/main" id="{5487FFF4-0F44-4620-957B-8B946DFF39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670" name="AutoShape 1">
          <a:extLst>
            <a:ext uri="{FF2B5EF4-FFF2-40B4-BE49-F238E27FC236}">
              <a16:creationId xmlns:a16="http://schemas.microsoft.com/office/drawing/2014/main" id="{9B0ED44A-94FA-49B0-9A24-27C043922DAF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671" name="AutoShape 1">
          <a:extLst>
            <a:ext uri="{FF2B5EF4-FFF2-40B4-BE49-F238E27FC236}">
              <a16:creationId xmlns:a16="http://schemas.microsoft.com/office/drawing/2014/main" id="{131C7BC5-F873-4F38-867D-9D466D14833E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672" name="AutoShape 1">
          <a:extLst>
            <a:ext uri="{FF2B5EF4-FFF2-40B4-BE49-F238E27FC236}">
              <a16:creationId xmlns:a16="http://schemas.microsoft.com/office/drawing/2014/main" id="{B9B6F9D8-924B-4D13-A904-137DA22E5A98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673" name="AutoShape 1">
          <a:extLst>
            <a:ext uri="{FF2B5EF4-FFF2-40B4-BE49-F238E27FC236}">
              <a16:creationId xmlns:a16="http://schemas.microsoft.com/office/drawing/2014/main" id="{16082CBC-0CC7-4C71-8BAF-5D62C82EEBC4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674" name="AutoShape 1">
          <a:extLst>
            <a:ext uri="{FF2B5EF4-FFF2-40B4-BE49-F238E27FC236}">
              <a16:creationId xmlns:a16="http://schemas.microsoft.com/office/drawing/2014/main" id="{B77B01DA-30A1-49B8-AA24-0241E9157AC2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675" name="AutoShape 1">
          <a:extLst>
            <a:ext uri="{FF2B5EF4-FFF2-40B4-BE49-F238E27FC236}">
              <a16:creationId xmlns:a16="http://schemas.microsoft.com/office/drawing/2014/main" id="{76AD588F-52ED-4578-B97C-A8E3D070EE4B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676" name="AutoShape 1">
          <a:extLst>
            <a:ext uri="{FF2B5EF4-FFF2-40B4-BE49-F238E27FC236}">
              <a16:creationId xmlns:a16="http://schemas.microsoft.com/office/drawing/2014/main" id="{B98C4E93-345D-4B15-ABDA-4E0782A38684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677" name="AutoShape 1">
          <a:extLst>
            <a:ext uri="{FF2B5EF4-FFF2-40B4-BE49-F238E27FC236}">
              <a16:creationId xmlns:a16="http://schemas.microsoft.com/office/drawing/2014/main" id="{7B2F06FC-EF93-4EBD-B09A-B099A93CC072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678" name="AutoShape 1">
          <a:extLst>
            <a:ext uri="{FF2B5EF4-FFF2-40B4-BE49-F238E27FC236}">
              <a16:creationId xmlns:a16="http://schemas.microsoft.com/office/drawing/2014/main" id="{53A338D9-F77D-462E-B208-295EDA4B2B8C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679" name="AutoShape 1">
          <a:extLst>
            <a:ext uri="{FF2B5EF4-FFF2-40B4-BE49-F238E27FC236}">
              <a16:creationId xmlns:a16="http://schemas.microsoft.com/office/drawing/2014/main" id="{9027F36F-2622-44DD-BBDC-5B87C7B2FB67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680" name="AutoShape 1">
          <a:extLst>
            <a:ext uri="{FF2B5EF4-FFF2-40B4-BE49-F238E27FC236}">
              <a16:creationId xmlns:a16="http://schemas.microsoft.com/office/drawing/2014/main" id="{81F76D65-13B0-484D-885D-64097ADB68A7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681" name="AutoShape 1">
          <a:extLst>
            <a:ext uri="{FF2B5EF4-FFF2-40B4-BE49-F238E27FC236}">
              <a16:creationId xmlns:a16="http://schemas.microsoft.com/office/drawing/2014/main" id="{747501BC-1BA5-40F6-9633-864F91D59B39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682" name="AutoShape 1">
          <a:extLst>
            <a:ext uri="{FF2B5EF4-FFF2-40B4-BE49-F238E27FC236}">
              <a16:creationId xmlns:a16="http://schemas.microsoft.com/office/drawing/2014/main" id="{12B3FF73-531E-4BBC-8C86-4999BEBC4AEF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683" name="AutoShape 1">
          <a:extLst>
            <a:ext uri="{FF2B5EF4-FFF2-40B4-BE49-F238E27FC236}">
              <a16:creationId xmlns:a16="http://schemas.microsoft.com/office/drawing/2014/main" id="{99DF35F6-C732-4A49-9D39-0205B197AC7B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684" name="AutoShape 1">
          <a:extLst>
            <a:ext uri="{FF2B5EF4-FFF2-40B4-BE49-F238E27FC236}">
              <a16:creationId xmlns:a16="http://schemas.microsoft.com/office/drawing/2014/main" id="{C4A493FF-672F-4F7E-8CED-44F03E32EB47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685" name="AutoShape 1">
          <a:extLst>
            <a:ext uri="{FF2B5EF4-FFF2-40B4-BE49-F238E27FC236}">
              <a16:creationId xmlns:a16="http://schemas.microsoft.com/office/drawing/2014/main" id="{629CDCE6-6C98-4A18-824E-2C336A1641BC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686" name="AutoShape 1">
          <a:extLst>
            <a:ext uri="{FF2B5EF4-FFF2-40B4-BE49-F238E27FC236}">
              <a16:creationId xmlns:a16="http://schemas.microsoft.com/office/drawing/2014/main" id="{1262E5AB-6A54-4822-A656-5B5FD3F72810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687" name="AutoShape 1">
          <a:extLst>
            <a:ext uri="{FF2B5EF4-FFF2-40B4-BE49-F238E27FC236}">
              <a16:creationId xmlns:a16="http://schemas.microsoft.com/office/drawing/2014/main" id="{70D3CB92-5979-4AEE-958C-7DD3ECDFBF4B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688" name="AutoShape 1">
          <a:extLst>
            <a:ext uri="{FF2B5EF4-FFF2-40B4-BE49-F238E27FC236}">
              <a16:creationId xmlns:a16="http://schemas.microsoft.com/office/drawing/2014/main" id="{6E15C428-08F8-4BEB-A00F-5BBE082B6215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689" name="AutoShape 1">
          <a:extLst>
            <a:ext uri="{FF2B5EF4-FFF2-40B4-BE49-F238E27FC236}">
              <a16:creationId xmlns:a16="http://schemas.microsoft.com/office/drawing/2014/main" id="{B33E2805-EA48-4AC3-B2D8-149AAEBFCE44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690" name="AutoShape 1">
          <a:extLst>
            <a:ext uri="{FF2B5EF4-FFF2-40B4-BE49-F238E27FC236}">
              <a16:creationId xmlns:a16="http://schemas.microsoft.com/office/drawing/2014/main" id="{E75F3BE6-B7A5-402C-AE32-69D5A112FE98}"/>
            </a:ext>
            <a:ext uri="{147F2762-F138-4A5C-976F-8EAC2B608ADB}">
              <a16:predDERef xmlns:a16="http://schemas.microsoft.com/office/drawing/2014/main" pred="{A9C9C4DB-4B97-447C-9099-E87BCB3C537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691" name="AutoShape 1">
          <a:extLst>
            <a:ext uri="{FF2B5EF4-FFF2-40B4-BE49-F238E27FC236}">
              <a16:creationId xmlns:a16="http://schemas.microsoft.com/office/drawing/2014/main" id="{EFA5B359-A774-4BD8-8333-AB7F51161D99}"/>
            </a:ext>
            <a:ext uri="{147F2762-F138-4A5C-976F-8EAC2B608ADB}">
              <a16:predDERef xmlns:a16="http://schemas.microsoft.com/office/drawing/2014/main" pred="{CD89554D-BD76-42AD-819A-278AD445B86E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692" name="AutoShape 1">
          <a:extLst>
            <a:ext uri="{FF2B5EF4-FFF2-40B4-BE49-F238E27FC236}">
              <a16:creationId xmlns:a16="http://schemas.microsoft.com/office/drawing/2014/main" id="{183E10F8-C406-4E17-BF15-54BED783E96B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693" name="AutoShape 1">
          <a:extLst>
            <a:ext uri="{FF2B5EF4-FFF2-40B4-BE49-F238E27FC236}">
              <a16:creationId xmlns:a16="http://schemas.microsoft.com/office/drawing/2014/main" id="{EE763274-7453-4D8F-A4A2-37AA2EE71A4A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694" name="AutoShape 1">
          <a:extLst>
            <a:ext uri="{FF2B5EF4-FFF2-40B4-BE49-F238E27FC236}">
              <a16:creationId xmlns:a16="http://schemas.microsoft.com/office/drawing/2014/main" id="{C46D53B7-5C6B-45A7-8834-8143996C4A74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695" name="AutoShape 1">
          <a:extLst>
            <a:ext uri="{FF2B5EF4-FFF2-40B4-BE49-F238E27FC236}">
              <a16:creationId xmlns:a16="http://schemas.microsoft.com/office/drawing/2014/main" id="{636E9558-D9B0-4CE2-B9ED-02E0DAF1D821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696" name="AutoShape 1">
          <a:extLst>
            <a:ext uri="{FF2B5EF4-FFF2-40B4-BE49-F238E27FC236}">
              <a16:creationId xmlns:a16="http://schemas.microsoft.com/office/drawing/2014/main" id="{5CDC190D-E10B-4665-930B-A62978794221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697" name="AutoShape 1">
          <a:extLst>
            <a:ext uri="{FF2B5EF4-FFF2-40B4-BE49-F238E27FC236}">
              <a16:creationId xmlns:a16="http://schemas.microsoft.com/office/drawing/2014/main" id="{F485F73C-BB5D-4A31-8B7F-1DA04E2C0E0F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698" name="AutoShape 1">
          <a:extLst>
            <a:ext uri="{FF2B5EF4-FFF2-40B4-BE49-F238E27FC236}">
              <a16:creationId xmlns:a16="http://schemas.microsoft.com/office/drawing/2014/main" id="{A71E550D-CF95-46CF-ADE2-5169F37121C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699" name="AutoShape 1">
          <a:extLst>
            <a:ext uri="{FF2B5EF4-FFF2-40B4-BE49-F238E27FC236}">
              <a16:creationId xmlns:a16="http://schemas.microsoft.com/office/drawing/2014/main" id="{9BBA5CFE-F998-4783-9769-FCE1AAAB0619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700" name="AutoShape 1">
          <a:extLst>
            <a:ext uri="{FF2B5EF4-FFF2-40B4-BE49-F238E27FC236}">
              <a16:creationId xmlns:a16="http://schemas.microsoft.com/office/drawing/2014/main" id="{1BBFCA61-5E60-49B2-8B66-9F6770E26F4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701" name="AutoShape 1">
          <a:extLst>
            <a:ext uri="{FF2B5EF4-FFF2-40B4-BE49-F238E27FC236}">
              <a16:creationId xmlns:a16="http://schemas.microsoft.com/office/drawing/2014/main" id="{3A56A82B-FC11-4083-89CE-886A0F091CCA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702" name="AutoShape 1">
          <a:extLst>
            <a:ext uri="{FF2B5EF4-FFF2-40B4-BE49-F238E27FC236}">
              <a16:creationId xmlns:a16="http://schemas.microsoft.com/office/drawing/2014/main" id="{DAE182E2-F25C-43F9-AB93-70D091C5B254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703" name="AutoShape 1">
          <a:extLst>
            <a:ext uri="{FF2B5EF4-FFF2-40B4-BE49-F238E27FC236}">
              <a16:creationId xmlns:a16="http://schemas.microsoft.com/office/drawing/2014/main" id="{224111A5-C736-4528-A5E5-8D11B5F1ED11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704" name="AutoShape 1">
          <a:extLst>
            <a:ext uri="{FF2B5EF4-FFF2-40B4-BE49-F238E27FC236}">
              <a16:creationId xmlns:a16="http://schemas.microsoft.com/office/drawing/2014/main" id="{5EAD500A-E13A-47EB-8179-AFDC3E88F574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705" name="AutoShape 1">
          <a:extLst>
            <a:ext uri="{FF2B5EF4-FFF2-40B4-BE49-F238E27FC236}">
              <a16:creationId xmlns:a16="http://schemas.microsoft.com/office/drawing/2014/main" id="{CB23356E-FEC1-40D0-8084-0E82E63535F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706" name="AutoShape 1">
          <a:extLst>
            <a:ext uri="{FF2B5EF4-FFF2-40B4-BE49-F238E27FC236}">
              <a16:creationId xmlns:a16="http://schemas.microsoft.com/office/drawing/2014/main" id="{95D784D3-D1CB-404C-B450-C123FA842DDE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707" name="AutoShape 1">
          <a:extLst>
            <a:ext uri="{FF2B5EF4-FFF2-40B4-BE49-F238E27FC236}">
              <a16:creationId xmlns:a16="http://schemas.microsoft.com/office/drawing/2014/main" id="{9DF3C352-1826-4C97-9A55-5DFAB63DA3A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708" name="AutoShape 1">
          <a:extLst>
            <a:ext uri="{FF2B5EF4-FFF2-40B4-BE49-F238E27FC236}">
              <a16:creationId xmlns:a16="http://schemas.microsoft.com/office/drawing/2014/main" id="{5A57AB4C-260A-4348-937D-38E5AF2E659C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709" name="AutoShape 1">
          <a:extLst>
            <a:ext uri="{FF2B5EF4-FFF2-40B4-BE49-F238E27FC236}">
              <a16:creationId xmlns:a16="http://schemas.microsoft.com/office/drawing/2014/main" id="{CCC0D116-D78E-48FC-BB77-CEE811B43B86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710" name="AutoShape 1">
          <a:extLst>
            <a:ext uri="{FF2B5EF4-FFF2-40B4-BE49-F238E27FC236}">
              <a16:creationId xmlns:a16="http://schemas.microsoft.com/office/drawing/2014/main" id="{C603C27C-49AB-4AE0-9BD5-DC19F00F42E1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711" name="AutoShape 1">
          <a:extLst>
            <a:ext uri="{FF2B5EF4-FFF2-40B4-BE49-F238E27FC236}">
              <a16:creationId xmlns:a16="http://schemas.microsoft.com/office/drawing/2014/main" id="{3DA66909-0E91-487B-AF6D-CC370D8E3641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712" name="AutoShape 1">
          <a:extLst>
            <a:ext uri="{FF2B5EF4-FFF2-40B4-BE49-F238E27FC236}">
              <a16:creationId xmlns:a16="http://schemas.microsoft.com/office/drawing/2014/main" id="{ABF31820-BF8E-47CB-B9E8-D8BC7E1D61F7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713" name="AutoShape 1">
          <a:extLst>
            <a:ext uri="{FF2B5EF4-FFF2-40B4-BE49-F238E27FC236}">
              <a16:creationId xmlns:a16="http://schemas.microsoft.com/office/drawing/2014/main" id="{B45BAE94-C149-4864-8868-C7C42650BA1F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714" name="AutoShape 1">
          <a:extLst>
            <a:ext uri="{FF2B5EF4-FFF2-40B4-BE49-F238E27FC236}">
              <a16:creationId xmlns:a16="http://schemas.microsoft.com/office/drawing/2014/main" id="{A1217F7E-3D94-4874-ABD6-82E52CF3B7DB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715" name="AutoShape 1">
          <a:extLst>
            <a:ext uri="{FF2B5EF4-FFF2-40B4-BE49-F238E27FC236}">
              <a16:creationId xmlns:a16="http://schemas.microsoft.com/office/drawing/2014/main" id="{24217838-801E-46EC-8C79-2C5C40902028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716" name="AutoShape 1">
          <a:extLst>
            <a:ext uri="{FF2B5EF4-FFF2-40B4-BE49-F238E27FC236}">
              <a16:creationId xmlns:a16="http://schemas.microsoft.com/office/drawing/2014/main" id="{B2F1012E-7C7B-4E1D-B4DE-865A1CDF77AC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717" name="AutoShape 1">
          <a:extLst>
            <a:ext uri="{FF2B5EF4-FFF2-40B4-BE49-F238E27FC236}">
              <a16:creationId xmlns:a16="http://schemas.microsoft.com/office/drawing/2014/main" id="{812ED73B-49CF-42A9-8771-B63CF41A05B4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718" name="AutoShape 1">
          <a:extLst>
            <a:ext uri="{FF2B5EF4-FFF2-40B4-BE49-F238E27FC236}">
              <a16:creationId xmlns:a16="http://schemas.microsoft.com/office/drawing/2014/main" id="{C30744C8-9857-4064-8538-27FFFA47D735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719" name="AutoShape 1">
          <a:extLst>
            <a:ext uri="{FF2B5EF4-FFF2-40B4-BE49-F238E27FC236}">
              <a16:creationId xmlns:a16="http://schemas.microsoft.com/office/drawing/2014/main" id="{CF3BD5AD-8A86-4458-A04E-78B7A91873D1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720" name="AutoShape 1">
          <a:extLst>
            <a:ext uri="{FF2B5EF4-FFF2-40B4-BE49-F238E27FC236}">
              <a16:creationId xmlns:a16="http://schemas.microsoft.com/office/drawing/2014/main" id="{94C28623-8FFD-4735-A2A0-9E5350B3F69D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721" name="AutoShape 1">
          <a:extLst>
            <a:ext uri="{FF2B5EF4-FFF2-40B4-BE49-F238E27FC236}">
              <a16:creationId xmlns:a16="http://schemas.microsoft.com/office/drawing/2014/main" id="{966CAB06-72EB-4DF9-98F9-4C7EA86158AD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722" name="AutoShape 1">
          <a:extLst>
            <a:ext uri="{FF2B5EF4-FFF2-40B4-BE49-F238E27FC236}">
              <a16:creationId xmlns:a16="http://schemas.microsoft.com/office/drawing/2014/main" id="{8E4787D3-2443-48F9-B353-81E4C7E82989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723" name="AutoShape 1">
          <a:extLst>
            <a:ext uri="{FF2B5EF4-FFF2-40B4-BE49-F238E27FC236}">
              <a16:creationId xmlns:a16="http://schemas.microsoft.com/office/drawing/2014/main" id="{AAA879A5-B155-406B-BED5-B5318CE00F9A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724" name="AutoShape 1">
          <a:extLst>
            <a:ext uri="{FF2B5EF4-FFF2-40B4-BE49-F238E27FC236}">
              <a16:creationId xmlns:a16="http://schemas.microsoft.com/office/drawing/2014/main" id="{DD6B986B-2A7D-4A64-B00B-861896AC1964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725" name="AutoShape 1">
          <a:extLst>
            <a:ext uri="{FF2B5EF4-FFF2-40B4-BE49-F238E27FC236}">
              <a16:creationId xmlns:a16="http://schemas.microsoft.com/office/drawing/2014/main" id="{24A2FF88-2504-4775-A762-8D686B48B019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726" name="AutoShape 1">
          <a:extLst>
            <a:ext uri="{FF2B5EF4-FFF2-40B4-BE49-F238E27FC236}">
              <a16:creationId xmlns:a16="http://schemas.microsoft.com/office/drawing/2014/main" id="{889E7D9E-FCCD-4DFD-AB78-FD434FB0E807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727" name="AutoShape 1">
          <a:extLst>
            <a:ext uri="{FF2B5EF4-FFF2-40B4-BE49-F238E27FC236}">
              <a16:creationId xmlns:a16="http://schemas.microsoft.com/office/drawing/2014/main" id="{8201D135-A9AE-44A5-937D-75830E6C5AF0}"/>
            </a:ext>
            <a:ext uri="{147F2762-F138-4A5C-976F-8EAC2B608ADB}">
              <a16:predDERef xmlns:a16="http://schemas.microsoft.com/office/drawing/2014/main" pred="{A9C9C4DB-4B97-447C-9099-E87BCB3C537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728" name="AutoShape 1">
          <a:extLst>
            <a:ext uri="{FF2B5EF4-FFF2-40B4-BE49-F238E27FC236}">
              <a16:creationId xmlns:a16="http://schemas.microsoft.com/office/drawing/2014/main" id="{F440AA84-54BA-455E-B3CB-FDCBA5EDACCC}"/>
            </a:ext>
            <a:ext uri="{147F2762-F138-4A5C-976F-8EAC2B608ADB}">
              <a16:predDERef xmlns:a16="http://schemas.microsoft.com/office/drawing/2014/main" pred="{CD89554D-BD76-42AD-819A-278AD445B86E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729" name="AutoShape 1">
          <a:extLst>
            <a:ext uri="{FF2B5EF4-FFF2-40B4-BE49-F238E27FC236}">
              <a16:creationId xmlns:a16="http://schemas.microsoft.com/office/drawing/2014/main" id="{20654BDD-0144-408E-B6FE-4056A33C88FC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730" name="AutoShape 1">
          <a:extLst>
            <a:ext uri="{FF2B5EF4-FFF2-40B4-BE49-F238E27FC236}">
              <a16:creationId xmlns:a16="http://schemas.microsoft.com/office/drawing/2014/main" id="{CB785B0D-CE4B-46BD-A6C1-AAF6FBA4729B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731" name="AutoShape 1">
          <a:extLst>
            <a:ext uri="{FF2B5EF4-FFF2-40B4-BE49-F238E27FC236}">
              <a16:creationId xmlns:a16="http://schemas.microsoft.com/office/drawing/2014/main" id="{23446FF5-7365-4C1A-9640-0EDAA74A5CC9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732" name="AutoShape 1">
          <a:extLst>
            <a:ext uri="{FF2B5EF4-FFF2-40B4-BE49-F238E27FC236}">
              <a16:creationId xmlns:a16="http://schemas.microsoft.com/office/drawing/2014/main" id="{BE966BB5-BCAF-4770-91C6-775E1C2BC76C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733" name="AutoShape 1">
          <a:extLst>
            <a:ext uri="{FF2B5EF4-FFF2-40B4-BE49-F238E27FC236}">
              <a16:creationId xmlns:a16="http://schemas.microsoft.com/office/drawing/2014/main" id="{BF473100-A1AB-4076-9919-80BED757CBC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734" name="AutoShape 1">
          <a:extLst>
            <a:ext uri="{FF2B5EF4-FFF2-40B4-BE49-F238E27FC236}">
              <a16:creationId xmlns:a16="http://schemas.microsoft.com/office/drawing/2014/main" id="{DC8DADCE-3026-4AE3-A54C-22785BA0512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735" name="AutoShape 1">
          <a:extLst>
            <a:ext uri="{FF2B5EF4-FFF2-40B4-BE49-F238E27FC236}">
              <a16:creationId xmlns:a16="http://schemas.microsoft.com/office/drawing/2014/main" id="{1A3DA8B8-D590-4005-9BA8-D972C4A761D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736" name="AutoShape 1">
          <a:extLst>
            <a:ext uri="{FF2B5EF4-FFF2-40B4-BE49-F238E27FC236}">
              <a16:creationId xmlns:a16="http://schemas.microsoft.com/office/drawing/2014/main" id="{3D8A88CE-D18C-4731-AF17-6B23B01060D4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737" name="AutoShape 1">
          <a:extLst>
            <a:ext uri="{FF2B5EF4-FFF2-40B4-BE49-F238E27FC236}">
              <a16:creationId xmlns:a16="http://schemas.microsoft.com/office/drawing/2014/main" id="{435C4F2B-1E0F-453B-A19A-6D69B7B0C2AE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738" name="AutoShape 1">
          <a:extLst>
            <a:ext uri="{FF2B5EF4-FFF2-40B4-BE49-F238E27FC236}">
              <a16:creationId xmlns:a16="http://schemas.microsoft.com/office/drawing/2014/main" id="{90E7C173-C636-4517-AD4C-DF09F065002A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739" name="AutoShape 1">
          <a:extLst>
            <a:ext uri="{FF2B5EF4-FFF2-40B4-BE49-F238E27FC236}">
              <a16:creationId xmlns:a16="http://schemas.microsoft.com/office/drawing/2014/main" id="{87406C3A-ED2A-4DA3-B418-B2E510313C96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740" name="AutoShape 1">
          <a:extLst>
            <a:ext uri="{FF2B5EF4-FFF2-40B4-BE49-F238E27FC236}">
              <a16:creationId xmlns:a16="http://schemas.microsoft.com/office/drawing/2014/main" id="{BE314041-6EDD-41C3-97E6-782DF2060C1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741" name="AutoShape 1">
          <a:extLst>
            <a:ext uri="{FF2B5EF4-FFF2-40B4-BE49-F238E27FC236}">
              <a16:creationId xmlns:a16="http://schemas.microsoft.com/office/drawing/2014/main" id="{233E1554-7929-45AC-914F-53AD1F75F84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742" name="AutoShape 1">
          <a:extLst>
            <a:ext uri="{FF2B5EF4-FFF2-40B4-BE49-F238E27FC236}">
              <a16:creationId xmlns:a16="http://schemas.microsoft.com/office/drawing/2014/main" id="{C67BD270-2D4B-40DE-9605-5DF9A8374373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743" name="AutoShape 1">
          <a:extLst>
            <a:ext uri="{FF2B5EF4-FFF2-40B4-BE49-F238E27FC236}">
              <a16:creationId xmlns:a16="http://schemas.microsoft.com/office/drawing/2014/main" id="{F4CC2298-CEAD-430C-9206-32739C48925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744" name="AutoShape 1">
          <a:extLst>
            <a:ext uri="{FF2B5EF4-FFF2-40B4-BE49-F238E27FC236}">
              <a16:creationId xmlns:a16="http://schemas.microsoft.com/office/drawing/2014/main" id="{D237C5A6-599F-4CA0-8ADB-1F76F91A181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745" name="AutoShape 1">
          <a:extLst>
            <a:ext uri="{FF2B5EF4-FFF2-40B4-BE49-F238E27FC236}">
              <a16:creationId xmlns:a16="http://schemas.microsoft.com/office/drawing/2014/main" id="{3D2E7D40-7067-423D-81D4-A6F7CC399AD6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746" name="AutoShape 1">
          <a:extLst>
            <a:ext uri="{FF2B5EF4-FFF2-40B4-BE49-F238E27FC236}">
              <a16:creationId xmlns:a16="http://schemas.microsoft.com/office/drawing/2014/main" id="{7F95094E-5F08-4911-8AE9-DC0C09B792F5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747" name="AutoShape 1">
          <a:extLst>
            <a:ext uri="{FF2B5EF4-FFF2-40B4-BE49-F238E27FC236}">
              <a16:creationId xmlns:a16="http://schemas.microsoft.com/office/drawing/2014/main" id="{FCB0B0DD-3911-45D2-82DF-6C60BB299B64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748" name="AutoShape 1">
          <a:extLst>
            <a:ext uri="{FF2B5EF4-FFF2-40B4-BE49-F238E27FC236}">
              <a16:creationId xmlns:a16="http://schemas.microsoft.com/office/drawing/2014/main" id="{F7BB0965-7911-4CF4-BA0B-12D114F3107E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749" name="AutoShape 1">
          <a:extLst>
            <a:ext uri="{FF2B5EF4-FFF2-40B4-BE49-F238E27FC236}">
              <a16:creationId xmlns:a16="http://schemas.microsoft.com/office/drawing/2014/main" id="{A8F4F3D9-FD9F-4E8B-98F5-704DE991DDE1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750" name="AutoShape 1">
          <a:extLst>
            <a:ext uri="{FF2B5EF4-FFF2-40B4-BE49-F238E27FC236}">
              <a16:creationId xmlns:a16="http://schemas.microsoft.com/office/drawing/2014/main" id="{902EDEA7-E12A-47F0-9339-58DEE78CEBB9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751" name="AutoShape 1">
          <a:extLst>
            <a:ext uri="{FF2B5EF4-FFF2-40B4-BE49-F238E27FC236}">
              <a16:creationId xmlns:a16="http://schemas.microsoft.com/office/drawing/2014/main" id="{C64DE1FE-9079-4BDB-BD45-6683253EBF7D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752" name="AutoShape 1">
          <a:extLst>
            <a:ext uri="{FF2B5EF4-FFF2-40B4-BE49-F238E27FC236}">
              <a16:creationId xmlns:a16="http://schemas.microsoft.com/office/drawing/2014/main" id="{437D446C-C1E0-4E9C-AD6D-1AFDA7AB7004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753" name="AutoShape 1">
          <a:extLst>
            <a:ext uri="{FF2B5EF4-FFF2-40B4-BE49-F238E27FC236}">
              <a16:creationId xmlns:a16="http://schemas.microsoft.com/office/drawing/2014/main" id="{F68D174B-5C69-48E2-A030-08DA97EDF11F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754" name="AutoShape 1">
          <a:extLst>
            <a:ext uri="{FF2B5EF4-FFF2-40B4-BE49-F238E27FC236}">
              <a16:creationId xmlns:a16="http://schemas.microsoft.com/office/drawing/2014/main" id="{E7F32F16-A045-43C2-95B0-74F580482E3F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755" name="AutoShape 1">
          <a:extLst>
            <a:ext uri="{FF2B5EF4-FFF2-40B4-BE49-F238E27FC236}">
              <a16:creationId xmlns:a16="http://schemas.microsoft.com/office/drawing/2014/main" id="{86B608B7-3090-49CA-A5D9-65BC5FDD9951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756" name="AutoShape 1">
          <a:extLst>
            <a:ext uri="{FF2B5EF4-FFF2-40B4-BE49-F238E27FC236}">
              <a16:creationId xmlns:a16="http://schemas.microsoft.com/office/drawing/2014/main" id="{86A574E3-1ADC-42C2-A40F-16EDF4602709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757" name="AutoShape 1">
          <a:extLst>
            <a:ext uri="{FF2B5EF4-FFF2-40B4-BE49-F238E27FC236}">
              <a16:creationId xmlns:a16="http://schemas.microsoft.com/office/drawing/2014/main" id="{A317B5F5-0100-44D3-AF50-9C3373D2CD2C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758" name="AutoShape 1">
          <a:extLst>
            <a:ext uri="{FF2B5EF4-FFF2-40B4-BE49-F238E27FC236}">
              <a16:creationId xmlns:a16="http://schemas.microsoft.com/office/drawing/2014/main" id="{9B7B7443-4F95-44CA-9FD3-B37184E4D815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759" name="AutoShape 1">
          <a:extLst>
            <a:ext uri="{FF2B5EF4-FFF2-40B4-BE49-F238E27FC236}">
              <a16:creationId xmlns:a16="http://schemas.microsoft.com/office/drawing/2014/main" id="{287075F7-D914-4FB7-9844-67FDE671F7DE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760" name="AutoShape 1">
          <a:extLst>
            <a:ext uri="{FF2B5EF4-FFF2-40B4-BE49-F238E27FC236}">
              <a16:creationId xmlns:a16="http://schemas.microsoft.com/office/drawing/2014/main" id="{8805A0F6-4921-41A0-9E56-A4AF8FA82B4B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761" name="AutoShape 1">
          <a:extLst>
            <a:ext uri="{FF2B5EF4-FFF2-40B4-BE49-F238E27FC236}">
              <a16:creationId xmlns:a16="http://schemas.microsoft.com/office/drawing/2014/main" id="{166DD87F-6CF2-48A7-8610-600A3875B041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762" name="AutoShape 1">
          <a:extLst>
            <a:ext uri="{FF2B5EF4-FFF2-40B4-BE49-F238E27FC236}">
              <a16:creationId xmlns:a16="http://schemas.microsoft.com/office/drawing/2014/main" id="{4BC05A7F-AF94-4C22-A510-3AEF2CC1158A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763" name="AutoShape 1">
          <a:extLst>
            <a:ext uri="{FF2B5EF4-FFF2-40B4-BE49-F238E27FC236}">
              <a16:creationId xmlns:a16="http://schemas.microsoft.com/office/drawing/2014/main" id="{633B131D-467E-49A1-9C87-199DA5ED1CB4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764" name="AutoShape 1">
          <a:extLst>
            <a:ext uri="{FF2B5EF4-FFF2-40B4-BE49-F238E27FC236}">
              <a16:creationId xmlns:a16="http://schemas.microsoft.com/office/drawing/2014/main" id="{C331326A-1539-43BB-A8E8-41129BCD4FFA}"/>
            </a:ext>
            <a:ext uri="{147F2762-F138-4A5C-976F-8EAC2B608ADB}">
              <a16:predDERef xmlns:a16="http://schemas.microsoft.com/office/drawing/2014/main" pred="{A9C9C4DB-4B97-447C-9099-E87BCB3C537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765" name="AutoShape 1">
          <a:extLst>
            <a:ext uri="{FF2B5EF4-FFF2-40B4-BE49-F238E27FC236}">
              <a16:creationId xmlns:a16="http://schemas.microsoft.com/office/drawing/2014/main" id="{C49675CA-C456-458D-AEFB-D174A05E6A19}"/>
            </a:ext>
            <a:ext uri="{147F2762-F138-4A5C-976F-8EAC2B608ADB}">
              <a16:predDERef xmlns:a16="http://schemas.microsoft.com/office/drawing/2014/main" pred="{CD89554D-BD76-42AD-819A-278AD445B86E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766" name="AutoShape 1">
          <a:extLst>
            <a:ext uri="{FF2B5EF4-FFF2-40B4-BE49-F238E27FC236}">
              <a16:creationId xmlns:a16="http://schemas.microsoft.com/office/drawing/2014/main" id="{A97B5C58-9B46-4D68-993F-65EDC0E584E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767" name="AutoShape 1">
          <a:extLst>
            <a:ext uri="{FF2B5EF4-FFF2-40B4-BE49-F238E27FC236}">
              <a16:creationId xmlns:a16="http://schemas.microsoft.com/office/drawing/2014/main" id="{2DD2F60F-4F38-48D3-A18A-E54B90B0E03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768" name="AutoShape 1">
          <a:extLst>
            <a:ext uri="{FF2B5EF4-FFF2-40B4-BE49-F238E27FC236}">
              <a16:creationId xmlns:a16="http://schemas.microsoft.com/office/drawing/2014/main" id="{71EC24B5-69B4-4250-8694-F4AEF6A87C09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769" name="AutoShape 1">
          <a:extLst>
            <a:ext uri="{FF2B5EF4-FFF2-40B4-BE49-F238E27FC236}">
              <a16:creationId xmlns:a16="http://schemas.microsoft.com/office/drawing/2014/main" id="{08D85B4F-2890-4BD6-BAA3-D1983CDF865A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770" name="AutoShape 1">
          <a:extLst>
            <a:ext uri="{FF2B5EF4-FFF2-40B4-BE49-F238E27FC236}">
              <a16:creationId xmlns:a16="http://schemas.microsoft.com/office/drawing/2014/main" id="{7C22F911-DE04-4DF1-AC29-472DE5DCB78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771" name="AutoShape 1">
          <a:extLst>
            <a:ext uri="{FF2B5EF4-FFF2-40B4-BE49-F238E27FC236}">
              <a16:creationId xmlns:a16="http://schemas.microsoft.com/office/drawing/2014/main" id="{DBC8C29F-08FF-40A9-B271-E11CBE833437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772" name="AutoShape 1">
          <a:extLst>
            <a:ext uri="{FF2B5EF4-FFF2-40B4-BE49-F238E27FC236}">
              <a16:creationId xmlns:a16="http://schemas.microsoft.com/office/drawing/2014/main" id="{807BE091-EF27-4928-B734-68ADB85F0A2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773" name="AutoShape 1">
          <a:extLst>
            <a:ext uri="{FF2B5EF4-FFF2-40B4-BE49-F238E27FC236}">
              <a16:creationId xmlns:a16="http://schemas.microsoft.com/office/drawing/2014/main" id="{D4B8D04D-DAF3-472F-8F16-978250E0B127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774" name="AutoShape 1">
          <a:extLst>
            <a:ext uri="{FF2B5EF4-FFF2-40B4-BE49-F238E27FC236}">
              <a16:creationId xmlns:a16="http://schemas.microsoft.com/office/drawing/2014/main" id="{1EC7C49B-592F-456C-8E3B-4B600F0227EF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775" name="AutoShape 1">
          <a:extLst>
            <a:ext uri="{FF2B5EF4-FFF2-40B4-BE49-F238E27FC236}">
              <a16:creationId xmlns:a16="http://schemas.microsoft.com/office/drawing/2014/main" id="{00866D79-0A24-4E3C-9349-969387B53317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776" name="AutoShape 1">
          <a:extLst>
            <a:ext uri="{FF2B5EF4-FFF2-40B4-BE49-F238E27FC236}">
              <a16:creationId xmlns:a16="http://schemas.microsoft.com/office/drawing/2014/main" id="{18973EEE-8741-4E67-BA86-F17C4C6EA323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777" name="AutoShape 1">
          <a:extLst>
            <a:ext uri="{FF2B5EF4-FFF2-40B4-BE49-F238E27FC236}">
              <a16:creationId xmlns:a16="http://schemas.microsoft.com/office/drawing/2014/main" id="{617D0FCA-BB16-4262-8D6F-E965A14A8C5A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778" name="AutoShape 1">
          <a:extLst>
            <a:ext uri="{FF2B5EF4-FFF2-40B4-BE49-F238E27FC236}">
              <a16:creationId xmlns:a16="http://schemas.microsoft.com/office/drawing/2014/main" id="{11248229-5FC9-4F60-BD6C-064A1AD6D556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779" name="AutoShape 1">
          <a:extLst>
            <a:ext uri="{FF2B5EF4-FFF2-40B4-BE49-F238E27FC236}">
              <a16:creationId xmlns:a16="http://schemas.microsoft.com/office/drawing/2014/main" id="{B45F96ED-8928-47FE-AF30-3CBF4E18AB8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780" name="AutoShape 1">
          <a:extLst>
            <a:ext uri="{FF2B5EF4-FFF2-40B4-BE49-F238E27FC236}">
              <a16:creationId xmlns:a16="http://schemas.microsoft.com/office/drawing/2014/main" id="{A066C844-0036-4EF0-ABEA-BD1E41FF27A7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781" name="AutoShape 1">
          <a:extLst>
            <a:ext uri="{FF2B5EF4-FFF2-40B4-BE49-F238E27FC236}">
              <a16:creationId xmlns:a16="http://schemas.microsoft.com/office/drawing/2014/main" id="{912DA979-8194-4CD8-9442-29B9BB63EB9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782" name="AutoShape 1">
          <a:extLst>
            <a:ext uri="{FF2B5EF4-FFF2-40B4-BE49-F238E27FC236}">
              <a16:creationId xmlns:a16="http://schemas.microsoft.com/office/drawing/2014/main" id="{E6529C1A-5438-4037-88AE-92EEB962438F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783" name="AutoShape 1">
          <a:extLst>
            <a:ext uri="{FF2B5EF4-FFF2-40B4-BE49-F238E27FC236}">
              <a16:creationId xmlns:a16="http://schemas.microsoft.com/office/drawing/2014/main" id="{0747F68B-6556-4E0A-8298-CB012CA6A5DC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784" name="AutoShape 1">
          <a:extLst>
            <a:ext uri="{FF2B5EF4-FFF2-40B4-BE49-F238E27FC236}">
              <a16:creationId xmlns:a16="http://schemas.microsoft.com/office/drawing/2014/main" id="{E4B69564-65F4-4733-8671-539FC63C0988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785" name="AutoShape 1">
          <a:extLst>
            <a:ext uri="{FF2B5EF4-FFF2-40B4-BE49-F238E27FC236}">
              <a16:creationId xmlns:a16="http://schemas.microsoft.com/office/drawing/2014/main" id="{AC69978D-984D-4E2B-9E13-8C48C41FFD5E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786" name="AutoShape 1">
          <a:extLst>
            <a:ext uri="{FF2B5EF4-FFF2-40B4-BE49-F238E27FC236}">
              <a16:creationId xmlns:a16="http://schemas.microsoft.com/office/drawing/2014/main" id="{C57B1443-781D-4940-A0C2-E596CF2F2B8A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787" name="AutoShape 1">
          <a:extLst>
            <a:ext uri="{FF2B5EF4-FFF2-40B4-BE49-F238E27FC236}">
              <a16:creationId xmlns:a16="http://schemas.microsoft.com/office/drawing/2014/main" id="{AFAA17A8-A93C-43DD-A413-ADD054714F6D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788" name="AutoShape 1">
          <a:extLst>
            <a:ext uri="{FF2B5EF4-FFF2-40B4-BE49-F238E27FC236}">
              <a16:creationId xmlns:a16="http://schemas.microsoft.com/office/drawing/2014/main" id="{39433355-9B32-4846-B4A4-8B6F65EF5FDF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789" name="AutoShape 1">
          <a:extLst>
            <a:ext uri="{FF2B5EF4-FFF2-40B4-BE49-F238E27FC236}">
              <a16:creationId xmlns:a16="http://schemas.microsoft.com/office/drawing/2014/main" id="{EE4C844E-F120-41AC-9C64-2B87952D4E66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790" name="AutoShape 1">
          <a:extLst>
            <a:ext uri="{FF2B5EF4-FFF2-40B4-BE49-F238E27FC236}">
              <a16:creationId xmlns:a16="http://schemas.microsoft.com/office/drawing/2014/main" id="{4DB970E1-A601-4342-AD89-2298590CF055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791" name="AutoShape 1">
          <a:extLst>
            <a:ext uri="{FF2B5EF4-FFF2-40B4-BE49-F238E27FC236}">
              <a16:creationId xmlns:a16="http://schemas.microsoft.com/office/drawing/2014/main" id="{361049B9-6AA5-4A5D-B6A5-0CCF7BA694AC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792" name="AutoShape 1">
          <a:extLst>
            <a:ext uri="{FF2B5EF4-FFF2-40B4-BE49-F238E27FC236}">
              <a16:creationId xmlns:a16="http://schemas.microsoft.com/office/drawing/2014/main" id="{19AD5D0C-4BF4-4B99-B46E-76D1ED22AF94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793" name="AutoShape 1">
          <a:extLst>
            <a:ext uri="{FF2B5EF4-FFF2-40B4-BE49-F238E27FC236}">
              <a16:creationId xmlns:a16="http://schemas.microsoft.com/office/drawing/2014/main" id="{B342607F-948B-4DC8-AF65-7453CDCF7400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794" name="AutoShape 1">
          <a:extLst>
            <a:ext uri="{FF2B5EF4-FFF2-40B4-BE49-F238E27FC236}">
              <a16:creationId xmlns:a16="http://schemas.microsoft.com/office/drawing/2014/main" id="{36740990-A632-46C2-AEB3-E3834F51A37F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795" name="AutoShape 1">
          <a:extLst>
            <a:ext uri="{FF2B5EF4-FFF2-40B4-BE49-F238E27FC236}">
              <a16:creationId xmlns:a16="http://schemas.microsoft.com/office/drawing/2014/main" id="{B551850E-7AE3-466C-996A-FAEDAE236CEF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796" name="AutoShape 1">
          <a:extLst>
            <a:ext uri="{FF2B5EF4-FFF2-40B4-BE49-F238E27FC236}">
              <a16:creationId xmlns:a16="http://schemas.microsoft.com/office/drawing/2014/main" id="{1460DA71-68FD-44F9-8C9D-7A74C8BF73DF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797" name="AutoShape 1">
          <a:extLst>
            <a:ext uri="{FF2B5EF4-FFF2-40B4-BE49-F238E27FC236}">
              <a16:creationId xmlns:a16="http://schemas.microsoft.com/office/drawing/2014/main" id="{19F6F0F3-0A01-4C7F-BECC-8531A86F3E38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798" name="AutoShape 1">
          <a:extLst>
            <a:ext uri="{FF2B5EF4-FFF2-40B4-BE49-F238E27FC236}">
              <a16:creationId xmlns:a16="http://schemas.microsoft.com/office/drawing/2014/main" id="{E7673B13-A869-4BF2-8B8E-B9D4347CE9C4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799" name="AutoShape 1">
          <a:extLst>
            <a:ext uri="{FF2B5EF4-FFF2-40B4-BE49-F238E27FC236}">
              <a16:creationId xmlns:a16="http://schemas.microsoft.com/office/drawing/2014/main" id="{6CC01B39-73D1-4D95-99D5-EE5DE83988DE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800" name="AutoShape 1">
          <a:extLst>
            <a:ext uri="{FF2B5EF4-FFF2-40B4-BE49-F238E27FC236}">
              <a16:creationId xmlns:a16="http://schemas.microsoft.com/office/drawing/2014/main" id="{F1C1BB5F-FCB3-4D76-BB6D-1FC989163408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801" name="AutoShape 1">
          <a:extLst>
            <a:ext uri="{FF2B5EF4-FFF2-40B4-BE49-F238E27FC236}">
              <a16:creationId xmlns:a16="http://schemas.microsoft.com/office/drawing/2014/main" id="{D552C420-D466-451B-A1F0-72A6F2818976}"/>
            </a:ext>
            <a:ext uri="{147F2762-F138-4A5C-976F-8EAC2B608ADB}">
              <a16:predDERef xmlns:a16="http://schemas.microsoft.com/office/drawing/2014/main" pred="{A9C9C4DB-4B97-447C-9099-E87BCB3C537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478</xdr:row>
      <xdr:rowOff>0</xdr:rowOff>
    </xdr:from>
    <xdr:ext cx="304800" cy="304800"/>
    <xdr:sp macro="" textlink="">
      <xdr:nvSpPr>
        <xdr:cNvPr id="802" name="AutoShape 1">
          <a:extLst>
            <a:ext uri="{FF2B5EF4-FFF2-40B4-BE49-F238E27FC236}">
              <a16:creationId xmlns:a16="http://schemas.microsoft.com/office/drawing/2014/main" id="{70FE4FF0-4BDD-4EA4-9869-0DF5C708F5BE}"/>
            </a:ext>
            <a:ext uri="{147F2762-F138-4A5C-976F-8EAC2B608ADB}">
              <a16:predDERef xmlns:a16="http://schemas.microsoft.com/office/drawing/2014/main" pred="{CD89554D-BD76-42AD-819A-278AD445B86E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489</xdr:row>
      <xdr:rowOff>0</xdr:rowOff>
    </xdr:from>
    <xdr:ext cx="304800" cy="304800"/>
    <xdr:sp macro="" textlink="">
      <xdr:nvSpPr>
        <xdr:cNvPr id="803" name="AutoShape 1">
          <a:extLst>
            <a:ext uri="{FF2B5EF4-FFF2-40B4-BE49-F238E27FC236}">
              <a16:creationId xmlns:a16="http://schemas.microsoft.com/office/drawing/2014/main" id="{1F742957-5B44-4BB8-8AEB-3D45B3920263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347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489</xdr:row>
      <xdr:rowOff>0</xdr:rowOff>
    </xdr:from>
    <xdr:ext cx="304800" cy="304800"/>
    <xdr:sp macro="" textlink="">
      <xdr:nvSpPr>
        <xdr:cNvPr id="804" name="AutoShape 1">
          <a:extLst>
            <a:ext uri="{FF2B5EF4-FFF2-40B4-BE49-F238E27FC236}">
              <a16:creationId xmlns:a16="http://schemas.microsoft.com/office/drawing/2014/main" id="{A3DD6E8A-ADC0-4A01-B573-E97BAF93AA9B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347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498</xdr:row>
      <xdr:rowOff>0</xdr:rowOff>
    </xdr:from>
    <xdr:ext cx="304800" cy="304800"/>
    <xdr:sp macro="" textlink="">
      <xdr:nvSpPr>
        <xdr:cNvPr id="805" name="AutoShape 1">
          <a:extLst>
            <a:ext uri="{FF2B5EF4-FFF2-40B4-BE49-F238E27FC236}">
              <a16:creationId xmlns:a16="http://schemas.microsoft.com/office/drawing/2014/main" id="{C065AC1D-2C1E-4525-ABE4-774A6DBDDB26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51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498</xdr:row>
      <xdr:rowOff>0</xdr:rowOff>
    </xdr:from>
    <xdr:ext cx="304800" cy="304800"/>
    <xdr:sp macro="" textlink="">
      <xdr:nvSpPr>
        <xdr:cNvPr id="806" name="AutoShape 1">
          <a:extLst>
            <a:ext uri="{FF2B5EF4-FFF2-40B4-BE49-F238E27FC236}">
              <a16:creationId xmlns:a16="http://schemas.microsoft.com/office/drawing/2014/main" id="{8D7CA053-E7A3-430C-8582-AC5758EF3A4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51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498</xdr:row>
      <xdr:rowOff>0</xdr:rowOff>
    </xdr:from>
    <xdr:ext cx="304800" cy="304800"/>
    <xdr:sp macro="" textlink="">
      <xdr:nvSpPr>
        <xdr:cNvPr id="807" name="AutoShape 1">
          <a:extLst>
            <a:ext uri="{FF2B5EF4-FFF2-40B4-BE49-F238E27FC236}">
              <a16:creationId xmlns:a16="http://schemas.microsoft.com/office/drawing/2014/main" id="{FB1220F4-65E7-471D-9313-845A42E05A7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51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498</xdr:row>
      <xdr:rowOff>0</xdr:rowOff>
    </xdr:from>
    <xdr:ext cx="304800" cy="304800"/>
    <xdr:sp macro="" textlink="">
      <xdr:nvSpPr>
        <xdr:cNvPr id="808" name="AutoShape 1">
          <a:extLst>
            <a:ext uri="{FF2B5EF4-FFF2-40B4-BE49-F238E27FC236}">
              <a16:creationId xmlns:a16="http://schemas.microsoft.com/office/drawing/2014/main" id="{98F7FB86-1EBA-4933-AC26-572F9D5791B6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51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498</xdr:row>
      <xdr:rowOff>0</xdr:rowOff>
    </xdr:from>
    <xdr:ext cx="304800" cy="304800"/>
    <xdr:sp macro="" textlink="">
      <xdr:nvSpPr>
        <xdr:cNvPr id="809" name="AutoShape 1">
          <a:extLst>
            <a:ext uri="{FF2B5EF4-FFF2-40B4-BE49-F238E27FC236}">
              <a16:creationId xmlns:a16="http://schemas.microsoft.com/office/drawing/2014/main" id="{2333C812-8D90-48F6-9882-EC69CB96A3FB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51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498</xdr:row>
      <xdr:rowOff>0</xdr:rowOff>
    </xdr:from>
    <xdr:ext cx="304800" cy="304800"/>
    <xdr:sp macro="" textlink="">
      <xdr:nvSpPr>
        <xdr:cNvPr id="810" name="AutoShape 1">
          <a:extLst>
            <a:ext uri="{FF2B5EF4-FFF2-40B4-BE49-F238E27FC236}">
              <a16:creationId xmlns:a16="http://schemas.microsoft.com/office/drawing/2014/main" id="{841E78DC-9CC2-4FD2-8A11-F21CC3C00846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51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498</xdr:row>
      <xdr:rowOff>0</xdr:rowOff>
    </xdr:from>
    <xdr:ext cx="304800" cy="304800"/>
    <xdr:sp macro="" textlink="">
      <xdr:nvSpPr>
        <xdr:cNvPr id="811" name="AutoShape 1">
          <a:extLst>
            <a:ext uri="{FF2B5EF4-FFF2-40B4-BE49-F238E27FC236}">
              <a16:creationId xmlns:a16="http://schemas.microsoft.com/office/drawing/2014/main" id="{E0F054DB-8586-4A07-BB82-347484F60B4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51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498</xdr:row>
      <xdr:rowOff>0</xdr:rowOff>
    </xdr:from>
    <xdr:ext cx="304800" cy="304800"/>
    <xdr:sp macro="" textlink="">
      <xdr:nvSpPr>
        <xdr:cNvPr id="812" name="AutoShape 1">
          <a:extLst>
            <a:ext uri="{FF2B5EF4-FFF2-40B4-BE49-F238E27FC236}">
              <a16:creationId xmlns:a16="http://schemas.microsoft.com/office/drawing/2014/main" id="{ED2803A2-D0C3-4B02-A84C-DC5DF8F8CF2A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51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498</xdr:row>
      <xdr:rowOff>0</xdr:rowOff>
    </xdr:from>
    <xdr:ext cx="304800" cy="304800"/>
    <xdr:sp macro="" textlink="">
      <xdr:nvSpPr>
        <xdr:cNvPr id="813" name="AutoShape 1">
          <a:extLst>
            <a:ext uri="{FF2B5EF4-FFF2-40B4-BE49-F238E27FC236}">
              <a16:creationId xmlns:a16="http://schemas.microsoft.com/office/drawing/2014/main" id="{44C8ED89-4C7A-42B3-93AD-EE9010D2947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51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498</xdr:row>
      <xdr:rowOff>0</xdr:rowOff>
    </xdr:from>
    <xdr:ext cx="304800" cy="304800"/>
    <xdr:sp macro="" textlink="">
      <xdr:nvSpPr>
        <xdr:cNvPr id="814" name="AutoShape 1">
          <a:extLst>
            <a:ext uri="{FF2B5EF4-FFF2-40B4-BE49-F238E27FC236}">
              <a16:creationId xmlns:a16="http://schemas.microsoft.com/office/drawing/2014/main" id="{A0B53485-F84F-4995-930A-1B612DD5A53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51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498</xdr:row>
      <xdr:rowOff>0</xdr:rowOff>
    </xdr:from>
    <xdr:ext cx="304800" cy="304800"/>
    <xdr:sp macro="" textlink="">
      <xdr:nvSpPr>
        <xdr:cNvPr id="815" name="AutoShape 1">
          <a:extLst>
            <a:ext uri="{FF2B5EF4-FFF2-40B4-BE49-F238E27FC236}">
              <a16:creationId xmlns:a16="http://schemas.microsoft.com/office/drawing/2014/main" id="{11DE9CDD-3E2B-4D4A-B857-EC659AF5ABEF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51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498</xdr:row>
      <xdr:rowOff>0</xdr:rowOff>
    </xdr:from>
    <xdr:ext cx="304800" cy="304800"/>
    <xdr:sp macro="" textlink="">
      <xdr:nvSpPr>
        <xdr:cNvPr id="816" name="AutoShape 1">
          <a:extLst>
            <a:ext uri="{FF2B5EF4-FFF2-40B4-BE49-F238E27FC236}">
              <a16:creationId xmlns:a16="http://schemas.microsoft.com/office/drawing/2014/main" id="{49B30EA7-EA0E-4D1D-824B-4715D5DEADB1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51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498</xdr:row>
      <xdr:rowOff>0</xdr:rowOff>
    </xdr:from>
    <xdr:ext cx="304800" cy="304800"/>
    <xdr:sp macro="" textlink="">
      <xdr:nvSpPr>
        <xdr:cNvPr id="817" name="AutoShape 1">
          <a:extLst>
            <a:ext uri="{FF2B5EF4-FFF2-40B4-BE49-F238E27FC236}">
              <a16:creationId xmlns:a16="http://schemas.microsoft.com/office/drawing/2014/main" id="{B0E070D0-3FF5-46D5-957E-8EAB1B1E216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51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498</xdr:row>
      <xdr:rowOff>0</xdr:rowOff>
    </xdr:from>
    <xdr:ext cx="304800" cy="304800"/>
    <xdr:sp macro="" textlink="">
      <xdr:nvSpPr>
        <xdr:cNvPr id="818" name="AutoShape 1">
          <a:extLst>
            <a:ext uri="{FF2B5EF4-FFF2-40B4-BE49-F238E27FC236}">
              <a16:creationId xmlns:a16="http://schemas.microsoft.com/office/drawing/2014/main" id="{232CDCA5-C8E8-4593-9BA1-0B0C77E2791B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51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498</xdr:row>
      <xdr:rowOff>0</xdr:rowOff>
    </xdr:from>
    <xdr:ext cx="304800" cy="304800"/>
    <xdr:sp macro="" textlink="">
      <xdr:nvSpPr>
        <xdr:cNvPr id="819" name="AutoShape 1">
          <a:extLst>
            <a:ext uri="{FF2B5EF4-FFF2-40B4-BE49-F238E27FC236}">
              <a16:creationId xmlns:a16="http://schemas.microsoft.com/office/drawing/2014/main" id="{1D349CF0-DCEC-43EB-BA75-FDCCDB77290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51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498</xdr:row>
      <xdr:rowOff>0</xdr:rowOff>
    </xdr:from>
    <xdr:ext cx="304800" cy="304800"/>
    <xdr:sp macro="" textlink="">
      <xdr:nvSpPr>
        <xdr:cNvPr id="820" name="AutoShape 1">
          <a:extLst>
            <a:ext uri="{FF2B5EF4-FFF2-40B4-BE49-F238E27FC236}">
              <a16:creationId xmlns:a16="http://schemas.microsoft.com/office/drawing/2014/main" id="{5BA12515-40A7-4F17-9D5A-00E5DF0AD76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51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498</xdr:row>
      <xdr:rowOff>0</xdr:rowOff>
    </xdr:from>
    <xdr:ext cx="304800" cy="304800"/>
    <xdr:sp macro="" textlink="">
      <xdr:nvSpPr>
        <xdr:cNvPr id="821" name="AutoShape 1">
          <a:extLst>
            <a:ext uri="{FF2B5EF4-FFF2-40B4-BE49-F238E27FC236}">
              <a16:creationId xmlns:a16="http://schemas.microsoft.com/office/drawing/2014/main" id="{42492CD2-98AA-470A-AFBB-75BFF4E2C833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51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498</xdr:row>
      <xdr:rowOff>0</xdr:rowOff>
    </xdr:from>
    <xdr:ext cx="304800" cy="304800"/>
    <xdr:sp macro="" textlink="">
      <xdr:nvSpPr>
        <xdr:cNvPr id="822" name="AutoShape 1">
          <a:extLst>
            <a:ext uri="{FF2B5EF4-FFF2-40B4-BE49-F238E27FC236}">
              <a16:creationId xmlns:a16="http://schemas.microsoft.com/office/drawing/2014/main" id="{FB92B9D9-419F-45CD-A4CE-86380DA401EA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51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498</xdr:row>
      <xdr:rowOff>0</xdr:rowOff>
    </xdr:from>
    <xdr:ext cx="304800" cy="304800"/>
    <xdr:sp macro="" textlink="">
      <xdr:nvSpPr>
        <xdr:cNvPr id="823" name="AutoShape 1">
          <a:extLst>
            <a:ext uri="{FF2B5EF4-FFF2-40B4-BE49-F238E27FC236}">
              <a16:creationId xmlns:a16="http://schemas.microsoft.com/office/drawing/2014/main" id="{96E41B15-BDBF-4F8A-9A2C-FDFDF19C5BC4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51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498</xdr:row>
      <xdr:rowOff>0</xdr:rowOff>
    </xdr:from>
    <xdr:ext cx="304800" cy="304800"/>
    <xdr:sp macro="" textlink="">
      <xdr:nvSpPr>
        <xdr:cNvPr id="824" name="AutoShape 1">
          <a:extLst>
            <a:ext uri="{FF2B5EF4-FFF2-40B4-BE49-F238E27FC236}">
              <a16:creationId xmlns:a16="http://schemas.microsoft.com/office/drawing/2014/main" id="{E33D4373-7D81-4B5C-870F-8CCAD7369485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51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498</xdr:row>
      <xdr:rowOff>0</xdr:rowOff>
    </xdr:from>
    <xdr:ext cx="304800" cy="304800"/>
    <xdr:sp macro="" textlink="">
      <xdr:nvSpPr>
        <xdr:cNvPr id="825" name="AutoShape 1">
          <a:extLst>
            <a:ext uri="{FF2B5EF4-FFF2-40B4-BE49-F238E27FC236}">
              <a16:creationId xmlns:a16="http://schemas.microsoft.com/office/drawing/2014/main" id="{607AE1E9-7073-40B3-886A-C1902462B194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51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498</xdr:row>
      <xdr:rowOff>0</xdr:rowOff>
    </xdr:from>
    <xdr:ext cx="304800" cy="304800"/>
    <xdr:sp macro="" textlink="">
      <xdr:nvSpPr>
        <xdr:cNvPr id="826" name="AutoShape 1">
          <a:extLst>
            <a:ext uri="{FF2B5EF4-FFF2-40B4-BE49-F238E27FC236}">
              <a16:creationId xmlns:a16="http://schemas.microsoft.com/office/drawing/2014/main" id="{75CE29DB-2142-413B-955B-C11D6C08D417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51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498</xdr:row>
      <xdr:rowOff>0</xdr:rowOff>
    </xdr:from>
    <xdr:ext cx="304800" cy="304800"/>
    <xdr:sp macro="" textlink="">
      <xdr:nvSpPr>
        <xdr:cNvPr id="827" name="AutoShape 1">
          <a:extLst>
            <a:ext uri="{FF2B5EF4-FFF2-40B4-BE49-F238E27FC236}">
              <a16:creationId xmlns:a16="http://schemas.microsoft.com/office/drawing/2014/main" id="{FD7F4682-73DE-4A07-A5B4-26DDB05CAA1F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51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498</xdr:row>
      <xdr:rowOff>0</xdr:rowOff>
    </xdr:from>
    <xdr:ext cx="304800" cy="304800"/>
    <xdr:sp macro="" textlink="">
      <xdr:nvSpPr>
        <xdr:cNvPr id="828" name="AutoShape 1">
          <a:extLst>
            <a:ext uri="{FF2B5EF4-FFF2-40B4-BE49-F238E27FC236}">
              <a16:creationId xmlns:a16="http://schemas.microsoft.com/office/drawing/2014/main" id="{4D29FCC0-3E4C-4BB1-B69A-F783FC43CFA9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51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498</xdr:row>
      <xdr:rowOff>0</xdr:rowOff>
    </xdr:from>
    <xdr:ext cx="304800" cy="304800"/>
    <xdr:sp macro="" textlink="">
      <xdr:nvSpPr>
        <xdr:cNvPr id="829" name="AutoShape 1">
          <a:extLst>
            <a:ext uri="{FF2B5EF4-FFF2-40B4-BE49-F238E27FC236}">
              <a16:creationId xmlns:a16="http://schemas.microsoft.com/office/drawing/2014/main" id="{E0EFE76C-4006-47E2-B9ED-F042382F0177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51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498</xdr:row>
      <xdr:rowOff>0</xdr:rowOff>
    </xdr:from>
    <xdr:ext cx="304800" cy="304800"/>
    <xdr:sp macro="" textlink="">
      <xdr:nvSpPr>
        <xdr:cNvPr id="830" name="AutoShape 1">
          <a:extLst>
            <a:ext uri="{FF2B5EF4-FFF2-40B4-BE49-F238E27FC236}">
              <a16:creationId xmlns:a16="http://schemas.microsoft.com/office/drawing/2014/main" id="{3C29A341-C7EA-41AD-8C96-C81B0928C555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51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498</xdr:row>
      <xdr:rowOff>0</xdr:rowOff>
    </xdr:from>
    <xdr:ext cx="304800" cy="304800"/>
    <xdr:sp macro="" textlink="">
      <xdr:nvSpPr>
        <xdr:cNvPr id="831" name="AutoShape 1">
          <a:extLst>
            <a:ext uri="{FF2B5EF4-FFF2-40B4-BE49-F238E27FC236}">
              <a16:creationId xmlns:a16="http://schemas.microsoft.com/office/drawing/2014/main" id="{42575725-FAF1-4C18-92AF-785E48D1152E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51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498</xdr:row>
      <xdr:rowOff>0</xdr:rowOff>
    </xdr:from>
    <xdr:ext cx="304800" cy="304800"/>
    <xdr:sp macro="" textlink="">
      <xdr:nvSpPr>
        <xdr:cNvPr id="832" name="AutoShape 1">
          <a:extLst>
            <a:ext uri="{FF2B5EF4-FFF2-40B4-BE49-F238E27FC236}">
              <a16:creationId xmlns:a16="http://schemas.microsoft.com/office/drawing/2014/main" id="{2E33933B-F033-45B1-9479-DD8236AA5618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51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498</xdr:row>
      <xdr:rowOff>0</xdr:rowOff>
    </xdr:from>
    <xdr:ext cx="304800" cy="304800"/>
    <xdr:sp macro="" textlink="">
      <xdr:nvSpPr>
        <xdr:cNvPr id="833" name="AutoShape 1">
          <a:extLst>
            <a:ext uri="{FF2B5EF4-FFF2-40B4-BE49-F238E27FC236}">
              <a16:creationId xmlns:a16="http://schemas.microsoft.com/office/drawing/2014/main" id="{5180853F-16A7-4580-8D66-F0CAFE027D3B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51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498</xdr:row>
      <xdr:rowOff>0</xdr:rowOff>
    </xdr:from>
    <xdr:ext cx="304800" cy="304800"/>
    <xdr:sp macro="" textlink="">
      <xdr:nvSpPr>
        <xdr:cNvPr id="834" name="AutoShape 1">
          <a:extLst>
            <a:ext uri="{FF2B5EF4-FFF2-40B4-BE49-F238E27FC236}">
              <a16:creationId xmlns:a16="http://schemas.microsoft.com/office/drawing/2014/main" id="{09F68610-0BDD-4152-9059-89107DA9705A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51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498</xdr:row>
      <xdr:rowOff>0</xdr:rowOff>
    </xdr:from>
    <xdr:ext cx="304800" cy="304800"/>
    <xdr:sp macro="" textlink="">
      <xdr:nvSpPr>
        <xdr:cNvPr id="835" name="AutoShape 1">
          <a:extLst>
            <a:ext uri="{FF2B5EF4-FFF2-40B4-BE49-F238E27FC236}">
              <a16:creationId xmlns:a16="http://schemas.microsoft.com/office/drawing/2014/main" id="{F01322B4-BA0B-4FE9-B590-11B68DC177A3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51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498</xdr:row>
      <xdr:rowOff>0</xdr:rowOff>
    </xdr:from>
    <xdr:ext cx="304800" cy="304800"/>
    <xdr:sp macro="" textlink="">
      <xdr:nvSpPr>
        <xdr:cNvPr id="836" name="AutoShape 1">
          <a:extLst>
            <a:ext uri="{FF2B5EF4-FFF2-40B4-BE49-F238E27FC236}">
              <a16:creationId xmlns:a16="http://schemas.microsoft.com/office/drawing/2014/main" id="{00ECB705-0826-46E7-9F2A-6665AE47A1B9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51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498</xdr:row>
      <xdr:rowOff>0</xdr:rowOff>
    </xdr:from>
    <xdr:ext cx="304800" cy="304800"/>
    <xdr:sp macro="" textlink="">
      <xdr:nvSpPr>
        <xdr:cNvPr id="837" name="AutoShape 1">
          <a:extLst>
            <a:ext uri="{FF2B5EF4-FFF2-40B4-BE49-F238E27FC236}">
              <a16:creationId xmlns:a16="http://schemas.microsoft.com/office/drawing/2014/main" id="{D9C9E772-4904-4D93-9B39-5FBAF89824BD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51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498</xdr:row>
      <xdr:rowOff>0</xdr:rowOff>
    </xdr:from>
    <xdr:ext cx="304800" cy="304800"/>
    <xdr:sp macro="" textlink="">
      <xdr:nvSpPr>
        <xdr:cNvPr id="838" name="AutoShape 1">
          <a:extLst>
            <a:ext uri="{FF2B5EF4-FFF2-40B4-BE49-F238E27FC236}">
              <a16:creationId xmlns:a16="http://schemas.microsoft.com/office/drawing/2014/main" id="{D4A2A8D6-9BC9-4070-92A1-D3608C0D7CE0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51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498</xdr:row>
      <xdr:rowOff>0</xdr:rowOff>
    </xdr:from>
    <xdr:ext cx="304800" cy="304800"/>
    <xdr:sp macro="" textlink="">
      <xdr:nvSpPr>
        <xdr:cNvPr id="839" name="AutoShape 1">
          <a:extLst>
            <a:ext uri="{FF2B5EF4-FFF2-40B4-BE49-F238E27FC236}">
              <a16:creationId xmlns:a16="http://schemas.microsoft.com/office/drawing/2014/main" id="{01F51D72-998D-472A-820E-01ABEC8A41B3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51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498</xdr:row>
      <xdr:rowOff>0</xdr:rowOff>
    </xdr:from>
    <xdr:ext cx="304800" cy="304800"/>
    <xdr:sp macro="" textlink="">
      <xdr:nvSpPr>
        <xdr:cNvPr id="840" name="AutoShape 1">
          <a:extLst>
            <a:ext uri="{FF2B5EF4-FFF2-40B4-BE49-F238E27FC236}">
              <a16:creationId xmlns:a16="http://schemas.microsoft.com/office/drawing/2014/main" id="{FE3ED0F6-CF72-40E3-BB8C-CCD23583BEAB}"/>
            </a:ext>
            <a:ext uri="{147F2762-F138-4A5C-976F-8EAC2B608ADB}">
              <a16:predDERef xmlns:a16="http://schemas.microsoft.com/office/drawing/2014/main" pred="{A9C9C4DB-4B97-447C-9099-E87BCB3C537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51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498</xdr:row>
      <xdr:rowOff>0</xdr:rowOff>
    </xdr:from>
    <xdr:ext cx="304800" cy="304800"/>
    <xdr:sp macro="" textlink="">
      <xdr:nvSpPr>
        <xdr:cNvPr id="841" name="AutoShape 1">
          <a:extLst>
            <a:ext uri="{FF2B5EF4-FFF2-40B4-BE49-F238E27FC236}">
              <a16:creationId xmlns:a16="http://schemas.microsoft.com/office/drawing/2014/main" id="{B66DEC3B-6A3A-4241-87A8-2FBD0D558BED}"/>
            </a:ext>
            <a:ext uri="{147F2762-F138-4A5C-976F-8EAC2B608ADB}">
              <a16:predDERef xmlns:a16="http://schemas.microsoft.com/office/drawing/2014/main" pred="{CD89554D-BD76-42AD-819A-278AD445B86E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51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498</xdr:row>
      <xdr:rowOff>0</xdr:rowOff>
    </xdr:from>
    <xdr:ext cx="304800" cy="304800"/>
    <xdr:sp macro="" textlink="">
      <xdr:nvSpPr>
        <xdr:cNvPr id="842" name="AutoShape 1">
          <a:extLst>
            <a:ext uri="{FF2B5EF4-FFF2-40B4-BE49-F238E27FC236}">
              <a16:creationId xmlns:a16="http://schemas.microsoft.com/office/drawing/2014/main" id="{B6F21115-D756-48CB-8549-62B0FC94254A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51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498</xdr:row>
      <xdr:rowOff>0</xdr:rowOff>
    </xdr:from>
    <xdr:ext cx="304800" cy="304800"/>
    <xdr:sp macro="" textlink="">
      <xdr:nvSpPr>
        <xdr:cNvPr id="843" name="AutoShape 1">
          <a:extLst>
            <a:ext uri="{FF2B5EF4-FFF2-40B4-BE49-F238E27FC236}">
              <a16:creationId xmlns:a16="http://schemas.microsoft.com/office/drawing/2014/main" id="{EFC0DFC2-F33D-4D65-989C-BD1D2168A08C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51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498</xdr:row>
      <xdr:rowOff>0</xdr:rowOff>
    </xdr:from>
    <xdr:ext cx="304800" cy="304800"/>
    <xdr:sp macro="" textlink="">
      <xdr:nvSpPr>
        <xdr:cNvPr id="844" name="AutoShape 1">
          <a:extLst>
            <a:ext uri="{FF2B5EF4-FFF2-40B4-BE49-F238E27FC236}">
              <a16:creationId xmlns:a16="http://schemas.microsoft.com/office/drawing/2014/main" id="{384C2C07-C215-438E-888C-15E1EA606D7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51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498</xdr:row>
      <xdr:rowOff>0</xdr:rowOff>
    </xdr:from>
    <xdr:ext cx="304800" cy="304800"/>
    <xdr:sp macro="" textlink="">
      <xdr:nvSpPr>
        <xdr:cNvPr id="845" name="AutoShape 1">
          <a:extLst>
            <a:ext uri="{FF2B5EF4-FFF2-40B4-BE49-F238E27FC236}">
              <a16:creationId xmlns:a16="http://schemas.microsoft.com/office/drawing/2014/main" id="{0E214197-C4D6-482D-AF51-60DF202C914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51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498</xdr:row>
      <xdr:rowOff>0</xdr:rowOff>
    </xdr:from>
    <xdr:ext cx="304800" cy="304800"/>
    <xdr:sp macro="" textlink="">
      <xdr:nvSpPr>
        <xdr:cNvPr id="846" name="AutoShape 1">
          <a:extLst>
            <a:ext uri="{FF2B5EF4-FFF2-40B4-BE49-F238E27FC236}">
              <a16:creationId xmlns:a16="http://schemas.microsoft.com/office/drawing/2014/main" id="{F1351523-CFCD-4FD6-9BD0-0425C43AA00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51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498</xdr:row>
      <xdr:rowOff>0</xdr:rowOff>
    </xdr:from>
    <xdr:ext cx="304800" cy="304800"/>
    <xdr:sp macro="" textlink="">
      <xdr:nvSpPr>
        <xdr:cNvPr id="847" name="AutoShape 1">
          <a:extLst>
            <a:ext uri="{FF2B5EF4-FFF2-40B4-BE49-F238E27FC236}">
              <a16:creationId xmlns:a16="http://schemas.microsoft.com/office/drawing/2014/main" id="{1D1B48B0-8C65-4C72-92C4-80757C5A839A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51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498</xdr:row>
      <xdr:rowOff>0</xdr:rowOff>
    </xdr:from>
    <xdr:ext cx="304800" cy="304800"/>
    <xdr:sp macro="" textlink="">
      <xdr:nvSpPr>
        <xdr:cNvPr id="848" name="AutoShape 1">
          <a:extLst>
            <a:ext uri="{FF2B5EF4-FFF2-40B4-BE49-F238E27FC236}">
              <a16:creationId xmlns:a16="http://schemas.microsoft.com/office/drawing/2014/main" id="{2285753E-6D2D-4C8E-971D-720937BA0E27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51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498</xdr:row>
      <xdr:rowOff>0</xdr:rowOff>
    </xdr:from>
    <xdr:ext cx="304800" cy="304800"/>
    <xdr:sp macro="" textlink="">
      <xdr:nvSpPr>
        <xdr:cNvPr id="849" name="AutoShape 1">
          <a:extLst>
            <a:ext uri="{FF2B5EF4-FFF2-40B4-BE49-F238E27FC236}">
              <a16:creationId xmlns:a16="http://schemas.microsoft.com/office/drawing/2014/main" id="{EA39BDEE-F25F-4789-BE0F-A7DD36C34EFA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51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498</xdr:row>
      <xdr:rowOff>0</xdr:rowOff>
    </xdr:from>
    <xdr:ext cx="304800" cy="304800"/>
    <xdr:sp macro="" textlink="">
      <xdr:nvSpPr>
        <xdr:cNvPr id="850" name="AutoShape 1">
          <a:extLst>
            <a:ext uri="{FF2B5EF4-FFF2-40B4-BE49-F238E27FC236}">
              <a16:creationId xmlns:a16="http://schemas.microsoft.com/office/drawing/2014/main" id="{AE2F7A44-9538-4D99-80FC-4E7B0CA69DC4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51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498</xdr:row>
      <xdr:rowOff>0</xdr:rowOff>
    </xdr:from>
    <xdr:ext cx="304800" cy="304800"/>
    <xdr:sp macro="" textlink="">
      <xdr:nvSpPr>
        <xdr:cNvPr id="851" name="AutoShape 1">
          <a:extLst>
            <a:ext uri="{FF2B5EF4-FFF2-40B4-BE49-F238E27FC236}">
              <a16:creationId xmlns:a16="http://schemas.microsoft.com/office/drawing/2014/main" id="{72D8DDD5-0955-4D1B-B3F3-0F637940B03A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51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498</xdr:row>
      <xdr:rowOff>0</xdr:rowOff>
    </xdr:from>
    <xdr:ext cx="304800" cy="304800"/>
    <xdr:sp macro="" textlink="">
      <xdr:nvSpPr>
        <xdr:cNvPr id="852" name="AutoShape 1">
          <a:extLst>
            <a:ext uri="{FF2B5EF4-FFF2-40B4-BE49-F238E27FC236}">
              <a16:creationId xmlns:a16="http://schemas.microsoft.com/office/drawing/2014/main" id="{32DA4036-066B-4B55-85BF-22BB856335FE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51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498</xdr:row>
      <xdr:rowOff>0</xdr:rowOff>
    </xdr:from>
    <xdr:ext cx="304800" cy="304800"/>
    <xdr:sp macro="" textlink="">
      <xdr:nvSpPr>
        <xdr:cNvPr id="853" name="AutoShape 1">
          <a:extLst>
            <a:ext uri="{FF2B5EF4-FFF2-40B4-BE49-F238E27FC236}">
              <a16:creationId xmlns:a16="http://schemas.microsoft.com/office/drawing/2014/main" id="{2D4C846D-9278-4ED1-84BF-1A30C106EC76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51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498</xdr:row>
      <xdr:rowOff>0</xdr:rowOff>
    </xdr:from>
    <xdr:ext cx="304800" cy="304800"/>
    <xdr:sp macro="" textlink="">
      <xdr:nvSpPr>
        <xdr:cNvPr id="854" name="AutoShape 1">
          <a:extLst>
            <a:ext uri="{FF2B5EF4-FFF2-40B4-BE49-F238E27FC236}">
              <a16:creationId xmlns:a16="http://schemas.microsoft.com/office/drawing/2014/main" id="{B9C5C987-19EE-4593-B104-94DB5FCEC5B7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51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498</xdr:row>
      <xdr:rowOff>0</xdr:rowOff>
    </xdr:from>
    <xdr:ext cx="304800" cy="304800"/>
    <xdr:sp macro="" textlink="">
      <xdr:nvSpPr>
        <xdr:cNvPr id="855" name="AutoShape 1">
          <a:extLst>
            <a:ext uri="{FF2B5EF4-FFF2-40B4-BE49-F238E27FC236}">
              <a16:creationId xmlns:a16="http://schemas.microsoft.com/office/drawing/2014/main" id="{CB13AE20-D134-4580-A3FE-56BAA11A5946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51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498</xdr:row>
      <xdr:rowOff>0</xdr:rowOff>
    </xdr:from>
    <xdr:ext cx="304800" cy="304800"/>
    <xdr:sp macro="" textlink="">
      <xdr:nvSpPr>
        <xdr:cNvPr id="856" name="AutoShape 1">
          <a:extLst>
            <a:ext uri="{FF2B5EF4-FFF2-40B4-BE49-F238E27FC236}">
              <a16:creationId xmlns:a16="http://schemas.microsoft.com/office/drawing/2014/main" id="{CE09061F-E785-4336-822E-6061F592740B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51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498</xdr:row>
      <xdr:rowOff>0</xdr:rowOff>
    </xdr:from>
    <xdr:ext cx="304800" cy="304800"/>
    <xdr:sp macro="" textlink="">
      <xdr:nvSpPr>
        <xdr:cNvPr id="857" name="AutoShape 1">
          <a:extLst>
            <a:ext uri="{FF2B5EF4-FFF2-40B4-BE49-F238E27FC236}">
              <a16:creationId xmlns:a16="http://schemas.microsoft.com/office/drawing/2014/main" id="{80947887-D2D6-434B-B09D-A0AA773BA76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51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498</xdr:row>
      <xdr:rowOff>0</xdr:rowOff>
    </xdr:from>
    <xdr:ext cx="304800" cy="304800"/>
    <xdr:sp macro="" textlink="">
      <xdr:nvSpPr>
        <xdr:cNvPr id="858" name="AutoShape 1">
          <a:extLst>
            <a:ext uri="{FF2B5EF4-FFF2-40B4-BE49-F238E27FC236}">
              <a16:creationId xmlns:a16="http://schemas.microsoft.com/office/drawing/2014/main" id="{8CBE75AF-F233-42B8-B1B6-9377843DFC8D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51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498</xdr:row>
      <xdr:rowOff>0</xdr:rowOff>
    </xdr:from>
    <xdr:ext cx="304800" cy="304800"/>
    <xdr:sp macro="" textlink="">
      <xdr:nvSpPr>
        <xdr:cNvPr id="859" name="AutoShape 1">
          <a:extLst>
            <a:ext uri="{FF2B5EF4-FFF2-40B4-BE49-F238E27FC236}">
              <a16:creationId xmlns:a16="http://schemas.microsoft.com/office/drawing/2014/main" id="{C6B2FFFA-7DF4-40C5-8C16-530EEC4DD3C7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51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498</xdr:row>
      <xdr:rowOff>0</xdr:rowOff>
    </xdr:from>
    <xdr:ext cx="304800" cy="304800"/>
    <xdr:sp macro="" textlink="">
      <xdr:nvSpPr>
        <xdr:cNvPr id="860" name="AutoShape 1">
          <a:extLst>
            <a:ext uri="{FF2B5EF4-FFF2-40B4-BE49-F238E27FC236}">
              <a16:creationId xmlns:a16="http://schemas.microsoft.com/office/drawing/2014/main" id="{001ABB5B-1D0C-42E9-9564-640D1338E08F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51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498</xdr:row>
      <xdr:rowOff>0</xdr:rowOff>
    </xdr:from>
    <xdr:ext cx="304800" cy="304800"/>
    <xdr:sp macro="" textlink="">
      <xdr:nvSpPr>
        <xdr:cNvPr id="861" name="AutoShape 1">
          <a:extLst>
            <a:ext uri="{FF2B5EF4-FFF2-40B4-BE49-F238E27FC236}">
              <a16:creationId xmlns:a16="http://schemas.microsoft.com/office/drawing/2014/main" id="{9E930058-20F3-4D3D-A8A9-75146657E28B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51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498</xdr:row>
      <xdr:rowOff>0</xdr:rowOff>
    </xdr:from>
    <xdr:ext cx="304800" cy="304800"/>
    <xdr:sp macro="" textlink="">
      <xdr:nvSpPr>
        <xdr:cNvPr id="862" name="AutoShape 1">
          <a:extLst>
            <a:ext uri="{FF2B5EF4-FFF2-40B4-BE49-F238E27FC236}">
              <a16:creationId xmlns:a16="http://schemas.microsoft.com/office/drawing/2014/main" id="{85CD3F4F-CBF3-4234-85D7-B29FD75DCF6B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51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498</xdr:row>
      <xdr:rowOff>0</xdr:rowOff>
    </xdr:from>
    <xdr:ext cx="304800" cy="304800"/>
    <xdr:sp macro="" textlink="">
      <xdr:nvSpPr>
        <xdr:cNvPr id="863" name="AutoShape 1">
          <a:extLst>
            <a:ext uri="{FF2B5EF4-FFF2-40B4-BE49-F238E27FC236}">
              <a16:creationId xmlns:a16="http://schemas.microsoft.com/office/drawing/2014/main" id="{7CFCA9AB-9912-4066-B4BF-0FF9C17D8F50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51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498</xdr:row>
      <xdr:rowOff>0</xdr:rowOff>
    </xdr:from>
    <xdr:ext cx="304800" cy="304800"/>
    <xdr:sp macro="" textlink="">
      <xdr:nvSpPr>
        <xdr:cNvPr id="864" name="AutoShape 1">
          <a:extLst>
            <a:ext uri="{FF2B5EF4-FFF2-40B4-BE49-F238E27FC236}">
              <a16:creationId xmlns:a16="http://schemas.microsoft.com/office/drawing/2014/main" id="{19EA6979-94D6-4786-B0C1-8D8213062915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51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498</xdr:row>
      <xdr:rowOff>0</xdr:rowOff>
    </xdr:from>
    <xdr:ext cx="304800" cy="304800"/>
    <xdr:sp macro="" textlink="">
      <xdr:nvSpPr>
        <xdr:cNvPr id="865" name="AutoShape 1">
          <a:extLst>
            <a:ext uri="{FF2B5EF4-FFF2-40B4-BE49-F238E27FC236}">
              <a16:creationId xmlns:a16="http://schemas.microsoft.com/office/drawing/2014/main" id="{B1CCCB90-666E-45E2-8323-F0DFE0FD0E26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51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498</xdr:row>
      <xdr:rowOff>0</xdr:rowOff>
    </xdr:from>
    <xdr:ext cx="304800" cy="304800"/>
    <xdr:sp macro="" textlink="">
      <xdr:nvSpPr>
        <xdr:cNvPr id="866" name="AutoShape 1">
          <a:extLst>
            <a:ext uri="{FF2B5EF4-FFF2-40B4-BE49-F238E27FC236}">
              <a16:creationId xmlns:a16="http://schemas.microsoft.com/office/drawing/2014/main" id="{A07B12AC-5C4B-4B36-8EC7-429418329C8E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51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498</xdr:row>
      <xdr:rowOff>0</xdr:rowOff>
    </xdr:from>
    <xdr:ext cx="304800" cy="304800"/>
    <xdr:sp macro="" textlink="">
      <xdr:nvSpPr>
        <xdr:cNvPr id="867" name="AutoShape 1">
          <a:extLst>
            <a:ext uri="{FF2B5EF4-FFF2-40B4-BE49-F238E27FC236}">
              <a16:creationId xmlns:a16="http://schemas.microsoft.com/office/drawing/2014/main" id="{E75C5B77-9F4E-49D0-858E-A46483ABE5CA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51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498</xdr:row>
      <xdr:rowOff>0</xdr:rowOff>
    </xdr:from>
    <xdr:ext cx="304800" cy="304800"/>
    <xdr:sp macro="" textlink="">
      <xdr:nvSpPr>
        <xdr:cNvPr id="868" name="AutoShape 1">
          <a:extLst>
            <a:ext uri="{FF2B5EF4-FFF2-40B4-BE49-F238E27FC236}">
              <a16:creationId xmlns:a16="http://schemas.microsoft.com/office/drawing/2014/main" id="{750F7352-8FAA-4C0C-87B2-401EC6DECE97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51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498</xdr:row>
      <xdr:rowOff>0</xdr:rowOff>
    </xdr:from>
    <xdr:ext cx="304800" cy="304800"/>
    <xdr:sp macro="" textlink="">
      <xdr:nvSpPr>
        <xdr:cNvPr id="869" name="AutoShape 1">
          <a:extLst>
            <a:ext uri="{FF2B5EF4-FFF2-40B4-BE49-F238E27FC236}">
              <a16:creationId xmlns:a16="http://schemas.microsoft.com/office/drawing/2014/main" id="{CBDEE37E-EB65-4027-8313-269A85BB972F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51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498</xdr:row>
      <xdr:rowOff>0</xdr:rowOff>
    </xdr:from>
    <xdr:ext cx="304800" cy="304800"/>
    <xdr:sp macro="" textlink="">
      <xdr:nvSpPr>
        <xdr:cNvPr id="870" name="AutoShape 1">
          <a:extLst>
            <a:ext uri="{FF2B5EF4-FFF2-40B4-BE49-F238E27FC236}">
              <a16:creationId xmlns:a16="http://schemas.microsoft.com/office/drawing/2014/main" id="{4AA944C4-2A97-4497-9B2B-2F4639EF28FC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51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498</xdr:row>
      <xdr:rowOff>0</xdr:rowOff>
    </xdr:from>
    <xdr:ext cx="304800" cy="304800"/>
    <xdr:sp macro="" textlink="">
      <xdr:nvSpPr>
        <xdr:cNvPr id="871" name="AutoShape 1">
          <a:extLst>
            <a:ext uri="{FF2B5EF4-FFF2-40B4-BE49-F238E27FC236}">
              <a16:creationId xmlns:a16="http://schemas.microsoft.com/office/drawing/2014/main" id="{5A5E92B0-D78B-4F90-9ECA-59CD50313AE5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51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498</xdr:row>
      <xdr:rowOff>0</xdr:rowOff>
    </xdr:from>
    <xdr:ext cx="304800" cy="304800"/>
    <xdr:sp macro="" textlink="">
      <xdr:nvSpPr>
        <xdr:cNvPr id="872" name="AutoShape 1">
          <a:extLst>
            <a:ext uri="{FF2B5EF4-FFF2-40B4-BE49-F238E27FC236}">
              <a16:creationId xmlns:a16="http://schemas.microsoft.com/office/drawing/2014/main" id="{3E43E606-11D7-4526-A481-7453D87C35AA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51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498</xdr:row>
      <xdr:rowOff>0</xdr:rowOff>
    </xdr:from>
    <xdr:ext cx="304800" cy="304800"/>
    <xdr:sp macro="" textlink="">
      <xdr:nvSpPr>
        <xdr:cNvPr id="873" name="AutoShape 1">
          <a:extLst>
            <a:ext uri="{FF2B5EF4-FFF2-40B4-BE49-F238E27FC236}">
              <a16:creationId xmlns:a16="http://schemas.microsoft.com/office/drawing/2014/main" id="{232CEEF6-39BD-4219-B6E9-A0706E27B990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51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498</xdr:row>
      <xdr:rowOff>0</xdr:rowOff>
    </xdr:from>
    <xdr:ext cx="304800" cy="304800"/>
    <xdr:sp macro="" textlink="">
      <xdr:nvSpPr>
        <xdr:cNvPr id="874" name="AutoShape 1">
          <a:extLst>
            <a:ext uri="{FF2B5EF4-FFF2-40B4-BE49-F238E27FC236}">
              <a16:creationId xmlns:a16="http://schemas.microsoft.com/office/drawing/2014/main" id="{C55F6C35-AAD9-4773-81CF-4E04F061FBBE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51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498</xdr:row>
      <xdr:rowOff>0</xdr:rowOff>
    </xdr:from>
    <xdr:ext cx="304800" cy="304800"/>
    <xdr:sp macro="" textlink="">
      <xdr:nvSpPr>
        <xdr:cNvPr id="875" name="AutoShape 1">
          <a:extLst>
            <a:ext uri="{FF2B5EF4-FFF2-40B4-BE49-F238E27FC236}">
              <a16:creationId xmlns:a16="http://schemas.microsoft.com/office/drawing/2014/main" id="{9975F422-AFAD-4CA3-A578-33682C6FFA26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51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498</xdr:row>
      <xdr:rowOff>0</xdr:rowOff>
    </xdr:from>
    <xdr:ext cx="304800" cy="304800"/>
    <xdr:sp macro="" textlink="">
      <xdr:nvSpPr>
        <xdr:cNvPr id="876" name="AutoShape 1">
          <a:extLst>
            <a:ext uri="{FF2B5EF4-FFF2-40B4-BE49-F238E27FC236}">
              <a16:creationId xmlns:a16="http://schemas.microsoft.com/office/drawing/2014/main" id="{07552308-FF31-4158-8F51-E17C8B6D06B2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51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498</xdr:row>
      <xdr:rowOff>0</xdr:rowOff>
    </xdr:from>
    <xdr:ext cx="304800" cy="304800"/>
    <xdr:sp macro="" textlink="">
      <xdr:nvSpPr>
        <xdr:cNvPr id="877" name="AutoShape 1">
          <a:extLst>
            <a:ext uri="{FF2B5EF4-FFF2-40B4-BE49-F238E27FC236}">
              <a16:creationId xmlns:a16="http://schemas.microsoft.com/office/drawing/2014/main" id="{B50A6F34-081D-4B61-89A5-AEE1B342CECF}"/>
            </a:ext>
            <a:ext uri="{147F2762-F138-4A5C-976F-8EAC2B608ADB}">
              <a16:predDERef xmlns:a16="http://schemas.microsoft.com/office/drawing/2014/main" pred="{A9C9C4DB-4B97-447C-9099-E87BCB3C537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51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498</xdr:row>
      <xdr:rowOff>0</xdr:rowOff>
    </xdr:from>
    <xdr:ext cx="304800" cy="304800"/>
    <xdr:sp macro="" textlink="">
      <xdr:nvSpPr>
        <xdr:cNvPr id="878" name="AutoShape 1">
          <a:extLst>
            <a:ext uri="{FF2B5EF4-FFF2-40B4-BE49-F238E27FC236}">
              <a16:creationId xmlns:a16="http://schemas.microsoft.com/office/drawing/2014/main" id="{510A66AE-9E04-4BF0-A90A-04A0A8F573C5}"/>
            </a:ext>
            <a:ext uri="{147F2762-F138-4A5C-976F-8EAC2B608ADB}">
              <a16:predDERef xmlns:a16="http://schemas.microsoft.com/office/drawing/2014/main" pred="{CD89554D-BD76-42AD-819A-278AD445B86E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51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498</xdr:row>
      <xdr:rowOff>0</xdr:rowOff>
    </xdr:from>
    <xdr:ext cx="304800" cy="304800"/>
    <xdr:sp macro="" textlink="">
      <xdr:nvSpPr>
        <xdr:cNvPr id="879" name="AutoShape 1">
          <a:extLst>
            <a:ext uri="{FF2B5EF4-FFF2-40B4-BE49-F238E27FC236}">
              <a16:creationId xmlns:a16="http://schemas.microsoft.com/office/drawing/2014/main" id="{517BC88B-4420-422B-8BF1-652534A5077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51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498</xdr:row>
      <xdr:rowOff>0</xdr:rowOff>
    </xdr:from>
    <xdr:ext cx="304800" cy="304800"/>
    <xdr:sp macro="" textlink="">
      <xdr:nvSpPr>
        <xdr:cNvPr id="880" name="AutoShape 1">
          <a:extLst>
            <a:ext uri="{FF2B5EF4-FFF2-40B4-BE49-F238E27FC236}">
              <a16:creationId xmlns:a16="http://schemas.microsoft.com/office/drawing/2014/main" id="{E1969F9C-3980-43FB-B42D-11BD447B42D7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51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498</xdr:row>
      <xdr:rowOff>0</xdr:rowOff>
    </xdr:from>
    <xdr:ext cx="304800" cy="304800"/>
    <xdr:sp macro="" textlink="">
      <xdr:nvSpPr>
        <xdr:cNvPr id="881" name="AutoShape 1">
          <a:extLst>
            <a:ext uri="{FF2B5EF4-FFF2-40B4-BE49-F238E27FC236}">
              <a16:creationId xmlns:a16="http://schemas.microsoft.com/office/drawing/2014/main" id="{D6ED898F-F1DC-4FD8-8B06-FBF7835FC33C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51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498</xdr:row>
      <xdr:rowOff>0</xdr:rowOff>
    </xdr:from>
    <xdr:ext cx="304800" cy="304800"/>
    <xdr:sp macro="" textlink="">
      <xdr:nvSpPr>
        <xdr:cNvPr id="882" name="AutoShape 1">
          <a:extLst>
            <a:ext uri="{FF2B5EF4-FFF2-40B4-BE49-F238E27FC236}">
              <a16:creationId xmlns:a16="http://schemas.microsoft.com/office/drawing/2014/main" id="{1BAD39EA-52E8-495E-80D1-3B8795C70EA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51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498</xdr:row>
      <xdr:rowOff>0</xdr:rowOff>
    </xdr:from>
    <xdr:ext cx="304800" cy="304800"/>
    <xdr:sp macro="" textlink="">
      <xdr:nvSpPr>
        <xdr:cNvPr id="883" name="AutoShape 1">
          <a:extLst>
            <a:ext uri="{FF2B5EF4-FFF2-40B4-BE49-F238E27FC236}">
              <a16:creationId xmlns:a16="http://schemas.microsoft.com/office/drawing/2014/main" id="{2272E08A-F88B-4BC5-A936-D2AA96159FB1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51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498</xdr:row>
      <xdr:rowOff>0</xdr:rowOff>
    </xdr:from>
    <xdr:ext cx="304800" cy="304800"/>
    <xdr:sp macro="" textlink="">
      <xdr:nvSpPr>
        <xdr:cNvPr id="884" name="AutoShape 1">
          <a:extLst>
            <a:ext uri="{FF2B5EF4-FFF2-40B4-BE49-F238E27FC236}">
              <a16:creationId xmlns:a16="http://schemas.microsoft.com/office/drawing/2014/main" id="{E67D5856-149E-42B1-B051-B8FF4834EEEF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51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498</xdr:row>
      <xdr:rowOff>0</xdr:rowOff>
    </xdr:from>
    <xdr:ext cx="304800" cy="304800"/>
    <xdr:sp macro="" textlink="">
      <xdr:nvSpPr>
        <xdr:cNvPr id="885" name="AutoShape 1">
          <a:extLst>
            <a:ext uri="{FF2B5EF4-FFF2-40B4-BE49-F238E27FC236}">
              <a16:creationId xmlns:a16="http://schemas.microsoft.com/office/drawing/2014/main" id="{B7C5B50E-ECD1-4529-AAD4-96EFFC55AB3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51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498</xdr:row>
      <xdr:rowOff>0</xdr:rowOff>
    </xdr:from>
    <xdr:ext cx="304800" cy="304800"/>
    <xdr:sp macro="" textlink="">
      <xdr:nvSpPr>
        <xdr:cNvPr id="886" name="AutoShape 1">
          <a:extLst>
            <a:ext uri="{FF2B5EF4-FFF2-40B4-BE49-F238E27FC236}">
              <a16:creationId xmlns:a16="http://schemas.microsoft.com/office/drawing/2014/main" id="{883C32BF-50E4-4D13-B661-F827BA7C93CC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51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498</xdr:row>
      <xdr:rowOff>0</xdr:rowOff>
    </xdr:from>
    <xdr:ext cx="304800" cy="304800"/>
    <xdr:sp macro="" textlink="">
      <xdr:nvSpPr>
        <xdr:cNvPr id="887" name="AutoShape 1">
          <a:extLst>
            <a:ext uri="{FF2B5EF4-FFF2-40B4-BE49-F238E27FC236}">
              <a16:creationId xmlns:a16="http://schemas.microsoft.com/office/drawing/2014/main" id="{2070D16C-51FE-4C1A-9059-6E3E4F22E3E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51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498</xdr:row>
      <xdr:rowOff>0</xdr:rowOff>
    </xdr:from>
    <xdr:ext cx="304800" cy="304800"/>
    <xdr:sp macro="" textlink="">
      <xdr:nvSpPr>
        <xdr:cNvPr id="888" name="AutoShape 1">
          <a:extLst>
            <a:ext uri="{FF2B5EF4-FFF2-40B4-BE49-F238E27FC236}">
              <a16:creationId xmlns:a16="http://schemas.microsoft.com/office/drawing/2014/main" id="{2A226FC6-DAE8-4F11-875B-3BBDB625B90F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51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498</xdr:row>
      <xdr:rowOff>0</xdr:rowOff>
    </xdr:from>
    <xdr:ext cx="304800" cy="304800"/>
    <xdr:sp macro="" textlink="">
      <xdr:nvSpPr>
        <xdr:cNvPr id="889" name="AutoShape 1">
          <a:extLst>
            <a:ext uri="{FF2B5EF4-FFF2-40B4-BE49-F238E27FC236}">
              <a16:creationId xmlns:a16="http://schemas.microsoft.com/office/drawing/2014/main" id="{7E7D1826-3BED-4BA7-9616-8ADFAACC04DA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51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498</xdr:row>
      <xdr:rowOff>0</xdr:rowOff>
    </xdr:from>
    <xdr:ext cx="304800" cy="304800"/>
    <xdr:sp macro="" textlink="">
      <xdr:nvSpPr>
        <xdr:cNvPr id="890" name="AutoShape 1">
          <a:extLst>
            <a:ext uri="{FF2B5EF4-FFF2-40B4-BE49-F238E27FC236}">
              <a16:creationId xmlns:a16="http://schemas.microsoft.com/office/drawing/2014/main" id="{D4D16CD7-E836-4F43-8520-A55270D1A6A7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51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498</xdr:row>
      <xdr:rowOff>0</xdr:rowOff>
    </xdr:from>
    <xdr:ext cx="304800" cy="304800"/>
    <xdr:sp macro="" textlink="">
      <xdr:nvSpPr>
        <xdr:cNvPr id="891" name="AutoShape 1">
          <a:extLst>
            <a:ext uri="{FF2B5EF4-FFF2-40B4-BE49-F238E27FC236}">
              <a16:creationId xmlns:a16="http://schemas.microsoft.com/office/drawing/2014/main" id="{7624832C-773A-4A56-AAFA-3E63C1068257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51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498</xdr:row>
      <xdr:rowOff>0</xdr:rowOff>
    </xdr:from>
    <xdr:ext cx="304800" cy="304800"/>
    <xdr:sp macro="" textlink="">
      <xdr:nvSpPr>
        <xdr:cNvPr id="892" name="AutoShape 1">
          <a:extLst>
            <a:ext uri="{FF2B5EF4-FFF2-40B4-BE49-F238E27FC236}">
              <a16:creationId xmlns:a16="http://schemas.microsoft.com/office/drawing/2014/main" id="{631EB936-AF54-4C4F-ABA4-8A9DF8518F3E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51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498</xdr:row>
      <xdr:rowOff>0</xdr:rowOff>
    </xdr:from>
    <xdr:ext cx="304800" cy="304800"/>
    <xdr:sp macro="" textlink="">
      <xdr:nvSpPr>
        <xdr:cNvPr id="893" name="AutoShape 1">
          <a:extLst>
            <a:ext uri="{FF2B5EF4-FFF2-40B4-BE49-F238E27FC236}">
              <a16:creationId xmlns:a16="http://schemas.microsoft.com/office/drawing/2014/main" id="{93280ECF-8714-4940-AFFB-41734F414CEC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51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498</xdr:row>
      <xdr:rowOff>0</xdr:rowOff>
    </xdr:from>
    <xdr:ext cx="304800" cy="304800"/>
    <xdr:sp macro="" textlink="">
      <xdr:nvSpPr>
        <xdr:cNvPr id="894" name="AutoShape 1">
          <a:extLst>
            <a:ext uri="{FF2B5EF4-FFF2-40B4-BE49-F238E27FC236}">
              <a16:creationId xmlns:a16="http://schemas.microsoft.com/office/drawing/2014/main" id="{34B3AE25-A4DA-43C3-A620-40ACF0BCEA3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51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498</xdr:row>
      <xdr:rowOff>0</xdr:rowOff>
    </xdr:from>
    <xdr:ext cx="304800" cy="304800"/>
    <xdr:sp macro="" textlink="">
      <xdr:nvSpPr>
        <xdr:cNvPr id="895" name="AutoShape 1">
          <a:extLst>
            <a:ext uri="{FF2B5EF4-FFF2-40B4-BE49-F238E27FC236}">
              <a16:creationId xmlns:a16="http://schemas.microsoft.com/office/drawing/2014/main" id="{4AD96553-F4C7-433F-8B99-A99C046160CA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51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498</xdr:row>
      <xdr:rowOff>0</xdr:rowOff>
    </xdr:from>
    <xdr:ext cx="304800" cy="304800"/>
    <xdr:sp macro="" textlink="">
      <xdr:nvSpPr>
        <xdr:cNvPr id="896" name="AutoShape 1">
          <a:extLst>
            <a:ext uri="{FF2B5EF4-FFF2-40B4-BE49-F238E27FC236}">
              <a16:creationId xmlns:a16="http://schemas.microsoft.com/office/drawing/2014/main" id="{028A2FBB-057C-45EC-981D-6757695F9253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51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498</xdr:row>
      <xdr:rowOff>0</xdr:rowOff>
    </xdr:from>
    <xdr:ext cx="304800" cy="304800"/>
    <xdr:sp macro="" textlink="">
      <xdr:nvSpPr>
        <xdr:cNvPr id="897" name="AutoShape 1">
          <a:extLst>
            <a:ext uri="{FF2B5EF4-FFF2-40B4-BE49-F238E27FC236}">
              <a16:creationId xmlns:a16="http://schemas.microsoft.com/office/drawing/2014/main" id="{4089A15F-FD10-4F4E-BA93-E10CC4ADF50C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51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498</xdr:row>
      <xdr:rowOff>0</xdr:rowOff>
    </xdr:from>
    <xdr:ext cx="304800" cy="304800"/>
    <xdr:sp macro="" textlink="">
      <xdr:nvSpPr>
        <xdr:cNvPr id="898" name="AutoShape 1">
          <a:extLst>
            <a:ext uri="{FF2B5EF4-FFF2-40B4-BE49-F238E27FC236}">
              <a16:creationId xmlns:a16="http://schemas.microsoft.com/office/drawing/2014/main" id="{61C1FC6D-8656-4E2E-ABB8-E9B4EAD8C7C7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51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498</xdr:row>
      <xdr:rowOff>0</xdr:rowOff>
    </xdr:from>
    <xdr:ext cx="304800" cy="304800"/>
    <xdr:sp macro="" textlink="">
      <xdr:nvSpPr>
        <xdr:cNvPr id="899" name="AutoShape 1">
          <a:extLst>
            <a:ext uri="{FF2B5EF4-FFF2-40B4-BE49-F238E27FC236}">
              <a16:creationId xmlns:a16="http://schemas.microsoft.com/office/drawing/2014/main" id="{544D5905-975C-41A5-89CE-5D54B5DD71BD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51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498</xdr:row>
      <xdr:rowOff>0</xdr:rowOff>
    </xdr:from>
    <xdr:ext cx="304800" cy="304800"/>
    <xdr:sp macro="" textlink="">
      <xdr:nvSpPr>
        <xdr:cNvPr id="900" name="AutoShape 1">
          <a:extLst>
            <a:ext uri="{FF2B5EF4-FFF2-40B4-BE49-F238E27FC236}">
              <a16:creationId xmlns:a16="http://schemas.microsoft.com/office/drawing/2014/main" id="{F3C2B334-BDB2-478C-A9A4-73B927E0E2B5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51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498</xdr:row>
      <xdr:rowOff>0</xdr:rowOff>
    </xdr:from>
    <xdr:ext cx="304800" cy="304800"/>
    <xdr:sp macro="" textlink="">
      <xdr:nvSpPr>
        <xdr:cNvPr id="901" name="AutoShape 1">
          <a:extLst>
            <a:ext uri="{FF2B5EF4-FFF2-40B4-BE49-F238E27FC236}">
              <a16:creationId xmlns:a16="http://schemas.microsoft.com/office/drawing/2014/main" id="{31E46240-9106-4850-866B-77BDAA375A65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51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498</xdr:row>
      <xdr:rowOff>0</xdr:rowOff>
    </xdr:from>
    <xdr:ext cx="304800" cy="304800"/>
    <xdr:sp macro="" textlink="">
      <xdr:nvSpPr>
        <xdr:cNvPr id="902" name="AutoShape 1">
          <a:extLst>
            <a:ext uri="{FF2B5EF4-FFF2-40B4-BE49-F238E27FC236}">
              <a16:creationId xmlns:a16="http://schemas.microsoft.com/office/drawing/2014/main" id="{6E2ED3DF-F14E-4041-B1D2-FB1FE70E5315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51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498</xdr:row>
      <xdr:rowOff>0</xdr:rowOff>
    </xdr:from>
    <xdr:ext cx="304800" cy="304800"/>
    <xdr:sp macro="" textlink="">
      <xdr:nvSpPr>
        <xdr:cNvPr id="903" name="AutoShape 1">
          <a:extLst>
            <a:ext uri="{FF2B5EF4-FFF2-40B4-BE49-F238E27FC236}">
              <a16:creationId xmlns:a16="http://schemas.microsoft.com/office/drawing/2014/main" id="{90EE1CB1-BB94-4F9F-AE08-F91FE28F0552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51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498</xdr:row>
      <xdr:rowOff>0</xdr:rowOff>
    </xdr:from>
    <xdr:ext cx="304800" cy="304800"/>
    <xdr:sp macro="" textlink="">
      <xdr:nvSpPr>
        <xdr:cNvPr id="904" name="AutoShape 1">
          <a:extLst>
            <a:ext uri="{FF2B5EF4-FFF2-40B4-BE49-F238E27FC236}">
              <a16:creationId xmlns:a16="http://schemas.microsoft.com/office/drawing/2014/main" id="{73B80E75-602E-4603-AB82-6D59C649299C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51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498</xdr:row>
      <xdr:rowOff>0</xdr:rowOff>
    </xdr:from>
    <xdr:ext cx="304800" cy="304800"/>
    <xdr:sp macro="" textlink="">
      <xdr:nvSpPr>
        <xdr:cNvPr id="905" name="AutoShape 1">
          <a:extLst>
            <a:ext uri="{FF2B5EF4-FFF2-40B4-BE49-F238E27FC236}">
              <a16:creationId xmlns:a16="http://schemas.microsoft.com/office/drawing/2014/main" id="{A9E7E6D5-1DDC-4675-914D-FB727A5A5181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51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498</xdr:row>
      <xdr:rowOff>0</xdr:rowOff>
    </xdr:from>
    <xdr:ext cx="304800" cy="304800"/>
    <xdr:sp macro="" textlink="">
      <xdr:nvSpPr>
        <xdr:cNvPr id="906" name="AutoShape 1">
          <a:extLst>
            <a:ext uri="{FF2B5EF4-FFF2-40B4-BE49-F238E27FC236}">
              <a16:creationId xmlns:a16="http://schemas.microsoft.com/office/drawing/2014/main" id="{D954E97A-0E76-425C-8CB1-54C1E248C90C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51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498</xdr:row>
      <xdr:rowOff>0</xdr:rowOff>
    </xdr:from>
    <xdr:ext cx="304800" cy="304800"/>
    <xdr:sp macro="" textlink="">
      <xdr:nvSpPr>
        <xdr:cNvPr id="907" name="AutoShape 1">
          <a:extLst>
            <a:ext uri="{FF2B5EF4-FFF2-40B4-BE49-F238E27FC236}">
              <a16:creationId xmlns:a16="http://schemas.microsoft.com/office/drawing/2014/main" id="{BE212DBD-5C89-4910-B3E7-37CD3B5EA69F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51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498</xdr:row>
      <xdr:rowOff>0</xdr:rowOff>
    </xdr:from>
    <xdr:ext cx="304800" cy="304800"/>
    <xdr:sp macro="" textlink="">
      <xdr:nvSpPr>
        <xdr:cNvPr id="908" name="AutoShape 1">
          <a:extLst>
            <a:ext uri="{FF2B5EF4-FFF2-40B4-BE49-F238E27FC236}">
              <a16:creationId xmlns:a16="http://schemas.microsoft.com/office/drawing/2014/main" id="{45B40DBE-4A02-41B2-9B31-CF927A591AF2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51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498</xdr:row>
      <xdr:rowOff>0</xdr:rowOff>
    </xdr:from>
    <xdr:ext cx="304800" cy="304800"/>
    <xdr:sp macro="" textlink="">
      <xdr:nvSpPr>
        <xdr:cNvPr id="909" name="AutoShape 1">
          <a:extLst>
            <a:ext uri="{FF2B5EF4-FFF2-40B4-BE49-F238E27FC236}">
              <a16:creationId xmlns:a16="http://schemas.microsoft.com/office/drawing/2014/main" id="{34E0E4FB-F4DC-44B1-B932-6EFDF542DA5E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51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498</xdr:row>
      <xdr:rowOff>0</xdr:rowOff>
    </xdr:from>
    <xdr:ext cx="304800" cy="304800"/>
    <xdr:sp macro="" textlink="">
      <xdr:nvSpPr>
        <xdr:cNvPr id="910" name="AutoShape 1">
          <a:extLst>
            <a:ext uri="{FF2B5EF4-FFF2-40B4-BE49-F238E27FC236}">
              <a16:creationId xmlns:a16="http://schemas.microsoft.com/office/drawing/2014/main" id="{DC63D63A-9D86-477D-887B-A3E45D4D6CCB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51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498</xdr:row>
      <xdr:rowOff>0</xdr:rowOff>
    </xdr:from>
    <xdr:ext cx="304800" cy="304800"/>
    <xdr:sp macro="" textlink="">
      <xdr:nvSpPr>
        <xdr:cNvPr id="911" name="AutoShape 1">
          <a:extLst>
            <a:ext uri="{FF2B5EF4-FFF2-40B4-BE49-F238E27FC236}">
              <a16:creationId xmlns:a16="http://schemas.microsoft.com/office/drawing/2014/main" id="{DFBA2F86-5D1D-42B3-B35B-E492D0C9C496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51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498</xdr:row>
      <xdr:rowOff>0</xdr:rowOff>
    </xdr:from>
    <xdr:ext cx="304800" cy="304800"/>
    <xdr:sp macro="" textlink="">
      <xdr:nvSpPr>
        <xdr:cNvPr id="912" name="AutoShape 1">
          <a:extLst>
            <a:ext uri="{FF2B5EF4-FFF2-40B4-BE49-F238E27FC236}">
              <a16:creationId xmlns:a16="http://schemas.microsoft.com/office/drawing/2014/main" id="{1A8EE414-8A4B-4E91-AE2F-857E51FA08D3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51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498</xdr:row>
      <xdr:rowOff>0</xdr:rowOff>
    </xdr:from>
    <xdr:ext cx="304800" cy="304800"/>
    <xdr:sp macro="" textlink="">
      <xdr:nvSpPr>
        <xdr:cNvPr id="913" name="AutoShape 1">
          <a:extLst>
            <a:ext uri="{FF2B5EF4-FFF2-40B4-BE49-F238E27FC236}">
              <a16:creationId xmlns:a16="http://schemas.microsoft.com/office/drawing/2014/main" id="{C89818CA-710A-4F41-A7C8-4CE14D07F647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51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498</xdr:row>
      <xdr:rowOff>0</xdr:rowOff>
    </xdr:from>
    <xdr:ext cx="304800" cy="304800"/>
    <xdr:sp macro="" textlink="">
      <xdr:nvSpPr>
        <xdr:cNvPr id="914" name="AutoShape 1">
          <a:extLst>
            <a:ext uri="{FF2B5EF4-FFF2-40B4-BE49-F238E27FC236}">
              <a16:creationId xmlns:a16="http://schemas.microsoft.com/office/drawing/2014/main" id="{74D0B830-C678-4735-9043-CE2393B84F0A}"/>
            </a:ext>
            <a:ext uri="{147F2762-F138-4A5C-976F-8EAC2B608ADB}">
              <a16:predDERef xmlns:a16="http://schemas.microsoft.com/office/drawing/2014/main" pred="{A9C9C4DB-4B97-447C-9099-E87BCB3C537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51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498</xdr:row>
      <xdr:rowOff>0</xdr:rowOff>
    </xdr:from>
    <xdr:ext cx="304800" cy="304800"/>
    <xdr:sp macro="" textlink="">
      <xdr:nvSpPr>
        <xdr:cNvPr id="915" name="AutoShape 1">
          <a:extLst>
            <a:ext uri="{FF2B5EF4-FFF2-40B4-BE49-F238E27FC236}">
              <a16:creationId xmlns:a16="http://schemas.microsoft.com/office/drawing/2014/main" id="{821B3157-5082-49FD-BC3B-B8F7E45C9680}"/>
            </a:ext>
            <a:ext uri="{147F2762-F138-4A5C-976F-8EAC2B608ADB}">
              <a16:predDERef xmlns:a16="http://schemas.microsoft.com/office/drawing/2014/main" pred="{CD89554D-BD76-42AD-819A-278AD445B86E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51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498</xdr:row>
      <xdr:rowOff>0</xdr:rowOff>
    </xdr:from>
    <xdr:ext cx="304800" cy="304800"/>
    <xdr:sp macro="" textlink="">
      <xdr:nvSpPr>
        <xdr:cNvPr id="916" name="AutoShape 1">
          <a:extLst>
            <a:ext uri="{FF2B5EF4-FFF2-40B4-BE49-F238E27FC236}">
              <a16:creationId xmlns:a16="http://schemas.microsoft.com/office/drawing/2014/main" id="{8DC53C08-B5D6-4F58-8F62-EF6CB73D31C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51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498</xdr:row>
      <xdr:rowOff>0</xdr:rowOff>
    </xdr:from>
    <xdr:ext cx="304800" cy="304800"/>
    <xdr:sp macro="" textlink="">
      <xdr:nvSpPr>
        <xdr:cNvPr id="917" name="AutoShape 1">
          <a:extLst>
            <a:ext uri="{FF2B5EF4-FFF2-40B4-BE49-F238E27FC236}">
              <a16:creationId xmlns:a16="http://schemas.microsoft.com/office/drawing/2014/main" id="{9E1C958B-A2EF-479B-B8E1-E317104C177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51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498</xdr:row>
      <xdr:rowOff>0</xdr:rowOff>
    </xdr:from>
    <xdr:ext cx="304800" cy="304800"/>
    <xdr:sp macro="" textlink="">
      <xdr:nvSpPr>
        <xdr:cNvPr id="918" name="AutoShape 1">
          <a:extLst>
            <a:ext uri="{FF2B5EF4-FFF2-40B4-BE49-F238E27FC236}">
              <a16:creationId xmlns:a16="http://schemas.microsoft.com/office/drawing/2014/main" id="{D25D7DBB-0C71-448A-A389-5666F6CAB5DF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51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498</xdr:row>
      <xdr:rowOff>0</xdr:rowOff>
    </xdr:from>
    <xdr:ext cx="304800" cy="304800"/>
    <xdr:sp macro="" textlink="">
      <xdr:nvSpPr>
        <xdr:cNvPr id="919" name="AutoShape 1">
          <a:extLst>
            <a:ext uri="{FF2B5EF4-FFF2-40B4-BE49-F238E27FC236}">
              <a16:creationId xmlns:a16="http://schemas.microsoft.com/office/drawing/2014/main" id="{C60D932C-BF67-4053-B7BA-711BE686D2EF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51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498</xdr:row>
      <xdr:rowOff>0</xdr:rowOff>
    </xdr:from>
    <xdr:ext cx="304800" cy="304800"/>
    <xdr:sp macro="" textlink="">
      <xdr:nvSpPr>
        <xdr:cNvPr id="920" name="AutoShape 1">
          <a:extLst>
            <a:ext uri="{FF2B5EF4-FFF2-40B4-BE49-F238E27FC236}">
              <a16:creationId xmlns:a16="http://schemas.microsoft.com/office/drawing/2014/main" id="{443F08DD-F055-4272-B7E3-90749C42BA5C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51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498</xdr:row>
      <xdr:rowOff>0</xdr:rowOff>
    </xdr:from>
    <xdr:ext cx="304800" cy="304800"/>
    <xdr:sp macro="" textlink="">
      <xdr:nvSpPr>
        <xdr:cNvPr id="921" name="AutoShape 1">
          <a:extLst>
            <a:ext uri="{FF2B5EF4-FFF2-40B4-BE49-F238E27FC236}">
              <a16:creationId xmlns:a16="http://schemas.microsoft.com/office/drawing/2014/main" id="{1C361691-FD64-462F-A799-46B5B2D2DC3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51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498</xdr:row>
      <xdr:rowOff>0</xdr:rowOff>
    </xdr:from>
    <xdr:ext cx="304800" cy="304800"/>
    <xdr:sp macro="" textlink="">
      <xdr:nvSpPr>
        <xdr:cNvPr id="922" name="AutoShape 1">
          <a:extLst>
            <a:ext uri="{FF2B5EF4-FFF2-40B4-BE49-F238E27FC236}">
              <a16:creationId xmlns:a16="http://schemas.microsoft.com/office/drawing/2014/main" id="{55A78BB2-AB96-4B6D-81D3-815C253661CC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51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498</xdr:row>
      <xdr:rowOff>0</xdr:rowOff>
    </xdr:from>
    <xdr:ext cx="304800" cy="304800"/>
    <xdr:sp macro="" textlink="">
      <xdr:nvSpPr>
        <xdr:cNvPr id="923" name="AutoShape 1">
          <a:extLst>
            <a:ext uri="{FF2B5EF4-FFF2-40B4-BE49-F238E27FC236}">
              <a16:creationId xmlns:a16="http://schemas.microsoft.com/office/drawing/2014/main" id="{347E48B4-7CC8-45B3-AFE2-A628BEBAB3F6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51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498</xdr:row>
      <xdr:rowOff>0</xdr:rowOff>
    </xdr:from>
    <xdr:ext cx="304800" cy="304800"/>
    <xdr:sp macro="" textlink="">
      <xdr:nvSpPr>
        <xdr:cNvPr id="924" name="AutoShape 1">
          <a:extLst>
            <a:ext uri="{FF2B5EF4-FFF2-40B4-BE49-F238E27FC236}">
              <a16:creationId xmlns:a16="http://schemas.microsoft.com/office/drawing/2014/main" id="{52BDC76B-D1EF-4A60-9520-2EFB3E3CD724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51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498</xdr:row>
      <xdr:rowOff>0</xdr:rowOff>
    </xdr:from>
    <xdr:ext cx="304800" cy="304800"/>
    <xdr:sp macro="" textlink="">
      <xdr:nvSpPr>
        <xdr:cNvPr id="925" name="AutoShape 1">
          <a:extLst>
            <a:ext uri="{FF2B5EF4-FFF2-40B4-BE49-F238E27FC236}">
              <a16:creationId xmlns:a16="http://schemas.microsoft.com/office/drawing/2014/main" id="{BCC4436C-9FDF-4D2B-AF54-F02F7DD8ECCF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51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498</xdr:row>
      <xdr:rowOff>0</xdr:rowOff>
    </xdr:from>
    <xdr:ext cx="304800" cy="304800"/>
    <xdr:sp macro="" textlink="">
      <xdr:nvSpPr>
        <xdr:cNvPr id="926" name="AutoShape 1">
          <a:extLst>
            <a:ext uri="{FF2B5EF4-FFF2-40B4-BE49-F238E27FC236}">
              <a16:creationId xmlns:a16="http://schemas.microsoft.com/office/drawing/2014/main" id="{3BF480A4-A855-4B2A-9FDE-6BBB567CF267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51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498</xdr:row>
      <xdr:rowOff>0</xdr:rowOff>
    </xdr:from>
    <xdr:ext cx="304800" cy="304800"/>
    <xdr:sp macro="" textlink="">
      <xdr:nvSpPr>
        <xdr:cNvPr id="927" name="AutoShape 1">
          <a:extLst>
            <a:ext uri="{FF2B5EF4-FFF2-40B4-BE49-F238E27FC236}">
              <a16:creationId xmlns:a16="http://schemas.microsoft.com/office/drawing/2014/main" id="{4F763934-CE39-45E1-A432-E906D584318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51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498</xdr:row>
      <xdr:rowOff>0</xdr:rowOff>
    </xdr:from>
    <xdr:ext cx="304800" cy="304800"/>
    <xdr:sp macro="" textlink="">
      <xdr:nvSpPr>
        <xdr:cNvPr id="928" name="AutoShape 1">
          <a:extLst>
            <a:ext uri="{FF2B5EF4-FFF2-40B4-BE49-F238E27FC236}">
              <a16:creationId xmlns:a16="http://schemas.microsoft.com/office/drawing/2014/main" id="{1737E884-00AB-4225-9385-CD51ECFBAC9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51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498</xdr:row>
      <xdr:rowOff>0</xdr:rowOff>
    </xdr:from>
    <xdr:ext cx="304800" cy="304800"/>
    <xdr:sp macro="" textlink="">
      <xdr:nvSpPr>
        <xdr:cNvPr id="929" name="AutoShape 1">
          <a:extLst>
            <a:ext uri="{FF2B5EF4-FFF2-40B4-BE49-F238E27FC236}">
              <a16:creationId xmlns:a16="http://schemas.microsoft.com/office/drawing/2014/main" id="{551AF882-F372-4BD0-A528-D06DA4F1F18A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51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498</xdr:row>
      <xdr:rowOff>0</xdr:rowOff>
    </xdr:from>
    <xdr:ext cx="304800" cy="304800"/>
    <xdr:sp macro="" textlink="">
      <xdr:nvSpPr>
        <xdr:cNvPr id="930" name="AutoShape 1">
          <a:extLst>
            <a:ext uri="{FF2B5EF4-FFF2-40B4-BE49-F238E27FC236}">
              <a16:creationId xmlns:a16="http://schemas.microsoft.com/office/drawing/2014/main" id="{9B07CC0F-F9A3-4915-9202-5270F07EFEF6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51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498</xdr:row>
      <xdr:rowOff>0</xdr:rowOff>
    </xdr:from>
    <xdr:ext cx="304800" cy="304800"/>
    <xdr:sp macro="" textlink="">
      <xdr:nvSpPr>
        <xdr:cNvPr id="931" name="AutoShape 1">
          <a:extLst>
            <a:ext uri="{FF2B5EF4-FFF2-40B4-BE49-F238E27FC236}">
              <a16:creationId xmlns:a16="http://schemas.microsoft.com/office/drawing/2014/main" id="{0EC0FB02-7855-421F-8359-23A80AD2944A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51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498</xdr:row>
      <xdr:rowOff>0</xdr:rowOff>
    </xdr:from>
    <xdr:ext cx="304800" cy="304800"/>
    <xdr:sp macro="" textlink="">
      <xdr:nvSpPr>
        <xdr:cNvPr id="932" name="AutoShape 1">
          <a:extLst>
            <a:ext uri="{FF2B5EF4-FFF2-40B4-BE49-F238E27FC236}">
              <a16:creationId xmlns:a16="http://schemas.microsoft.com/office/drawing/2014/main" id="{336B2181-2BA0-46A6-9FF1-26B518BBC6BA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51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498</xdr:row>
      <xdr:rowOff>0</xdr:rowOff>
    </xdr:from>
    <xdr:ext cx="304800" cy="304800"/>
    <xdr:sp macro="" textlink="">
      <xdr:nvSpPr>
        <xdr:cNvPr id="933" name="AutoShape 1">
          <a:extLst>
            <a:ext uri="{FF2B5EF4-FFF2-40B4-BE49-F238E27FC236}">
              <a16:creationId xmlns:a16="http://schemas.microsoft.com/office/drawing/2014/main" id="{DD47CA09-FCA4-49AF-9E59-0B2ADB11CBA4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51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498</xdr:row>
      <xdr:rowOff>0</xdr:rowOff>
    </xdr:from>
    <xdr:ext cx="304800" cy="304800"/>
    <xdr:sp macro="" textlink="">
      <xdr:nvSpPr>
        <xdr:cNvPr id="934" name="AutoShape 1">
          <a:extLst>
            <a:ext uri="{FF2B5EF4-FFF2-40B4-BE49-F238E27FC236}">
              <a16:creationId xmlns:a16="http://schemas.microsoft.com/office/drawing/2014/main" id="{E4A7DBC8-3B28-4F0B-AFA7-E7B3008B7BA5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51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498</xdr:row>
      <xdr:rowOff>0</xdr:rowOff>
    </xdr:from>
    <xdr:ext cx="304800" cy="304800"/>
    <xdr:sp macro="" textlink="">
      <xdr:nvSpPr>
        <xdr:cNvPr id="935" name="AutoShape 1">
          <a:extLst>
            <a:ext uri="{FF2B5EF4-FFF2-40B4-BE49-F238E27FC236}">
              <a16:creationId xmlns:a16="http://schemas.microsoft.com/office/drawing/2014/main" id="{3FDDE1A6-CEA1-406B-BA58-E9556E917403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51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498</xdr:row>
      <xdr:rowOff>0</xdr:rowOff>
    </xdr:from>
    <xdr:ext cx="304800" cy="304800"/>
    <xdr:sp macro="" textlink="">
      <xdr:nvSpPr>
        <xdr:cNvPr id="936" name="AutoShape 1">
          <a:extLst>
            <a:ext uri="{FF2B5EF4-FFF2-40B4-BE49-F238E27FC236}">
              <a16:creationId xmlns:a16="http://schemas.microsoft.com/office/drawing/2014/main" id="{490504E8-C05C-47DD-BF6F-1D5945CD5E02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51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498</xdr:row>
      <xdr:rowOff>0</xdr:rowOff>
    </xdr:from>
    <xdr:ext cx="304800" cy="304800"/>
    <xdr:sp macro="" textlink="">
      <xdr:nvSpPr>
        <xdr:cNvPr id="937" name="AutoShape 1">
          <a:extLst>
            <a:ext uri="{FF2B5EF4-FFF2-40B4-BE49-F238E27FC236}">
              <a16:creationId xmlns:a16="http://schemas.microsoft.com/office/drawing/2014/main" id="{CCC9494C-D051-4347-994A-5354E4EB2329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51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498</xdr:row>
      <xdr:rowOff>0</xdr:rowOff>
    </xdr:from>
    <xdr:ext cx="304800" cy="304800"/>
    <xdr:sp macro="" textlink="">
      <xdr:nvSpPr>
        <xdr:cNvPr id="938" name="AutoShape 1">
          <a:extLst>
            <a:ext uri="{FF2B5EF4-FFF2-40B4-BE49-F238E27FC236}">
              <a16:creationId xmlns:a16="http://schemas.microsoft.com/office/drawing/2014/main" id="{C58230A6-F0CF-4713-B4C5-D7C4A1F36ED5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51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498</xdr:row>
      <xdr:rowOff>0</xdr:rowOff>
    </xdr:from>
    <xdr:ext cx="304800" cy="304800"/>
    <xdr:sp macro="" textlink="">
      <xdr:nvSpPr>
        <xdr:cNvPr id="939" name="AutoShape 1">
          <a:extLst>
            <a:ext uri="{FF2B5EF4-FFF2-40B4-BE49-F238E27FC236}">
              <a16:creationId xmlns:a16="http://schemas.microsoft.com/office/drawing/2014/main" id="{49E254C0-EF99-4667-9926-0C9E265949B6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51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498</xdr:row>
      <xdr:rowOff>0</xdr:rowOff>
    </xdr:from>
    <xdr:ext cx="304800" cy="304800"/>
    <xdr:sp macro="" textlink="">
      <xdr:nvSpPr>
        <xdr:cNvPr id="940" name="AutoShape 1">
          <a:extLst>
            <a:ext uri="{FF2B5EF4-FFF2-40B4-BE49-F238E27FC236}">
              <a16:creationId xmlns:a16="http://schemas.microsoft.com/office/drawing/2014/main" id="{58D3AA7E-C4E4-467F-8F8C-F356E84F3A11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51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498</xdr:row>
      <xdr:rowOff>0</xdr:rowOff>
    </xdr:from>
    <xdr:ext cx="304800" cy="304800"/>
    <xdr:sp macro="" textlink="">
      <xdr:nvSpPr>
        <xdr:cNvPr id="941" name="AutoShape 1">
          <a:extLst>
            <a:ext uri="{FF2B5EF4-FFF2-40B4-BE49-F238E27FC236}">
              <a16:creationId xmlns:a16="http://schemas.microsoft.com/office/drawing/2014/main" id="{14E54AC8-BEDD-4EC8-A814-2994F85A39B0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51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498</xdr:row>
      <xdr:rowOff>0</xdr:rowOff>
    </xdr:from>
    <xdr:ext cx="304800" cy="304800"/>
    <xdr:sp macro="" textlink="">
      <xdr:nvSpPr>
        <xdr:cNvPr id="942" name="AutoShape 1">
          <a:extLst>
            <a:ext uri="{FF2B5EF4-FFF2-40B4-BE49-F238E27FC236}">
              <a16:creationId xmlns:a16="http://schemas.microsoft.com/office/drawing/2014/main" id="{707C8888-F0F8-4D7E-A681-5357AB75A832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51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498</xdr:row>
      <xdr:rowOff>0</xdr:rowOff>
    </xdr:from>
    <xdr:ext cx="304800" cy="304800"/>
    <xdr:sp macro="" textlink="">
      <xdr:nvSpPr>
        <xdr:cNvPr id="943" name="AutoShape 1">
          <a:extLst>
            <a:ext uri="{FF2B5EF4-FFF2-40B4-BE49-F238E27FC236}">
              <a16:creationId xmlns:a16="http://schemas.microsoft.com/office/drawing/2014/main" id="{A2EF6380-2106-4E17-BE2C-8E93C811CCB3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51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498</xdr:row>
      <xdr:rowOff>0</xdr:rowOff>
    </xdr:from>
    <xdr:ext cx="304800" cy="304800"/>
    <xdr:sp macro="" textlink="">
      <xdr:nvSpPr>
        <xdr:cNvPr id="944" name="AutoShape 1">
          <a:extLst>
            <a:ext uri="{FF2B5EF4-FFF2-40B4-BE49-F238E27FC236}">
              <a16:creationId xmlns:a16="http://schemas.microsoft.com/office/drawing/2014/main" id="{185379B2-197B-4502-9595-03E231B32024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51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498</xdr:row>
      <xdr:rowOff>0</xdr:rowOff>
    </xdr:from>
    <xdr:ext cx="304800" cy="304800"/>
    <xdr:sp macro="" textlink="">
      <xdr:nvSpPr>
        <xdr:cNvPr id="945" name="AutoShape 1">
          <a:extLst>
            <a:ext uri="{FF2B5EF4-FFF2-40B4-BE49-F238E27FC236}">
              <a16:creationId xmlns:a16="http://schemas.microsoft.com/office/drawing/2014/main" id="{8564E24D-8263-40DD-A392-CA1F19EBB5DA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51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498</xdr:row>
      <xdr:rowOff>0</xdr:rowOff>
    </xdr:from>
    <xdr:ext cx="304800" cy="304800"/>
    <xdr:sp macro="" textlink="">
      <xdr:nvSpPr>
        <xdr:cNvPr id="946" name="AutoShape 1">
          <a:extLst>
            <a:ext uri="{FF2B5EF4-FFF2-40B4-BE49-F238E27FC236}">
              <a16:creationId xmlns:a16="http://schemas.microsoft.com/office/drawing/2014/main" id="{3C465648-0BA2-49F9-AE65-2C0A7615F6B3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51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498</xdr:row>
      <xdr:rowOff>0</xdr:rowOff>
    </xdr:from>
    <xdr:ext cx="304800" cy="304800"/>
    <xdr:sp macro="" textlink="">
      <xdr:nvSpPr>
        <xdr:cNvPr id="947" name="AutoShape 1">
          <a:extLst>
            <a:ext uri="{FF2B5EF4-FFF2-40B4-BE49-F238E27FC236}">
              <a16:creationId xmlns:a16="http://schemas.microsoft.com/office/drawing/2014/main" id="{4101B93C-A397-4612-8592-F294605C3AA7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51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498</xdr:row>
      <xdr:rowOff>0</xdr:rowOff>
    </xdr:from>
    <xdr:ext cx="304800" cy="304800"/>
    <xdr:sp macro="" textlink="">
      <xdr:nvSpPr>
        <xdr:cNvPr id="948" name="AutoShape 1">
          <a:extLst>
            <a:ext uri="{FF2B5EF4-FFF2-40B4-BE49-F238E27FC236}">
              <a16:creationId xmlns:a16="http://schemas.microsoft.com/office/drawing/2014/main" id="{BA52B2A3-E6C1-464E-B33B-2FFDF3BD1818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51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498</xdr:row>
      <xdr:rowOff>0</xdr:rowOff>
    </xdr:from>
    <xdr:ext cx="304800" cy="304800"/>
    <xdr:sp macro="" textlink="">
      <xdr:nvSpPr>
        <xdr:cNvPr id="949" name="AutoShape 1">
          <a:extLst>
            <a:ext uri="{FF2B5EF4-FFF2-40B4-BE49-F238E27FC236}">
              <a16:creationId xmlns:a16="http://schemas.microsoft.com/office/drawing/2014/main" id="{88F31302-1A47-48F3-B5B4-4793768BD9C8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51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498</xdr:row>
      <xdr:rowOff>0</xdr:rowOff>
    </xdr:from>
    <xdr:ext cx="304800" cy="304800"/>
    <xdr:sp macro="" textlink="">
      <xdr:nvSpPr>
        <xdr:cNvPr id="950" name="AutoShape 1">
          <a:extLst>
            <a:ext uri="{FF2B5EF4-FFF2-40B4-BE49-F238E27FC236}">
              <a16:creationId xmlns:a16="http://schemas.microsoft.com/office/drawing/2014/main" id="{9285FDDB-8498-4108-8038-214AEDBB1FAE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51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498</xdr:row>
      <xdr:rowOff>0</xdr:rowOff>
    </xdr:from>
    <xdr:ext cx="304800" cy="304800"/>
    <xdr:sp macro="" textlink="">
      <xdr:nvSpPr>
        <xdr:cNvPr id="951" name="AutoShape 1">
          <a:extLst>
            <a:ext uri="{FF2B5EF4-FFF2-40B4-BE49-F238E27FC236}">
              <a16:creationId xmlns:a16="http://schemas.microsoft.com/office/drawing/2014/main" id="{4526B768-BA03-4962-B8F1-4D4019291123}"/>
            </a:ext>
            <a:ext uri="{147F2762-F138-4A5C-976F-8EAC2B608ADB}">
              <a16:predDERef xmlns:a16="http://schemas.microsoft.com/office/drawing/2014/main" pred="{A9C9C4DB-4B97-447C-9099-E87BCB3C537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51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498</xdr:row>
      <xdr:rowOff>0</xdr:rowOff>
    </xdr:from>
    <xdr:ext cx="304800" cy="304800"/>
    <xdr:sp macro="" textlink="">
      <xdr:nvSpPr>
        <xdr:cNvPr id="952" name="AutoShape 1">
          <a:extLst>
            <a:ext uri="{FF2B5EF4-FFF2-40B4-BE49-F238E27FC236}">
              <a16:creationId xmlns:a16="http://schemas.microsoft.com/office/drawing/2014/main" id="{8A5D80BC-40DD-4083-89B1-6FAA7B1F1FDF}"/>
            </a:ext>
            <a:ext uri="{147F2762-F138-4A5C-976F-8EAC2B608ADB}">
              <a16:predDERef xmlns:a16="http://schemas.microsoft.com/office/drawing/2014/main" pred="{CD89554D-BD76-42AD-819A-278AD445B86E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51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527</xdr:row>
      <xdr:rowOff>0</xdr:rowOff>
    </xdr:from>
    <xdr:ext cx="304800" cy="304800"/>
    <xdr:sp macro="" textlink="">
      <xdr:nvSpPr>
        <xdr:cNvPr id="953" name="AutoShape 1">
          <a:extLst>
            <a:ext uri="{FF2B5EF4-FFF2-40B4-BE49-F238E27FC236}">
              <a16:creationId xmlns:a16="http://schemas.microsoft.com/office/drawing/2014/main" id="{110BEDD8-02EB-4D22-B06F-BE380AF3D88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075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527</xdr:row>
      <xdr:rowOff>0</xdr:rowOff>
    </xdr:from>
    <xdr:ext cx="304800" cy="304800"/>
    <xdr:sp macro="" textlink="">
      <xdr:nvSpPr>
        <xdr:cNvPr id="954" name="AutoShape 1">
          <a:extLst>
            <a:ext uri="{FF2B5EF4-FFF2-40B4-BE49-F238E27FC236}">
              <a16:creationId xmlns:a16="http://schemas.microsoft.com/office/drawing/2014/main" id="{AC815A22-727E-4ECC-9D2D-35F93B84211B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075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536</xdr:row>
      <xdr:rowOff>0</xdr:rowOff>
    </xdr:from>
    <xdr:ext cx="304800" cy="304800"/>
    <xdr:sp macro="" textlink="">
      <xdr:nvSpPr>
        <xdr:cNvPr id="955" name="AutoShape 1">
          <a:extLst>
            <a:ext uri="{FF2B5EF4-FFF2-40B4-BE49-F238E27FC236}">
              <a16:creationId xmlns:a16="http://schemas.microsoft.com/office/drawing/2014/main" id="{99AA3D1F-9151-49C9-A07C-B13D6070997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2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536</xdr:row>
      <xdr:rowOff>0</xdr:rowOff>
    </xdr:from>
    <xdr:ext cx="304800" cy="304800"/>
    <xdr:sp macro="" textlink="">
      <xdr:nvSpPr>
        <xdr:cNvPr id="956" name="AutoShape 1">
          <a:extLst>
            <a:ext uri="{FF2B5EF4-FFF2-40B4-BE49-F238E27FC236}">
              <a16:creationId xmlns:a16="http://schemas.microsoft.com/office/drawing/2014/main" id="{EACBF5D3-AAC5-43ED-8847-DB9CEBBEFE56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2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536</xdr:row>
      <xdr:rowOff>0</xdr:rowOff>
    </xdr:from>
    <xdr:ext cx="304800" cy="304800"/>
    <xdr:sp macro="" textlink="">
      <xdr:nvSpPr>
        <xdr:cNvPr id="957" name="AutoShape 1">
          <a:extLst>
            <a:ext uri="{FF2B5EF4-FFF2-40B4-BE49-F238E27FC236}">
              <a16:creationId xmlns:a16="http://schemas.microsoft.com/office/drawing/2014/main" id="{678BEC37-097E-46C4-B5AE-876C2BCA517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2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536</xdr:row>
      <xdr:rowOff>0</xdr:rowOff>
    </xdr:from>
    <xdr:ext cx="304800" cy="304800"/>
    <xdr:sp macro="" textlink="">
      <xdr:nvSpPr>
        <xdr:cNvPr id="958" name="AutoShape 1">
          <a:extLst>
            <a:ext uri="{FF2B5EF4-FFF2-40B4-BE49-F238E27FC236}">
              <a16:creationId xmlns:a16="http://schemas.microsoft.com/office/drawing/2014/main" id="{F561F64A-0728-4F70-BBCB-85954D82077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2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536</xdr:row>
      <xdr:rowOff>0</xdr:rowOff>
    </xdr:from>
    <xdr:ext cx="304800" cy="304800"/>
    <xdr:sp macro="" textlink="">
      <xdr:nvSpPr>
        <xdr:cNvPr id="959" name="AutoShape 1">
          <a:extLst>
            <a:ext uri="{FF2B5EF4-FFF2-40B4-BE49-F238E27FC236}">
              <a16:creationId xmlns:a16="http://schemas.microsoft.com/office/drawing/2014/main" id="{06527224-1281-4565-9804-2CD4C6163FC6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2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536</xdr:row>
      <xdr:rowOff>0</xdr:rowOff>
    </xdr:from>
    <xdr:ext cx="304800" cy="304800"/>
    <xdr:sp macro="" textlink="">
      <xdr:nvSpPr>
        <xdr:cNvPr id="960" name="AutoShape 1">
          <a:extLst>
            <a:ext uri="{FF2B5EF4-FFF2-40B4-BE49-F238E27FC236}">
              <a16:creationId xmlns:a16="http://schemas.microsoft.com/office/drawing/2014/main" id="{2E71530D-6F8E-438E-BE01-78FA951C090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2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536</xdr:row>
      <xdr:rowOff>0</xdr:rowOff>
    </xdr:from>
    <xdr:ext cx="304800" cy="304800"/>
    <xdr:sp macro="" textlink="">
      <xdr:nvSpPr>
        <xdr:cNvPr id="961" name="AutoShape 1">
          <a:extLst>
            <a:ext uri="{FF2B5EF4-FFF2-40B4-BE49-F238E27FC236}">
              <a16:creationId xmlns:a16="http://schemas.microsoft.com/office/drawing/2014/main" id="{DE70046B-0232-4C85-8617-AA312115EC2A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2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536</xdr:row>
      <xdr:rowOff>0</xdr:rowOff>
    </xdr:from>
    <xdr:ext cx="304800" cy="304800"/>
    <xdr:sp macro="" textlink="">
      <xdr:nvSpPr>
        <xdr:cNvPr id="962" name="AutoShape 1">
          <a:extLst>
            <a:ext uri="{FF2B5EF4-FFF2-40B4-BE49-F238E27FC236}">
              <a16:creationId xmlns:a16="http://schemas.microsoft.com/office/drawing/2014/main" id="{1BAAAE1E-DC63-4499-B1C1-6B52C8688B51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2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536</xdr:row>
      <xdr:rowOff>0</xdr:rowOff>
    </xdr:from>
    <xdr:ext cx="304800" cy="304800"/>
    <xdr:sp macro="" textlink="">
      <xdr:nvSpPr>
        <xdr:cNvPr id="963" name="AutoShape 1">
          <a:extLst>
            <a:ext uri="{FF2B5EF4-FFF2-40B4-BE49-F238E27FC236}">
              <a16:creationId xmlns:a16="http://schemas.microsoft.com/office/drawing/2014/main" id="{971289A7-7C68-416D-B4F3-FDF5FAB75BC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2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536</xdr:row>
      <xdr:rowOff>0</xdr:rowOff>
    </xdr:from>
    <xdr:ext cx="304800" cy="304800"/>
    <xdr:sp macro="" textlink="">
      <xdr:nvSpPr>
        <xdr:cNvPr id="964" name="AutoShape 1">
          <a:extLst>
            <a:ext uri="{FF2B5EF4-FFF2-40B4-BE49-F238E27FC236}">
              <a16:creationId xmlns:a16="http://schemas.microsoft.com/office/drawing/2014/main" id="{CDFF45A7-631D-40B9-B918-EF18F4E6B2B3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2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536</xdr:row>
      <xdr:rowOff>0</xdr:rowOff>
    </xdr:from>
    <xdr:ext cx="304800" cy="304800"/>
    <xdr:sp macro="" textlink="">
      <xdr:nvSpPr>
        <xdr:cNvPr id="965" name="AutoShape 1">
          <a:extLst>
            <a:ext uri="{FF2B5EF4-FFF2-40B4-BE49-F238E27FC236}">
              <a16:creationId xmlns:a16="http://schemas.microsoft.com/office/drawing/2014/main" id="{30896DD3-C74E-497B-A8FF-3377587CCC14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2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536</xdr:row>
      <xdr:rowOff>0</xdr:rowOff>
    </xdr:from>
    <xdr:ext cx="304800" cy="304800"/>
    <xdr:sp macro="" textlink="">
      <xdr:nvSpPr>
        <xdr:cNvPr id="966" name="AutoShape 1">
          <a:extLst>
            <a:ext uri="{FF2B5EF4-FFF2-40B4-BE49-F238E27FC236}">
              <a16:creationId xmlns:a16="http://schemas.microsoft.com/office/drawing/2014/main" id="{FCB67506-F9DC-48B6-B6B6-6490FA520A7E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2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536</xdr:row>
      <xdr:rowOff>0</xdr:rowOff>
    </xdr:from>
    <xdr:ext cx="304800" cy="304800"/>
    <xdr:sp macro="" textlink="">
      <xdr:nvSpPr>
        <xdr:cNvPr id="967" name="AutoShape 1">
          <a:extLst>
            <a:ext uri="{FF2B5EF4-FFF2-40B4-BE49-F238E27FC236}">
              <a16:creationId xmlns:a16="http://schemas.microsoft.com/office/drawing/2014/main" id="{0054E659-9951-489C-90E8-F40BC862963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2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536</xdr:row>
      <xdr:rowOff>0</xdr:rowOff>
    </xdr:from>
    <xdr:ext cx="304800" cy="304800"/>
    <xdr:sp macro="" textlink="">
      <xdr:nvSpPr>
        <xdr:cNvPr id="968" name="AutoShape 1">
          <a:extLst>
            <a:ext uri="{FF2B5EF4-FFF2-40B4-BE49-F238E27FC236}">
              <a16:creationId xmlns:a16="http://schemas.microsoft.com/office/drawing/2014/main" id="{54748430-B5F4-4552-B253-C4D3ECACE914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2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536</xdr:row>
      <xdr:rowOff>0</xdr:rowOff>
    </xdr:from>
    <xdr:ext cx="304800" cy="304800"/>
    <xdr:sp macro="" textlink="">
      <xdr:nvSpPr>
        <xdr:cNvPr id="969" name="AutoShape 1">
          <a:extLst>
            <a:ext uri="{FF2B5EF4-FFF2-40B4-BE49-F238E27FC236}">
              <a16:creationId xmlns:a16="http://schemas.microsoft.com/office/drawing/2014/main" id="{BF7A7857-5EA1-4CB3-8A61-40DECF7558F6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2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536</xdr:row>
      <xdr:rowOff>0</xdr:rowOff>
    </xdr:from>
    <xdr:ext cx="304800" cy="304800"/>
    <xdr:sp macro="" textlink="">
      <xdr:nvSpPr>
        <xdr:cNvPr id="970" name="AutoShape 1">
          <a:extLst>
            <a:ext uri="{FF2B5EF4-FFF2-40B4-BE49-F238E27FC236}">
              <a16:creationId xmlns:a16="http://schemas.microsoft.com/office/drawing/2014/main" id="{EB8CB833-81DE-41AC-990E-31ECBBA830B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2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536</xdr:row>
      <xdr:rowOff>0</xdr:rowOff>
    </xdr:from>
    <xdr:ext cx="304800" cy="304800"/>
    <xdr:sp macro="" textlink="">
      <xdr:nvSpPr>
        <xdr:cNvPr id="971" name="AutoShape 1">
          <a:extLst>
            <a:ext uri="{FF2B5EF4-FFF2-40B4-BE49-F238E27FC236}">
              <a16:creationId xmlns:a16="http://schemas.microsoft.com/office/drawing/2014/main" id="{21C2EEF8-B539-4FAA-9D05-8355DD00403B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2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536</xdr:row>
      <xdr:rowOff>0</xdr:rowOff>
    </xdr:from>
    <xdr:ext cx="304800" cy="304800"/>
    <xdr:sp macro="" textlink="">
      <xdr:nvSpPr>
        <xdr:cNvPr id="972" name="AutoShape 1">
          <a:extLst>
            <a:ext uri="{FF2B5EF4-FFF2-40B4-BE49-F238E27FC236}">
              <a16:creationId xmlns:a16="http://schemas.microsoft.com/office/drawing/2014/main" id="{46DC84FC-3322-42DA-A531-A6626BF156D7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2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536</xdr:row>
      <xdr:rowOff>0</xdr:rowOff>
    </xdr:from>
    <xdr:ext cx="304800" cy="304800"/>
    <xdr:sp macro="" textlink="">
      <xdr:nvSpPr>
        <xdr:cNvPr id="973" name="AutoShape 1">
          <a:extLst>
            <a:ext uri="{FF2B5EF4-FFF2-40B4-BE49-F238E27FC236}">
              <a16:creationId xmlns:a16="http://schemas.microsoft.com/office/drawing/2014/main" id="{7E2BAE31-0239-422E-A07F-ABF506880B1B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2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536</xdr:row>
      <xdr:rowOff>0</xdr:rowOff>
    </xdr:from>
    <xdr:ext cx="304800" cy="304800"/>
    <xdr:sp macro="" textlink="">
      <xdr:nvSpPr>
        <xdr:cNvPr id="974" name="AutoShape 1">
          <a:extLst>
            <a:ext uri="{FF2B5EF4-FFF2-40B4-BE49-F238E27FC236}">
              <a16:creationId xmlns:a16="http://schemas.microsoft.com/office/drawing/2014/main" id="{B63A35F5-0A8E-4529-9C85-359CFF959847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2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536</xdr:row>
      <xdr:rowOff>0</xdr:rowOff>
    </xdr:from>
    <xdr:ext cx="304800" cy="304800"/>
    <xdr:sp macro="" textlink="">
      <xdr:nvSpPr>
        <xdr:cNvPr id="975" name="AutoShape 1">
          <a:extLst>
            <a:ext uri="{FF2B5EF4-FFF2-40B4-BE49-F238E27FC236}">
              <a16:creationId xmlns:a16="http://schemas.microsoft.com/office/drawing/2014/main" id="{35F44E9F-4CE2-4251-B22A-7CAF5A217E70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2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536</xdr:row>
      <xdr:rowOff>0</xdr:rowOff>
    </xdr:from>
    <xdr:ext cx="304800" cy="304800"/>
    <xdr:sp macro="" textlink="">
      <xdr:nvSpPr>
        <xdr:cNvPr id="976" name="AutoShape 1">
          <a:extLst>
            <a:ext uri="{FF2B5EF4-FFF2-40B4-BE49-F238E27FC236}">
              <a16:creationId xmlns:a16="http://schemas.microsoft.com/office/drawing/2014/main" id="{23444AEE-DFAF-4625-876E-4523F9F8A881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2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536</xdr:row>
      <xdr:rowOff>0</xdr:rowOff>
    </xdr:from>
    <xdr:ext cx="304800" cy="304800"/>
    <xdr:sp macro="" textlink="">
      <xdr:nvSpPr>
        <xdr:cNvPr id="977" name="AutoShape 1">
          <a:extLst>
            <a:ext uri="{FF2B5EF4-FFF2-40B4-BE49-F238E27FC236}">
              <a16:creationId xmlns:a16="http://schemas.microsoft.com/office/drawing/2014/main" id="{794CBBF3-E114-4AFF-93F8-F523FE9F0C71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2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536</xdr:row>
      <xdr:rowOff>0</xdr:rowOff>
    </xdr:from>
    <xdr:ext cx="304800" cy="304800"/>
    <xdr:sp macro="" textlink="">
      <xdr:nvSpPr>
        <xdr:cNvPr id="978" name="AutoShape 1">
          <a:extLst>
            <a:ext uri="{FF2B5EF4-FFF2-40B4-BE49-F238E27FC236}">
              <a16:creationId xmlns:a16="http://schemas.microsoft.com/office/drawing/2014/main" id="{942FAC97-0C55-4666-BB68-DF845F80FBFF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2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536</xdr:row>
      <xdr:rowOff>0</xdr:rowOff>
    </xdr:from>
    <xdr:ext cx="304800" cy="304800"/>
    <xdr:sp macro="" textlink="">
      <xdr:nvSpPr>
        <xdr:cNvPr id="979" name="AutoShape 1">
          <a:extLst>
            <a:ext uri="{FF2B5EF4-FFF2-40B4-BE49-F238E27FC236}">
              <a16:creationId xmlns:a16="http://schemas.microsoft.com/office/drawing/2014/main" id="{709BD222-2336-44EF-AC4B-F5C1E7B06BDC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2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536</xdr:row>
      <xdr:rowOff>0</xdr:rowOff>
    </xdr:from>
    <xdr:ext cx="304800" cy="304800"/>
    <xdr:sp macro="" textlink="">
      <xdr:nvSpPr>
        <xdr:cNvPr id="980" name="AutoShape 1">
          <a:extLst>
            <a:ext uri="{FF2B5EF4-FFF2-40B4-BE49-F238E27FC236}">
              <a16:creationId xmlns:a16="http://schemas.microsoft.com/office/drawing/2014/main" id="{E17F6E7B-749E-48A9-80A8-C1C08DDE4A1F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2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536</xdr:row>
      <xdr:rowOff>0</xdr:rowOff>
    </xdr:from>
    <xdr:ext cx="304800" cy="304800"/>
    <xdr:sp macro="" textlink="">
      <xdr:nvSpPr>
        <xdr:cNvPr id="981" name="AutoShape 1">
          <a:extLst>
            <a:ext uri="{FF2B5EF4-FFF2-40B4-BE49-F238E27FC236}">
              <a16:creationId xmlns:a16="http://schemas.microsoft.com/office/drawing/2014/main" id="{69C7F22A-8056-436D-A058-91ECBEEBD0EC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2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536</xdr:row>
      <xdr:rowOff>0</xdr:rowOff>
    </xdr:from>
    <xdr:ext cx="304800" cy="304800"/>
    <xdr:sp macro="" textlink="">
      <xdr:nvSpPr>
        <xdr:cNvPr id="982" name="AutoShape 1">
          <a:extLst>
            <a:ext uri="{FF2B5EF4-FFF2-40B4-BE49-F238E27FC236}">
              <a16:creationId xmlns:a16="http://schemas.microsoft.com/office/drawing/2014/main" id="{23C1D1FC-E992-4F39-B921-BC329B950742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2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536</xdr:row>
      <xdr:rowOff>0</xdr:rowOff>
    </xdr:from>
    <xdr:ext cx="304800" cy="304800"/>
    <xdr:sp macro="" textlink="">
      <xdr:nvSpPr>
        <xdr:cNvPr id="983" name="AutoShape 1">
          <a:extLst>
            <a:ext uri="{FF2B5EF4-FFF2-40B4-BE49-F238E27FC236}">
              <a16:creationId xmlns:a16="http://schemas.microsoft.com/office/drawing/2014/main" id="{76E58783-DEC6-42A7-90A9-D52B466644EF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2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536</xdr:row>
      <xdr:rowOff>0</xdr:rowOff>
    </xdr:from>
    <xdr:ext cx="304800" cy="304800"/>
    <xdr:sp macro="" textlink="">
      <xdr:nvSpPr>
        <xdr:cNvPr id="984" name="AutoShape 1">
          <a:extLst>
            <a:ext uri="{FF2B5EF4-FFF2-40B4-BE49-F238E27FC236}">
              <a16:creationId xmlns:a16="http://schemas.microsoft.com/office/drawing/2014/main" id="{F13A2D2B-D4AC-4B2D-9337-A6D35B44BD3C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2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536</xdr:row>
      <xdr:rowOff>0</xdr:rowOff>
    </xdr:from>
    <xdr:ext cx="304800" cy="304800"/>
    <xdr:sp macro="" textlink="">
      <xdr:nvSpPr>
        <xdr:cNvPr id="985" name="AutoShape 1">
          <a:extLst>
            <a:ext uri="{FF2B5EF4-FFF2-40B4-BE49-F238E27FC236}">
              <a16:creationId xmlns:a16="http://schemas.microsoft.com/office/drawing/2014/main" id="{97769BA0-C1A6-4FD4-92CF-4C9FB159258B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2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536</xdr:row>
      <xdr:rowOff>0</xdr:rowOff>
    </xdr:from>
    <xdr:ext cx="304800" cy="304800"/>
    <xdr:sp macro="" textlink="">
      <xdr:nvSpPr>
        <xdr:cNvPr id="986" name="AutoShape 1">
          <a:extLst>
            <a:ext uri="{FF2B5EF4-FFF2-40B4-BE49-F238E27FC236}">
              <a16:creationId xmlns:a16="http://schemas.microsoft.com/office/drawing/2014/main" id="{F2708667-CE51-4CA5-B3F1-AD7A085B2B6E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2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536</xdr:row>
      <xdr:rowOff>0</xdr:rowOff>
    </xdr:from>
    <xdr:ext cx="304800" cy="304800"/>
    <xdr:sp macro="" textlink="">
      <xdr:nvSpPr>
        <xdr:cNvPr id="987" name="AutoShape 1">
          <a:extLst>
            <a:ext uri="{FF2B5EF4-FFF2-40B4-BE49-F238E27FC236}">
              <a16:creationId xmlns:a16="http://schemas.microsoft.com/office/drawing/2014/main" id="{68891328-7C4F-4CCE-A0DD-7BA386880F3F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2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536</xdr:row>
      <xdr:rowOff>0</xdr:rowOff>
    </xdr:from>
    <xdr:ext cx="304800" cy="304800"/>
    <xdr:sp macro="" textlink="">
      <xdr:nvSpPr>
        <xdr:cNvPr id="988" name="AutoShape 1">
          <a:extLst>
            <a:ext uri="{FF2B5EF4-FFF2-40B4-BE49-F238E27FC236}">
              <a16:creationId xmlns:a16="http://schemas.microsoft.com/office/drawing/2014/main" id="{A1FDACDF-343E-4866-9B7C-154B3467DA3B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2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536</xdr:row>
      <xdr:rowOff>0</xdr:rowOff>
    </xdr:from>
    <xdr:ext cx="304800" cy="304800"/>
    <xdr:sp macro="" textlink="">
      <xdr:nvSpPr>
        <xdr:cNvPr id="989" name="AutoShape 1">
          <a:extLst>
            <a:ext uri="{FF2B5EF4-FFF2-40B4-BE49-F238E27FC236}">
              <a16:creationId xmlns:a16="http://schemas.microsoft.com/office/drawing/2014/main" id="{590D84E0-A515-47CA-B510-C6FC87F41EA7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2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536</xdr:row>
      <xdr:rowOff>0</xdr:rowOff>
    </xdr:from>
    <xdr:ext cx="304800" cy="304800"/>
    <xdr:sp macro="" textlink="">
      <xdr:nvSpPr>
        <xdr:cNvPr id="990" name="AutoShape 1">
          <a:extLst>
            <a:ext uri="{FF2B5EF4-FFF2-40B4-BE49-F238E27FC236}">
              <a16:creationId xmlns:a16="http://schemas.microsoft.com/office/drawing/2014/main" id="{1D901212-33CB-42C8-87C3-848B09EF53CD}"/>
            </a:ext>
            <a:ext uri="{147F2762-F138-4A5C-976F-8EAC2B608ADB}">
              <a16:predDERef xmlns:a16="http://schemas.microsoft.com/office/drawing/2014/main" pred="{A9C9C4DB-4B97-447C-9099-E87BCB3C537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2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536</xdr:row>
      <xdr:rowOff>0</xdr:rowOff>
    </xdr:from>
    <xdr:ext cx="304800" cy="304800"/>
    <xdr:sp macro="" textlink="">
      <xdr:nvSpPr>
        <xdr:cNvPr id="991" name="AutoShape 1">
          <a:extLst>
            <a:ext uri="{FF2B5EF4-FFF2-40B4-BE49-F238E27FC236}">
              <a16:creationId xmlns:a16="http://schemas.microsoft.com/office/drawing/2014/main" id="{1EE7ED0E-FD52-4BA9-86DE-62CBFC25E9CD}"/>
            </a:ext>
            <a:ext uri="{147F2762-F138-4A5C-976F-8EAC2B608ADB}">
              <a16:predDERef xmlns:a16="http://schemas.microsoft.com/office/drawing/2014/main" pred="{CD89554D-BD76-42AD-819A-278AD445B86E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2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536</xdr:row>
      <xdr:rowOff>0</xdr:rowOff>
    </xdr:from>
    <xdr:ext cx="304800" cy="304800"/>
    <xdr:sp macro="" textlink="">
      <xdr:nvSpPr>
        <xdr:cNvPr id="992" name="AutoShape 1">
          <a:extLst>
            <a:ext uri="{FF2B5EF4-FFF2-40B4-BE49-F238E27FC236}">
              <a16:creationId xmlns:a16="http://schemas.microsoft.com/office/drawing/2014/main" id="{7CA147D1-09A8-4402-A9CB-2161B02073D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2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536</xdr:row>
      <xdr:rowOff>0</xdr:rowOff>
    </xdr:from>
    <xdr:ext cx="304800" cy="304800"/>
    <xdr:sp macro="" textlink="">
      <xdr:nvSpPr>
        <xdr:cNvPr id="993" name="AutoShape 1">
          <a:extLst>
            <a:ext uri="{FF2B5EF4-FFF2-40B4-BE49-F238E27FC236}">
              <a16:creationId xmlns:a16="http://schemas.microsoft.com/office/drawing/2014/main" id="{E348D74A-F4F8-46BD-8931-D69C2C6C672A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2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536</xdr:row>
      <xdr:rowOff>0</xdr:rowOff>
    </xdr:from>
    <xdr:ext cx="304800" cy="304800"/>
    <xdr:sp macro="" textlink="">
      <xdr:nvSpPr>
        <xdr:cNvPr id="994" name="AutoShape 1">
          <a:extLst>
            <a:ext uri="{FF2B5EF4-FFF2-40B4-BE49-F238E27FC236}">
              <a16:creationId xmlns:a16="http://schemas.microsoft.com/office/drawing/2014/main" id="{89FABF7D-12BC-4BB7-A374-9E16FCE02F5A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2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536</xdr:row>
      <xdr:rowOff>0</xdr:rowOff>
    </xdr:from>
    <xdr:ext cx="304800" cy="304800"/>
    <xdr:sp macro="" textlink="">
      <xdr:nvSpPr>
        <xdr:cNvPr id="995" name="AutoShape 1">
          <a:extLst>
            <a:ext uri="{FF2B5EF4-FFF2-40B4-BE49-F238E27FC236}">
              <a16:creationId xmlns:a16="http://schemas.microsoft.com/office/drawing/2014/main" id="{4C3CF392-DBAE-4391-B931-F87E3E7A35A6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2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536</xdr:row>
      <xdr:rowOff>0</xdr:rowOff>
    </xdr:from>
    <xdr:ext cx="304800" cy="304800"/>
    <xdr:sp macro="" textlink="">
      <xdr:nvSpPr>
        <xdr:cNvPr id="996" name="AutoShape 1">
          <a:extLst>
            <a:ext uri="{FF2B5EF4-FFF2-40B4-BE49-F238E27FC236}">
              <a16:creationId xmlns:a16="http://schemas.microsoft.com/office/drawing/2014/main" id="{E31EF807-5218-440D-98B5-D21A0DF1834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2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536</xdr:row>
      <xdr:rowOff>0</xdr:rowOff>
    </xdr:from>
    <xdr:ext cx="304800" cy="304800"/>
    <xdr:sp macro="" textlink="">
      <xdr:nvSpPr>
        <xdr:cNvPr id="997" name="AutoShape 1">
          <a:extLst>
            <a:ext uri="{FF2B5EF4-FFF2-40B4-BE49-F238E27FC236}">
              <a16:creationId xmlns:a16="http://schemas.microsoft.com/office/drawing/2014/main" id="{C150B49F-A08E-44D1-B853-AA5B621A0713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2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536</xdr:row>
      <xdr:rowOff>0</xdr:rowOff>
    </xdr:from>
    <xdr:ext cx="304800" cy="304800"/>
    <xdr:sp macro="" textlink="">
      <xdr:nvSpPr>
        <xdr:cNvPr id="998" name="AutoShape 1">
          <a:extLst>
            <a:ext uri="{FF2B5EF4-FFF2-40B4-BE49-F238E27FC236}">
              <a16:creationId xmlns:a16="http://schemas.microsoft.com/office/drawing/2014/main" id="{04AC15B4-D8D1-4663-87F3-6137AC95009B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2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536</xdr:row>
      <xdr:rowOff>0</xdr:rowOff>
    </xdr:from>
    <xdr:ext cx="304800" cy="304800"/>
    <xdr:sp macro="" textlink="">
      <xdr:nvSpPr>
        <xdr:cNvPr id="999" name="AutoShape 1">
          <a:extLst>
            <a:ext uri="{FF2B5EF4-FFF2-40B4-BE49-F238E27FC236}">
              <a16:creationId xmlns:a16="http://schemas.microsoft.com/office/drawing/2014/main" id="{BC2D70BC-C5CF-4541-A5A6-F44B22BA484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2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536</xdr:row>
      <xdr:rowOff>0</xdr:rowOff>
    </xdr:from>
    <xdr:ext cx="304800" cy="304800"/>
    <xdr:sp macro="" textlink="">
      <xdr:nvSpPr>
        <xdr:cNvPr id="1000" name="AutoShape 1">
          <a:extLst>
            <a:ext uri="{FF2B5EF4-FFF2-40B4-BE49-F238E27FC236}">
              <a16:creationId xmlns:a16="http://schemas.microsoft.com/office/drawing/2014/main" id="{742C0F7B-AF1C-479C-8547-6407D49F6B64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2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536</xdr:row>
      <xdr:rowOff>0</xdr:rowOff>
    </xdr:from>
    <xdr:ext cx="304800" cy="304800"/>
    <xdr:sp macro="" textlink="">
      <xdr:nvSpPr>
        <xdr:cNvPr id="1001" name="AutoShape 1">
          <a:extLst>
            <a:ext uri="{FF2B5EF4-FFF2-40B4-BE49-F238E27FC236}">
              <a16:creationId xmlns:a16="http://schemas.microsoft.com/office/drawing/2014/main" id="{B6832C45-6FE7-4319-B221-DA6FFE648CD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2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536</xdr:row>
      <xdr:rowOff>0</xdr:rowOff>
    </xdr:from>
    <xdr:ext cx="304800" cy="304800"/>
    <xdr:sp macro="" textlink="">
      <xdr:nvSpPr>
        <xdr:cNvPr id="1002" name="AutoShape 1">
          <a:extLst>
            <a:ext uri="{FF2B5EF4-FFF2-40B4-BE49-F238E27FC236}">
              <a16:creationId xmlns:a16="http://schemas.microsoft.com/office/drawing/2014/main" id="{9F40F770-D1E6-41BB-812B-1018BC8CB0C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2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536</xdr:row>
      <xdr:rowOff>0</xdr:rowOff>
    </xdr:from>
    <xdr:ext cx="304800" cy="304800"/>
    <xdr:sp macro="" textlink="">
      <xdr:nvSpPr>
        <xdr:cNvPr id="1003" name="AutoShape 1">
          <a:extLst>
            <a:ext uri="{FF2B5EF4-FFF2-40B4-BE49-F238E27FC236}">
              <a16:creationId xmlns:a16="http://schemas.microsoft.com/office/drawing/2014/main" id="{22B73B95-58F7-4AD1-A836-12FC47719407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2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536</xdr:row>
      <xdr:rowOff>0</xdr:rowOff>
    </xdr:from>
    <xdr:ext cx="304800" cy="304800"/>
    <xdr:sp macro="" textlink="">
      <xdr:nvSpPr>
        <xdr:cNvPr id="1004" name="AutoShape 1">
          <a:extLst>
            <a:ext uri="{FF2B5EF4-FFF2-40B4-BE49-F238E27FC236}">
              <a16:creationId xmlns:a16="http://schemas.microsoft.com/office/drawing/2014/main" id="{CDEBA755-5BB5-4305-AABB-7E892EFA4E8C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2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536</xdr:row>
      <xdr:rowOff>0</xdr:rowOff>
    </xdr:from>
    <xdr:ext cx="304800" cy="304800"/>
    <xdr:sp macro="" textlink="">
      <xdr:nvSpPr>
        <xdr:cNvPr id="1005" name="AutoShape 1">
          <a:extLst>
            <a:ext uri="{FF2B5EF4-FFF2-40B4-BE49-F238E27FC236}">
              <a16:creationId xmlns:a16="http://schemas.microsoft.com/office/drawing/2014/main" id="{13C4E2B2-356E-4F02-9ABE-720FE8718C6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2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536</xdr:row>
      <xdr:rowOff>0</xdr:rowOff>
    </xdr:from>
    <xdr:ext cx="304800" cy="304800"/>
    <xdr:sp macro="" textlink="">
      <xdr:nvSpPr>
        <xdr:cNvPr id="1006" name="AutoShape 1">
          <a:extLst>
            <a:ext uri="{FF2B5EF4-FFF2-40B4-BE49-F238E27FC236}">
              <a16:creationId xmlns:a16="http://schemas.microsoft.com/office/drawing/2014/main" id="{2CB3F540-0F01-4832-AEE7-EA871E38E1B1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2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536</xdr:row>
      <xdr:rowOff>0</xdr:rowOff>
    </xdr:from>
    <xdr:ext cx="304800" cy="304800"/>
    <xdr:sp macro="" textlink="">
      <xdr:nvSpPr>
        <xdr:cNvPr id="1007" name="AutoShape 1">
          <a:extLst>
            <a:ext uri="{FF2B5EF4-FFF2-40B4-BE49-F238E27FC236}">
              <a16:creationId xmlns:a16="http://schemas.microsoft.com/office/drawing/2014/main" id="{E8F15BEF-336A-4CAE-88E7-5FFF04E8FF2C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2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536</xdr:row>
      <xdr:rowOff>0</xdr:rowOff>
    </xdr:from>
    <xdr:ext cx="304800" cy="304800"/>
    <xdr:sp macro="" textlink="">
      <xdr:nvSpPr>
        <xdr:cNvPr id="1008" name="AutoShape 1">
          <a:extLst>
            <a:ext uri="{FF2B5EF4-FFF2-40B4-BE49-F238E27FC236}">
              <a16:creationId xmlns:a16="http://schemas.microsoft.com/office/drawing/2014/main" id="{2A72D91B-5217-422E-8C78-6A64C481D6BE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2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536</xdr:row>
      <xdr:rowOff>0</xdr:rowOff>
    </xdr:from>
    <xdr:ext cx="304800" cy="304800"/>
    <xdr:sp macro="" textlink="">
      <xdr:nvSpPr>
        <xdr:cNvPr id="1009" name="AutoShape 1">
          <a:extLst>
            <a:ext uri="{FF2B5EF4-FFF2-40B4-BE49-F238E27FC236}">
              <a16:creationId xmlns:a16="http://schemas.microsoft.com/office/drawing/2014/main" id="{9A593E64-284D-442C-BDCF-E1FB45440AA0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2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536</xdr:row>
      <xdr:rowOff>0</xdr:rowOff>
    </xdr:from>
    <xdr:ext cx="304800" cy="304800"/>
    <xdr:sp macro="" textlink="">
      <xdr:nvSpPr>
        <xdr:cNvPr id="1010" name="AutoShape 1">
          <a:extLst>
            <a:ext uri="{FF2B5EF4-FFF2-40B4-BE49-F238E27FC236}">
              <a16:creationId xmlns:a16="http://schemas.microsoft.com/office/drawing/2014/main" id="{3F52669F-FE2B-4572-8FE1-0001446F8356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2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536</xdr:row>
      <xdr:rowOff>0</xdr:rowOff>
    </xdr:from>
    <xdr:ext cx="304800" cy="304800"/>
    <xdr:sp macro="" textlink="">
      <xdr:nvSpPr>
        <xdr:cNvPr id="1011" name="AutoShape 1">
          <a:extLst>
            <a:ext uri="{FF2B5EF4-FFF2-40B4-BE49-F238E27FC236}">
              <a16:creationId xmlns:a16="http://schemas.microsoft.com/office/drawing/2014/main" id="{FD99C24A-DEC0-43BA-9AF2-8AEAE1917310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2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536</xdr:row>
      <xdr:rowOff>0</xdr:rowOff>
    </xdr:from>
    <xdr:ext cx="304800" cy="304800"/>
    <xdr:sp macro="" textlink="">
      <xdr:nvSpPr>
        <xdr:cNvPr id="1012" name="AutoShape 1">
          <a:extLst>
            <a:ext uri="{FF2B5EF4-FFF2-40B4-BE49-F238E27FC236}">
              <a16:creationId xmlns:a16="http://schemas.microsoft.com/office/drawing/2014/main" id="{814F0977-2377-4C8D-A77D-6D8EA042D38A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2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536</xdr:row>
      <xdr:rowOff>0</xdr:rowOff>
    </xdr:from>
    <xdr:ext cx="304800" cy="304800"/>
    <xdr:sp macro="" textlink="">
      <xdr:nvSpPr>
        <xdr:cNvPr id="1013" name="AutoShape 1">
          <a:extLst>
            <a:ext uri="{FF2B5EF4-FFF2-40B4-BE49-F238E27FC236}">
              <a16:creationId xmlns:a16="http://schemas.microsoft.com/office/drawing/2014/main" id="{A65D7FD8-47BA-41BE-AFD9-F6C87F8623EF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2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536</xdr:row>
      <xdr:rowOff>0</xdr:rowOff>
    </xdr:from>
    <xdr:ext cx="304800" cy="304800"/>
    <xdr:sp macro="" textlink="">
      <xdr:nvSpPr>
        <xdr:cNvPr id="1014" name="AutoShape 1">
          <a:extLst>
            <a:ext uri="{FF2B5EF4-FFF2-40B4-BE49-F238E27FC236}">
              <a16:creationId xmlns:a16="http://schemas.microsoft.com/office/drawing/2014/main" id="{0630E661-777F-4F48-AB90-0D9125AD104A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2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536</xdr:row>
      <xdr:rowOff>0</xdr:rowOff>
    </xdr:from>
    <xdr:ext cx="304800" cy="304800"/>
    <xdr:sp macro="" textlink="">
      <xdr:nvSpPr>
        <xdr:cNvPr id="1015" name="AutoShape 1">
          <a:extLst>
            <a:ext uri="{FF2B5EF4-FFF2-40B4-BE49-F238E27FC236}">
              <a16:creationId xmlns:a16="http://schemas.microsoft.com/office/drawing/2014/main" id="{5D8CCCA4-8779-40FB-9585-43D0B9E0C538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2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536</xdr:row>
      <xdr:rowOff>0</xdr:rowOff>
    </xdr:from>
    <xdr:ext cx="304800" cy="304800"/>
    <xdr:sp macro="" textlink="">
      <xdr:nvSpPr>
        <xdr:cNvPr id="1016" name="AutoShape 1">
          <a:extLst>
            <a:ext uri="{FF2B5EF4-FFF2-40B4-BE49-F238E27FC236}">
              <a16:creationId xmlns:a16="http://schemas.microsoft.com/office/drawing/2014/main" id="{93733913-489D-41D8-A492-250D28CDA56A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2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536</xdr:row>
      <xdr:rowOff>0</xdr:rowOff>
    </xdr:from>
    <xdr:ext cx="304800" cy="304800"/>
    <xdr:sp macro="" textlink="">
      <xdr:nvSpPr>
        <xdr:cNvPr id="1017" name="AutoShape 1">
          <a:extLst>
            <a:ext uri="{FF2B5EF4-FFF2-40B4-BE49-F238E27FC236}">
              <a16:creationId xmlns:a16="http://schemas.microsoft.com/office/drawing/2014/main" id="{2EE3D7D9-7185-41EE-9C44-860A373D7F7C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2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536</xdr:row>
      <xdr:rowOff>0</xdr:rowOff>
    </xdr:from>
    <xdr:ext cx="304800" cy="304800"/>
    <xdr:sp macro="" textlink="">
      <xdr:nvSpPr>
        <xdr:cNvPr id="1018" name="AutoShape 1">
          <a:extLst>
            <a:ext uri="{FF2B5EF4-FFF2-40B4-BE49-F238E27FC236}">
              <a16:creationId xmlns:a16="http://schemas.microsoft.com/office/drawing/2014/main" id="{EF83C50B-176F-46F0-A7BA-582E97DFF41F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2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536</xdr:row>
      <xdr:rowOff>0</xdr:rowOff>
    </xdr:from>
    <xdr:ext cx="304800" cy="304800"/>
    <xdr:sp macro="" textlink="">
      <xdr:nvSpPr>
        <xdr:cNvPr id="1019" name="AutoShape 1">
          <a:extLst>
            <a:ext uri="{FF2B5EF4-FFF2-40B4-BE49-F238E27FC236}">
              <a16:creationId xmlns:a16="http://schemas.microsoft.com/office/drawing/2014/main" id="{450C3510-FC18-4E42-8347-30148EC417C4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2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536</xdr:row>
      <xdr:rowOff>0</xdr:rowOff>
    </xdr:from>
    <xdr:ext cx="304800" cy="304800"/>
    <xdr:sp macro="" textlink="">
      <xdr:nvSpPr>
        <xdr:cNvPr id="1020" name="AutoShape 1">
          <a:extLst>
            <a:ext uri="{FF2B5EF4-FFF2-40B4-BE49-F238E27FC236}">
              <a16:creationId xmlns:a16="http://schemas.microsoft.com/office/drawing/2014/main" id="{EFDB81C4-7529-4663-A3F7-54F88C8AE7A8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2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536</xdr:row>
      <xdr:rowOff>0</xdr:rowOff>
    </xdr:from>
    <xdr:ext cx="304800" cy="304800"/>
    <xdr:sp macro="" textlink="">
      <xdr:nvSpPr>
        <xdr:cNvPr id="1021" name="AutoShape 1">
          <a:extLst>
            <a:ext uri="{FF2B5EF4-FFF2-40B4-BE49-F238E27FC236}">
              <a16:creationId xmlns:a16="http://schemas.microsoft.com/office/drawing/2014/main" id="{B83D7EAA-C6E7-4422-805F-E5B6C502294E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2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536</xdr:row>
      <xdr:rowOff>0</xdr:rowOff>
    </xdr:from>
    <xdr:ext cx="304800" cy="304800"/>
    <xdr:sp macro="" textlink="">
      <xdr:nvSpPr>
        <xdr:cNvPr id="1022" name="AutoShape 1">
          <a:extLst>
            <a:ext uri="{FF2B5EF4-FFF2-40B4-BE49-F238E27FC236}">
              <a16:creationId xmlns:a16="http://schemas.microsoft.com/office/drawing/2014/main" id="{A565850C-542B-4B74-B0FC-2B338D27863B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2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536</xdr:row>
      <xdr:rowOff>0</xdr:rowOff>
    </xdr:from>
    <xdr:ext cx="304800" cy="304800"/>
    <xdr:sp macro="" textlink="">
      <xdr:nvSpPr>
        <xdr:cNvPr id="1023" name="AutoShape 1">
          <a:extLst>
            <a:ext uri="{FF2B5EF4-FFF2-40B4-BE49-F238E27FC236}">
              <a16:creationId xmlns:a16="http://schemas.microsoft.com/office/drawing/2014/main" id="{ED094C0A-111E-4856-BAF3-73C32C68035F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2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536</xdr:row>
      <xdr:rowOff>0</xdr:rowOff>
    </xdr:from>
    <xdr:ext cx="304800" cy="304800"/>
    <xdr:sp macro="" textlink="">
      <xdr:nvSpPr>
        <xdr:cNvPr id="1024" name="AutoShape 1">
          <a:extLst>
            <a:ext uri="{FF2B5EF4-FFF2-40B4-BE49-F238E27FC236}">
              <a16:creationId xmlns:a16="http://schemas.microsoft.com/office/drawing/2014/main" id="{275C75AF-BF7F-4EAC-A9DB-F3EFBABB969F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2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536</xdr:row>
      <xdr:rowOff>0</xdr:rowOff>
    </xdr:from>
    <xdr:ext cx="304800" cy="304800"/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6674B8CC-F366-465F-B911-D5051D3B97FB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2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536</xdr:row>
      <xdr:rowOff>0</xdr:rowOff>
    </xdr:from>
    <xdr:ext cx="304800" cy="304800"/>
    <xdr:sp macro="" textlink="">
      <xdr:nvSpPr>
        <xdr:cNvPr id="1026" name="AutoShape 1">
          <a:extLst>
            <a:ext uri="{FF2B5EF4-FFF2-40B4-BE49-F238E27FC236}">
              <a16:creationId xmlns:a16="http://schemas.microsoft.com/office/drawing/2014/main" id="{229491C0-14C0-4082-A8E8-8CFE89816741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2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536</xdr:row>
      <xdr:rowOff>0</xdr:rowOff>
    </xdr:from>
    <xdr:ext cx="304800" cy="304800"/>
    <xdr:sp macro="" textlink="">
      <xdr:nvSpPr>
        <xdr:cNvPr id="1027" name="AutoShape 1">
          <a:extLst>
            <a:ext uri="{FF2B5EF4-FFF2-40B4-BE49-F238E27FC236}">
              <a16:creationId xmlns:a16="http://schemas.microsoft.com/office/drawing/2014/main" id="{17FA8CFC-54E8-4738-8048-2D3FD01652CC}"/>
            </a:ext>
            <a:ext uri="{147F2762-F138-4A5C-976F-8EAC2B608ADB}">
              <a16:predDERef xmlns:a16="http://schemas.microsoft.com/office/drawing/2014/main" pred="{A9C9C4DB-4B97-447C-9099-E87BCB3C537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2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536</xdr:row>
      <xdr:rowOff>0</xdr:rowOff>
    </xdr:from>
    <xdr:ext cx="304800" cy="304800"/>
    <xdr:sp macro="" textlink="">
      <xdr:nvSpPr>
        <xdr:cNvPr id="1028" name="AutoShape 1">
          <a:extLst>
            <a:ext uri="{FF2B5EF4-FFF2-40B4-BE49-F238E27FC236}">
              <a16:creationId xmlns:a16="http://schemas.microsoft.com/office/drawing/2014/main" id="{99DB2B59-5955-4210-AD7E-0105147C7208}"/>
            </a:ext>
            <a:ext uri="{147F2762-F138-4A5C-976F-8EAC2B608ADB}">
              <a16:predDERef xmlns:a16="http://schemas.microsoft.com/office/drawing/2014/main" pred="{CD89554D-BD76-42AD-819A-278AD445B86E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2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536</xdr:row>
      <xdr:rowOff>0</xdr:rowOff>
    </xdr:from>
    <xdr:ext cx="304800" cy="304800"/>
    <xdr:sp macro="" textlink="">
      <xdr:nvSpPr>
        <xdr:cNvPr id="1029" name="AutoShape 1">
          <a:extLst>
            <a:ext uri="{FF2B5EF4-FFF2-40B4-BE49-F238E27FC236}">
              <a16:creationId xmlns:a16="http://schemas.microsoft.com/office/drawing/2014/main" id="{E527DDA0-C337-41FE-B496-A4704177332E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2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536</xdr:row>
      <xdr:rowOff>0</xdr:rowOff>
    </xdr:from>
    <xdr:ext cx="304800" cy="304800"/>
    <xdr:sp macro="" textlink="">
      <xdr:nvSpPr>
        <xdr:cNvPr id="1030" name="AutoShape 1">
          <a:extLst>
            <a:ext uri="{FF2B5EF4-FFF2-40B4-BE49-F238E27FC236}">
              <a16:creationId xmlns:a16="http://schemas.microsoft.com/office/drawing/2014/main" id="{0DEFA52C-D5F8-4D5B-B682-36430D08E3FC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2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536</xdr:row>
      <xdr:rowOff>0</xdr:rowOff>
    </xdr:from>
    <xdr:ext cx="304800" cy="304800"/>
    <xdr:sp macro="" textlink="">
      <xdr:nvSpPr>
        <xdr:cNvPr id="1031" name="AutoShape 1">
          <a:extLst>
            <a:ext uri="{FF2B5EF4-FFF2-40B4-BE49-F238E27FC236}">
              <a16:creationId xmlns:a16="http://schemas.microsoft.com/office/drawing/2014/main" id="{095DCE27-DD7E-4353-90E0-86842B464FA9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2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536</xdr:row>
      <xdr:rowOff>0</xdr:rowOff>
    </xdr:from>
    <xdr:ext cx="304800" cy="304800"/>
    <xdr:sp macro="" textlink="">
      <xdr:nvSpPr>
        <xdr:cNvPr id="1032" name="AutoShape 1">
          <a:extLst>
            <a:ext uri="{FF2B5EF4-FFF2-40B4-BE49-F238E27FC236}">
              <a16:creationId xmlns:a16="http://schemas.microsoft.com/office/drawing/2014/main" id="{B80E938D-82B2-48F5-9A22-0D9277D8FEE4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2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536</xdr:row>
      <xdr:rowOff>0</xdr:rowOff>
    </xdr:from>
    <xdr:ext cx="304800" cy="304800"/>
    <xdr:sp macro="" textlink="">
      <xdr:nvSpPr>
        <xdr:cNvPr id="1033" name="AutoShape 1">
          <a:extLst>
            <a:ext uri="{FF2B5EF4-FFF2-40B4-BE49-F238E27FC236}">
              <a16:creationId xmlns:a16="http://schemas.microsoft.com/office/drawing/2014/main" id="{7418501F-EDBD-4097-BE0D-A09503B5C069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2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536</xdr:row>
      <xdr:rowOff>0</xdr:rowOff>
    </xdr:from>
    <xdr:ext cx="304800" cy="304800"/>
    <xdr:sp macro="" textlink="">
      <xdr:nvSpPr>
        <xdr:cNvPr id="1034" name="AutoShape 1">
          <a:extLst>
            <a:ext uri="{FF2B5EF4-FFF2-40B4-BE49-F238E27FC236}">
              <a16:creationId xmlns:a16="http://schemas.microsoft.com/office/drawing/2014/main" id="{C111DC30-EF93-4317-BBE2-EF17C6B49CE3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2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536</xdr:row>
      <xdr:rowOff>0</xdr:rowOff>
    </xdr:from>
    <xdr:ext cx="304800" cy="304800"/>
    <xdr:sp macro="" textlink="">
      <xdr:nvSpPr>
        <xdr:cNvPr id="1035" name="AutoShape 1">
          <a:extLst>
            <a:ext uri="{FF2B5EF4-FFF2-40B4-BE49-F238E27FC236}">
              <a16:creationId xmlns:a16="http://schemas.microsoft.com/office/drawing/2014/main" id="{E7D9E1AF-B675-4A4A-A8C1-C7B9937923FF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2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536</xdr:row>
      <xdr:rowOff>0</xdr:rowOff>
    </xdr:from>
    <xdr:ext cx="304800" cy="304800"/>
    <xdr:sp macro="" textlink="">
      <xdr:nvSpPr>
        <xdr:cNvPr id="1036" name="AutoShape 1">
          <a:extLst>
            <a:ext uri="{FF2B5EF4-FFF2-40B4-BE49-F238E27FC236}">
              <a16:creationId xmlns:a16="http://schemas.microsoft.com/office/drawing/2014/main" id="{A20B54A5-F518-4E0B-832C-3C5E14BE94C7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2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536</xdr:row>
      <xdr:rowOff>0</xdr:rowOff>
    </xdr:from>
    <xdr:ext cx="304800" cy="304800"/>
    <xdr:sp macro="" textlink="">
      <xdr:nvSpPr>
        <xdr:cNvPr id="1037" name="AutoShape 1">
          <a:extLst>
            <a:ext uri="{FF2B5EF4-FFF2-40B4-BE49-F238E27FC236}">
              <a16:creationId xmlns:a16="http://schemas.microsoft.com/office/drawing/2014/main" id="{27995E7C-17D0-4905-9B1D-ED59EC1DA1CB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2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536</xdr:row>
      <xdr:rowOff>0</xdr:rowOff>
    </xdr:from>
    <xdr:ext cx="304800" cy="304800"/>
    <xdr:sp macro="" textlink="">
      <xdr:nvSpPr>
        <xdr:cNvPr id="1038" name="AutoShape 1">
          <a:extLst>
            <a:ext uri="{FF2B5EF4-FFF2-40B4-BE49-F238E27FC236}">
              <a16:creationId xmlns:a16="http://schemas.microsoft.com/office/drawing/2014/main" id="{971D8B48-2D79-4C76-8507-0088B81736F6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2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536</xdr:row>
      <xdr:rowOff>0</xdr:rowOff>
    </xdr:from>
    <xdr:ext cx="304800" cy="304800"/>
    <xdr:sp macro="" textlink="">
      <xdr:nvSpPr>
        <xdr:cNvPr id="1039" name="AutoShape 1">
          <a:extLst>
            <a:ext uri="{FF2B5EF4-FFF2-40B4-BE49-F238E27FC236}">
              <a16:creationId xmlns:a16="http://schemas.microsoft.com/office/drawing/2014/main" id="{D26F0AA7-68DA-424D-B400-5499B487142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2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536</xdr:row>
      <xdr:rowOff>0</xdr:rowOff>
    </xdr:from>
    <xdr:ext cx="304800" cy="304800"/>
    <xdr:sp macro="" textlink="">
      <xdr:nvSpPr>
        <xdr:cNvPr id="1040" name="AutoShape 1">
          <a:extLst>
            <a:ext uri="{FF2B5EF4-FFF2-40B4-BE49-F238E27FC236}">
              <a16:creationId xmlns:a16="http://schemas.microsoft.com/office/drawing/2014/main" id="{F3E6AFD9-CA23-4C05-8799-6FC5EE211D0B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2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536</xdr:row>
      <xdr:rowOff>0</xdr:rowOff>
    </xdr:from>
    <xdr:ext cx="304800" cy="304800"/>
    <xdr:sp macro="" textlink="">
      <xdr:nvSpPr>
        <xdr:cNvPr id="1041" name="AutoShape 1">
          <a:extLst>
            <a:ext uri="{FF2B5EF4-FFF2-40B4-BE49-F238E27FC236}">
              <a16:creationId xmlns:a16="http://schemas.microsoft.com/office/drawing/2014/main" id="{0720F749-BB3D-4E1B-9741-E30EE17A39A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2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536</xdr:row>
      <xdr:rowOff>0</xdr:rowOff>
    </xdr:from>
    <xdr:ext cx="304800" cy="304800"/>
    <xdr:sp macro="" textlink="">
      <xdr:nvSpPr>
        <xdr:cNvPr id="1042" name="AutoShape 1">
          <a:extLst>
            <a:ext uri="{FF2B5EF4-FFF2-40B4-BE49-F238E27FC236}">
              <a16:creationId xmlns:a16="http://schemas.microsoft.com/office/drawing/2014/main" id="{88FB4251-A3AD-4653-BF0D-398146274336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2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536</xdr:row>
      <xdr:rowOff>0</xdr:rowOff>
    </xdr:from>
    <xdr:ext cx="304800" cy="304800"/>
    <xdr:sp macro="" textlink="">
      <xdr:nvSpPr>
        <xdr:cNvPr id="1043" name="AutoShape 1">
          <a:extLst>
            <a:ext uri="{FF2B5EF4-FFF2-40B4-BE49-F238E27FC236}">
              <a16:creationId xmlns:a16="http://schemas.microsoft.com/office/drawing/2014/main" id="{73E2D1E9-F1FF-45B8-ADF7-02531DFB6D57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2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536</xdr:row>
      <xdr:rowOff>0</xdr:rowOff>
    </xdr:from>
    <xdr:ext cx="304800" cy="304800"/>
    <xdr:sp macro="" textlink="">
      <xdr:nvSpPr>
        <xdr:cNvPr id="1044" name="AutoShape 1">
          <a:extLst>
            <a:ext uri="{FF2B5EF4-FFF2-40B4-BE49-F238E27FC236}">
              <a16:creationId xmlns:a16="http://schemas.microsoft.com/office/drawing/2014/main" id="{158E78F9-0A53-457A-A817-F0BF8B00A9A7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2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536</xdr:row>
      <xdr:rowOff>0</xdr:rowOff>
    </xdr:from>
    <xdr:ext cx="304800" cy="304800"/>
    <xdr:sp macro="" textlink="">
      <xdr:nvSpPr>
        <xdr:cNvPr id="1045" name="AutoShape 1">
          <a:extLst>
            <a:ext uri="{FF2B5EF4-FFF2-40B4-BE49-F238E27FC236}">
              <a16:creationId xmlns:a16="http://schemas.microsoft.com/office/drawing/2014/main" id="{0D359864-1EBB-4853-8E24-347AB179179C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2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536</xdr:row>
      <xdr:rowOff>0</xdr:rowOff>
    </xdr:from>
    <xdr:ext cx="304800" cy="304800"/>
    <xdr:sp macro="" textlink="">
      <xdr:nvSpPr>
        <xdr:cNvPr id="1046" name="AutoShape 1">
          <a:extLst>
            <a:ext uri="{FF2B5EF4-FFF2-40B4-BE49-F238E27FC236}">
              <a16:creationId xmlns:a16="http://schemas.microsoft.com/office/drawing/2014/main" id="{9D067F42-1216-4E0F-9A02-C55A16ECD23E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2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536</xdr:row>
      <xdr:rowOff>0</xdr:rowOff>
    </xdr:from>
    <xdr:ext cx="304800" cy="304800"/>
    <xdr:sp macro="" textlink="">
      <xdr:nvSpPr>
        <xdr:cNvPr id="1047" name="AutoShape 1">
          <a:extLst>
            <a:ext uri="{FF2B5EF4-FFF2-40B4-BE49-F238E27FC236}">
              <a16:creationId xmlns:a16="http://schemas.microsoft.com/office/drawing/2014/main" id="{2B2C9738-4741-444D-8C34-610A812C98B7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2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536</xdr:row>
      <xdr:rowOff>0</xdr:rowOff>
    </xdr:from>
    <xdr:ext cx="304800" cy="304800"/>
    <xdr:sp macro="" textlink="">
      <xdr:nvSpPr>
        <xdr:cNvPr id="1048" name="AutoShape 1">
          <a:extLst>
            <a:ext uri="{FF2B5EF4-FFF2-40B4-BE49-F238E27FC236}">
              <a16:creationId xmlns:a16="http://schemas.microsoft.com/office/drawing/2014/main" id="{5BDBF110-D50B-4C7B-ACB3-E3E45CEC693F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2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536</xdr:row>
      <xdr:rowOff>0</xdr:rowOff>
    </xdr:from>
    <xdr:ext cx="304800" cy="304800"/>
    <xdr:sp macro="" textlink="">
      <xdr:nvSpPr>
        <xdr:cNvPr id="1049" name="AutoShape 1">
          <a:extLst>
            <a:ext uri="{FF2B5EF4-FFF2-40B4-BE49-F238E27FC236}">
              <a16:creationId xmlns:a16="http://schemas.microsoft.com/office/drawing/2014/main" id="{882BE13B-4AAE-4A9F-8995-1D70299809CC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2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536</xdr:row>
      <xdr:rowOff>0</xdr:rowOff>
    </xdr:from>
    <xdr:ext cx="304800" cy="304800"/>
    <xdr:sp macro="" textlink="">
      <xdr:nvSpPr>
        <xdr:cNvPr id="1050" name="AutoShape 1">
          <a:extLst>
            <a:ext uri="{FF2B5EF4-FFF2-40B4-BE49-F238E27FC236}">
              <a16:creationId xmlns:a16="http://schemas.microsoft.com/office/drawing/2014/main" id="{D1F23E85-D3FA-45F7-A16B-463E9F30CC08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2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536</xdr:row>
      <xdr:rowOff>0</xdr:rowOff>
    </xdr:from>
    <xdr:ext cx="304800" cy="304800"/>
    <xdr:sp macro="" textlink="">
      <xdr:nvSpPr>
        <xdr:cNvPr id="1051" name="AutoShape 1">
          <a:extLst>
            <a:ext uri="{FF2B5EF4-FFF2-40B4-BE49-F238E27FC236}">
              <a16:creationId xmlns:a16="http://schemas.microsoft.com/office/drawing/2014/main" id="{E228D7F7-321E-4D4D-9303-9D16ED36C3A9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2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536</xdr:row>
      <xdr:rowOff>0</xdr:rowOff>
    </xdr:from>
    <xdr:ext cx="304800" cy="304800"/>
    <xdr:sp macro="" textlink="">
      <xdr:nvSpPr>
        <xdr:cNvPr id="1052" name="AutoShape 1">
          <a:extLst>
            <a:ext uri="{FF2B5EF4-FFF2-40B4-BE49-F238E27FC236}">
              <a16:creationId xmlns:a16="http://schemas.microsoft.com/office/drawing/2014/main" id="{8DE3163A-9F8D-41AC-B2D5-0CB2E4E9F008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2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536</xdr:row>
      <xdr:rowOff>0</xdr:rowOff>
    </xdr:from>
    <xdr:ext cx="304800" cy="304800"/>
    <xdr:sp macro="" textlink="">
      <xdr:nvSpPr>
        <xdr:cNvPr id="1053" name="AutoShape 1">
          <a:extLst>
            <a:ext uri="{FF2B5EF4-FFF2-40B4-BE49-F238E27FC236}">
              <a16:creationId xmlns:a16="http://schemas.microsoft.com/office/drawing/2014/main" id="{F08A0029-8DED-4E88-A930-54375F5EEF4C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2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536</xdr:row>
      <xdr:rowOff>0</xdr:rowOff>
    </xdr:from>
    <xdr:ext cx="304800" cy="304800"/>
    <xdr:sp macro="" textlink="">
      <xdr:nvSpPr>
        <xdr:cNvPr id="1054" name="AutoShape 1">
          <a:extLst>
            <a:ext uri="{FF2B5EF4-FFF2-40B4-BE49-F238E27FC236}">
              <a16:creationId xmlns:a16="http://schemas.microsoft.com/office/drawing/2014/main" id="{6F2BE3D0-9455-42D1-976E-10568D4362CE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2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536</xdr:row>
      <xdr:rowOff>0</xdr:rowOff>
    </xdr:from>
    <xdr:ext cx="304800" cy="304800"/>
    <xdr:sp macro="" textlink="">
      <xdr:nvSpPr>
        <xdr:cNvPr id="1055" name="AutoShape 1">
          <a:extLst>
            <a:ext uri="{FF2B5EF4-FFF2-40B4-BE49-F238E27FC236}">
              <a16:creationId xmlns:a16="http://schemas.microsoft.com/office/drawing/2014/main" id="{87DA1B44-368C-4AD5-943A-1E5FF5154DFC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2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536</xdr:row>
      <xdr:rowOff>0</xdr:rowOff>
    </xdr:from>
    <xdr:ext cx="304800" cy="304800"/>
    <xdr:sp macro="" textlink="">
      <xdr:nvSpPr>
        <xdr:cNvPr id="1056" name="AutoShape 1">
          <a:extLst>
            <a:ext uri="{FF2B5EF4-FFF2-40B4-BE49-F238E27FC236}">
              <a16:creationId xmlns:a16="http://schemas.microsoft.com/office/drawing/2014/main" id="{8BFD08BD-25A8-45F4-BC8D-A43A30BCBA93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2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536</xdr:row>
      <xdr:rowOff>0</xdr:rowOff>
    </xdr:from>
    <xdr:ext cx="304800" cy="304800"/>
    <xdr:sp macro="" textlink="">
      <xdr:nvSpPr>
        <xdr:cNvPr id="1057" name="AutoShape 1">
          <a:extLst>
            <a:ext uri="{FF2B5EF4-FFF2-40B4-BE49-F238E27FC236}">
              <a16:creationId xmlns:a16="http://schemas.microsoft.com/office/drawing/2014/main" id="{12E63C24-3F1E-4972-A876-CBA7E5CB7306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2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536</xdr:row>
      <xdr:rowOff>0</xdr:rowOff>
    </xdr:from>
    <xdr:ext cx="304800" cy="304800"/>
    <xdr:sp macro="" textlink="">
      <xdr:nvSpPr>
        <xdr:cNvPr id="1058" name="AutoShape 1">
          <a:extLst>
            <a:ext uri="{FF2B5EF4-FFF2-40B4-BE49-F238E27FC236}">
              <a16:creationId xmlns:a16="http://schemas.microsoft.com/office/drawing/2014/main" id="{60781B98-01BF-4ECE-9492-C0A74652D577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2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536</xdr:row>
      <xdr:rowOff>0</xdr:rowOff>
    </xdr:from>
    <xdr:ext cx="304800" cy="304800"/>
    <xdr:sp macro="" textlink="">
      <xdr:nvSpPr>
        <xdr:cNvPr id="1059" name="AutoShape 1">
          <a:extLst>
            <a:ext uri="{FF2B5EF4-FFF2-40B4-BE49-F238E27FC236}">
              <a16:creationId xmlns:a16="http://schemas.microsoft.com/office/drawing/2014/main" id="{C950B28B-6373-46AD-826A-13D9B84B18B4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2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536</xdr:row>
      <xdr:rowOff>0</xdr:rowOff>
    </xdr:from>
    <xdr:ext cx="304800" cy="304800"/>
    <xdr:sp macro="" textlink="">
      <xdr:nvSpPr>
        <xdr:cNvPr id="1060" name="AutoShape 1">
          <a:extLst>
            <a:ext uri="{FF2B5EF4-FFF2-40B4-BE49-F238E27FC236}">
              <a16:creationId xmlns:a16="http://schemas.microsoft.com/office/drawing/2014/main" id="{95CEB55D-10FF-42EA-80C6-A68708CE49F4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2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536</xdr:row>
      <xdr:rowOff>0</xdr:rowOff>
    </xdr:from>
    <xdr:ext cx="304800" cy="304800"/>
    <xdr:sp macro="" textlink="">
      <xdr:nvSpPr>
        <xdr:cNvPr id="1061" name="AutoShape 1">
          <a:extLst>
            <a:ext uri="{FF2B5EF4-FFF2-40B4-BE49-F238E27FC236}">
              <a16:creationId xmlns:a16="http://schemas.microsoft.com/office/drawing/2014/main" id="{0ADFABF1-2A64-4E1D-83E1-C5EC8E4A5730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2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536</xdr:row>
      <xdr:rowOff>0</xdr:rowOff>
    </xdr:from>
    <xdr:ext cx="304800" cy="304800"/>
    <xdr:sp macro="" textlink="">
      <xdr:nvSpPr>
        <xdr:cNvPr id="1062" name="AutoShape 1">
          <a:extLst>
            <a:ext uri="{FF2B5EF4-FFF2-40B4-BE49-F238E27FC236}">
              <a16:creationId xmlns:a16="http://schemas.microsoft.com/office/drawing/2014/main" id="{15B54B29-80C5-42C0-A934-9C6F3DCF19FC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2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536</xdr:row>
      <xdr:rowOff>0</xdr:rowOff>
    </xdr:from>
    <xdr:ext cx="304800" cy="304800"/>
    <xdr:sp macro="" textlink="">
      <xdr:nvSpPr>
        <xdr:cNvPr id="1063" name="AutoShape 1">
          <a:extLst>
            <a:ext uri="{FF2B5EF4-FFF2-40B4-BE49-F238E27FC236}">
              <a16:creationId xmlns:a16="http://schemas.microsoft.com/office/drawing/2014/main" id="{34D8CEFD-250E-4F66-B07E-14372618EFF6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2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536</xdr:row>
      <xdr:rowOff>0</xdr:rowOff>
    </xdr:from>
    <xdr:ext cx="304800" cy="304800"/>
    <xdr:sp macro="" textlink="">
      <xdr:nvSpPr>
        <xdr:cNvPr id="1064" name="AutoShape 1">
          <a:extLst>
            <a:ext uri="{FF2B5EF4-FFF2-40B4-BE49-F238E27FC236}">
              <a16:creationId xmlns:a16="http://schemas.microsoft.com/office/drawing/2014/main" id="{DB71E73D-57DD-44D5-A519-71EA24C1EA41}"/>
            </a:ext>
            <a:ext uri="{147F2762-F138-4A5C-976F-8EAC2B608ADB}">
              <a16:predDERef xmlns:a16="http://schemas.microsoft.com/office/drawing/2014/main" pred="{A9C9C4DB-4B97-447C-9099-E87BCB3C537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2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536</xdr:row>
      <xdr:rowOff>0</xdr:rowOff>
    </xdr:from>
    <xdr:ext cx="304800" cy="304800"/>
    <xdr:sp macro="" textlink="">
      <xdr:nvSpPr>
        <xdr:cNvPr id="1065" name="AutoShape 1">
          <a:extLst>
            <a:ext uri="{FF2B5EF4-FFF2-40B4-BE49-F238E27FC236}">
              <a16:creationId xmlns:a16="http://schemas.microsoft.com/office/drawing/2014/main" id="{F64F3473-3D5A-43A5-89BE-815B672946E2}"/>
            </a:ext>
            <a:ext uri="{147F2762-F138-4A5C-976F-8EAC2B608ADB}">
              <a16:predDERef xmlns:a16="http://schemas.microsoft.com/office/drawing/2014/main" pred="{CD89554D-BD76-42AD-819A-278AD445B86E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2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536</xdr:row>
      <xdr:rowOff>0</xdr:rowOff>
    </xdr:from>
    <xdr:ext cx="304800" cy="304800"/>
    <xdr:sp macro="" textlink="">
      <xdr:nvSpPr>
        <xdr:cNvPr id="1066" name="AutoShape 1">
          <a:extLst>
            <a:ext uri="{FF2B5EF4-FFF2-40B4-BE49-F238E27FC236}">
              <a16:creationId xmlns:a16="http://schemas.microsoft.com/office/drawing/2014/main" id="{5DEFF328-A6D2-46B8-A6BC-EA418228FE83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2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536</xdr:row>
      <xdr:rowOff>0</xdr:rowOff>
    </xdr:from>
    <xdr:ext cx="304800" cy="304800"/>
    <xdr:sp macro="" textlink="">
      <xdr:nvSpPr>
        <xdr:cNvPr id="1067" name="AutoShape 1">
          <a:extLst>
            <a:ext uri="{FF2B5EF4-FFF2-40B4-BE49-F238E27FC236}">
              <a16:creationId xmlns:a16="http://schemas.microsoft.com/office/drawing/2014/main" id="{9E85CD7C-68C4-4BD8-B0B6-DB30F080EB0C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2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536</xdr:row>
      <xdr:rowOff>0</xdr:rowOff>
    </xdr:from>
    <xdr:ext cx="304800" cy="304800"/>
    <xdr:sp macro="" textlink="">
      <xdr:nvSpPr>
        <xdr:cNvPr id="1068" name="AutoShape 1">
          <a:extLst>
            <a:ext uri="{FF2B5EF4-FFF2-40B4-BE49-F238E27FC236}">
              <a16:creationId xmlns:a16="http://schemas.microsoft.com/office/drawing/2014/main" id="{E72BCC7C-2460-467A-810B-F5F726D3D52F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2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536</xdr:row>
      <xdr:rowOff>0</xdr:rowOff>
    </xdr:from>
    <xdr:ext cx="304800" cy="304800"/>
    <xdr:sp macro="" textlink="">
      <xdr:nvSpPr>
        <xdr:cNvPr id="1069" name="AutoShape 1">
          <a:extLst>
            <a:ext uri="{FF2B5EF4-FFF2-40B4-BE49-F238E27FC236}">
              <a16:creationId xmlns:a16="http://schemas.microsoft.com/office/drawing/2014/main" id="{5F9E0DBB-3625-466C-BFB3-4B0E6CC6030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2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536</xdr:row>
      <xdr:rowOff>0</xdr:rowOff>
    </xdr:from>
    <xdr:ext cx="304800" cy="304800"/>
    <xdr:sp macro="" textlink="">
      <xdr:nvSpPr>
        <xdr:cNvPr id="1070" name="AutoShape 1">
          <a:extLst>
            <a:ext uri="{FF2B5EF4-FFF2-40B4-BE49-F238E27FC236}">
              <a16:creationId xmlns:a16="http://schemas.microsoft.com/office/drawing/2014/main" id="{7AF81EE5-23C4-40B1-AC15-15ADF3596661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2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536</xdr:row>
      <xdr:rowOff>0</xdr:rowOff>
    </xdr:from>
    <xdr:ext cx="304800" cy="304800"/>
    <xdr:sp macro="" textlink="">
      <xdr:nvSpPr>
        <xdr:cNvPr id="1071" name="AutoShape 1">
          <a:extLst>
            <a:ext uri="{FF2B5EF4-FFF2-40B4-BE49-F238E27FC236}">
              <a16:creationId xmlns:a16="http://schemas.microsoft.com/office/drawing/2014/main" id="{9BCBE4ED-4A4E-466A-A87D-5D9BD44D3831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2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536</xdr:row>
      <xdr:rowOff>0</xdr:rowOff>
    </xdr:from>
    <xdr:ext cx="304800" cy="304800"/>
    <xdr:sp macro="" textlink="">
      <xdr:nvSpPr>
        <xdr:cNvPr id="1072" name="AutoShape 1">
          <a:extLst>
            <a:ext uri="{FF2B5EF4-FFF2-40B4-BE49-F238E27FC236}">
              <a16:creationId xmlns:a16="http://schemas.microsoft.com/office/drawing/2014/main" id="{31F111AE-E2C4-4129-9EC9-5CD3D1435EB4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2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536</xdr:row>
      <xdr:rowOff>0</xdr:rowOff>
    </xdr:from>
    <xdr:ext cx="304800" cy="304800"/>
    <xdr:sp macro="" textlink="">
      <xdr:nvSpPr>
        <xdr:cNvPr id="1073" name="AutoShape 1">
          <a:extLst>
            <a:ext uri="{FF2B5EF4-FFF2-40B4-BE49-F238E27FC236}">
              <a16:creationId xmlns:a16="http://schemas.microsoft.com/office/drawing/2014/main" id="{872EADA3-13FF-44A2-9DC9-E8F1B6589601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2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536</xdr:row>
      <xdr:rowOff>0</xdr:rowOff>
    </xdr:from>
    <xdr:ext cx="304800" cy="304800"/>
    <xdr:sp macro="" textlink="">
      <xdr:nvSpPr>
        <xdr:cNvPr id="1074" name="AutoShape 1">
          <a:extLst>
            <a:ext uri="{FF2B5EF4-FFF2-40B4-BE49-F238E27FC236}">
              <a16:creationId xmlns:a16="http://schemas.microsoft.com/office/drawing/2014/main" id="{5E6014A8-5AAA-4F0B-998D-FC64B01B48BC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2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536</xdr:row>
      <xdr:rowOff>0</xdr:rowOff>
    </xdr:from>
    <xdr:ext cx="304800" cy="304800"/>
    <xdr:sp macro="" textlink="">
      <xdr:nvSpPr>
        <xdr:cNvPr id="1075" name="AutoShape 1">
          <a:extLst>
            <a:ext uri="{FF2B5EF4-FFF2-40B4-BE49-F238E27FC236}">
              <a16:creationId xmlns:a16="http://schemas.microsoft.com/office/drawing/2014/main" id="{A7886CCB-2A58-46EE-BF86-34C588D634E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2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536</xdr:row>
      <xdr:rowOff>0</xdr:rowOff>
    </xdr:from>
    <xdr:ext cx="304800" cy="304800"/>
    <xdr:sp macro="" textlink="">
      <xdr:nvSpPr>
        <xdr:cNvPr id="1076" name="AutoShape 1">
          <a:extLst>
            <a:ext uri="{FF2B5EF4-FFF2-40B4-BE49-F238E27FC236}">
              <a16:creationId xmlns:a16="http://schemas.microsoft.com/office/drawing/2014/main" id="{D6A39A60-3DB0-48A0-8CA5-37D589A44E9F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2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536</xdr:row>
      <xdr:rowOff>0</xdr:rowOff>
    </xdr:from>
    <xdr:ext cx="304800" cy="304800"/>
    <xdr:sp macro="" textlink="">
      <xdr:nvSpPr>
        <xdr:cNvPr id="1077" name="AutoShape 1">
          <a:extLst>
            <a:ext uri="{FF2B5EF4-FFF2-40B4-BE49-F238E27FC236}">
              <a16:creationId xmlns:a16="http://schemas.microsoft.com/office/drawing/2014/main" id="{6F953F02-F1A2-46BA-9808-B218C360307C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2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536</xdr:row>
      <xdr:rowOff>0</xdr:rowOff>
    </xdr:from>
    <xdr:ext cx="304800" cy="304800"/>
    <xdr:sp macro="" textlink="">
      <xdr:nvSpPr>
        <xdr:cNvPr id="1078" name="AutoShape 1">
          <a:extLst>
            <a:ext uri="{FF2B5EF4-FFF2-40B4-BE49-F238E27FC236}">
              <a16:creationId xmlns:a16="http://schemas.microsoft.com/office/drawing/2014/main" id="{E2015194-D033-430E-BA53-15873A4D09AA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2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536</xdr:row>
      <xdr:rowOff>0</xdr:rowOff>
    </xdr:from>
    <xdr:ext cx="304800" cy="304800"/>
    <xdr:sp macro="" textlink="">
      <xdr:nvSpPr>
        <xdr:cNvPr id="1079" name="AutoShape 1">
          <a:extLst>
            <a:ext uri="{FF2B5EF4-FFF2-40B4-BE49-F238E27FC236}">
              <a16:creationId xmlns:a16="http://schemas.microsoft.com/office/drawing/2014/main" id="{D22C3318-1D22-40FB-9C53-58AD355F552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2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536</xdr:row>
      <xdr:rowOff>0</xdr:rowOff>
    </xdr:from>
    <xdr:ext cx="304800" cy="304800"/>
    <xdr:sp macro="" textlink="">
      <xdr:nvSpPr>
        <xdr:cNvPr id="1080" name="AutoShape 1">
          <a:extLst>
            <a:ext uri="{FF2B5EF4-FFF2-40B4-BE49-F238E27FC236}">
              <a16:creationId xmlns:a16="http://schemas.microsoft.com/office/drawing/2014/main" id="{E8C2FCC7-16F6-40F0-ACD2-08043BAEB96A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2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536</xdr:row>
      <xdr:rowOff>0</xdr:rowOff>
    </xdr:from>
    <xdr:ext cx="304800" cy="304800"/>
    <xdr:sp macro="" textlink="">
      <xdr:nvSpPr>
        <xdr:cNvPr id="1081" name="AutoShape 1">
          <a:extLst>
            <a:ext uri="{FF2B5EF4-FFF2-40B4-BE49-F238E27FC236}">
              <a16:creationId xmlns:a16="http://schemas.microsoft.com/office/drawing/2014/main" id="{D49DBA42-CF9E-44EB-BDFB-2A7D709F2279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2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536</xdr:row>
      <xdr:rowOff>0</xdr:rowOff>
    </xdr:from>
    <xdr:ext cx="304800" cy="304800"/>
    <xdr:sp macro="" textlink="">
      <xdr:nvSpPr>
        <xdr:cNvPr id="1082" name="AutoShape 1">
          <a:extLst>
            <a:ext uri="{FF2B5EF4-FFF2-40B4-BE49-F238E27FC236}">
              <a16:creationId xmlns:a16="http://schemas.microsoft.com/office/drawing/2014/main" id="{CF65D760-700F-48D4-9EF7-E5797C34C2B1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2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536</xdr:row>
      <xdr:rowOff>0</xdr:rowOff>
    </xdr:from>
    <xdr:ext cx="304800" cy="304800"/>
    <xdr:sp macro="" textlink="">
      <xdr:nvSpPr>
        <xdr:cNvPr id="1083" name="AutoShape 1">
          <a:extLst>
            <a:ext uri="{FF2B5EF4-FFF2-40B4-BE49-F238E27FC236}">
              <a16:creationId xmlns:a16="http://schemas.microsoft.com/office/drawing/2014/main" id="{6D6C714E-B09E-4FE6-A6E0-91F0DBF6B7A7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2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536</xdr:row>
      <xdr:rowOff>0</xdr:rowOff>
    </xdr:from>
    <xdr:ext cx="304800" cy="304800"/>
    <xdr:sp macro="" textlink="">
      <xdr:nvSpPr>
        <xdr:cNvPr id="1084" name="AutoShape 1">
          <a:extLst>
            <a:ext uri="{FF2B5EF4-FFF2-40B4-BE49-F238E27FC236}">
              <a16:creationId xmlns:a16="http://schemas.microsoft.com/office/drawing/2014/main" id="{90E500A5-55B3-4549-A67C-C0319A29BAF2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2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536</xdr:row>
      <xdr:rowOff>0</xdr:rowOff>
    </xdr:from>
    <xdr:ext cx="304800" cy="304800"/>
    <xdr:sp macro="" textlink="">
      <xdr:nvSpPr>
        <xdr:cNvPr id="1085" name="AutoShape 1">
          <a:extLst>
            <a:ext uri="{FF2B5EF4-FFF2-40B4-BE49-F238E27FC236}">
              <a16:creationId xmlns:a16="http://schemas.microsoft.com/office/drawing/2014/main" id="{2A4C8C46-DB34-49B7-AAD0-8639263FD05D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2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536</xdr:row>
      <xdr:rowOff>0</xdr:rowOff>
    </xdr:from>
    <xdr:ext cx="304800" cy="304800"/>
    <xdr:sp macro="" textlink="">
      <xdr:nvSpPr>
        <xdr:cNvPr id="1086" name="AutoShape 1">
          <a:extLst>
            <a:ext uri="{FF2B5EF4-FFF2-40B4-BE49-F238E27FC236}">
              <a16:creationId xmlns:a16="http://schemas.microsoft.com/office/drawing/2014/main" id="{5BB96D2D-4D55-4C08-8B1A-4C258B458E17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2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536</xdr:row>
      <xdr:rowOff>0</xdr:rowOff>
    </xdr:from>
    <xdr:ext cx="304800" cy="304800"/>
    <xdr:sp macro="" textlink="">
      <xdr:nvSpPr>
        <xdr:cNvPr id="1087" name="AutoShape 1">
          <a:extLst>
            <a:ext uri="{FF2B5EF4-FFF2-40B4-BE49-F238E27FC236}">
              <a16:creationId xmlns:a16="http://schemas.microsoft.com/office/drawing/2014/main" id="{0ABF1C7C-B222-4A0C-8E06-0CE8524EE262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2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536</xdr:row>
      <xdr:rowOff>0</xdr:rowOff>
    </xdr:from>
    <xdr:ext cx="304800" cy="304800"/>
    <xdr:sp macro="" textlink="">
      <xdr:nvSpPr>
        <xdr:cNvPr id="1088" name="AutoShape 1">
          <a:extLst>
            <a:ext uri="{FF2B5EF4-FFF2-40B4-BE49-F238E27FC236}">
              <a16:creationId xmlns:a16="http://schemas.microsoft.com/office/drawing/2014/main" id="{EC7C1008-0029-4DAA-AF76-9E77064137BC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2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536</xdr:row>
      <xdr:rowOff>0</xdr:rowOff>
    </xdr:from>
    <xdr:ext cx="304800" cy="304800"/>
    <xdr:sp macro="" textlink="">
      <xdr:nvSpPr>
        <xdr:cNvPr id="1089" name="AutoShape 1">
          <a:extLst>
            <a:ext uri="{FF2B5EF4-FFF2-40B4-BE49-F238E27FC236}">
              <a16:creationId xmlns:a16="http://schemas.microsoft.com/office/drawing/2014/main" id="{4D93E9B8-EBB8-4FD8-9484-8E861190EADE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2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536</xdr:row>
      <xdr:rowOff>0</xdr:rowOff>
    </xdr:from>
    <xdr:ext cx="304800" cy="304800"/>
    <xdr:sp macro="" textlink="">
      <xdr:nvSpPr>
        <xdr:cNvPr id="1090" name="AutoShape 1">
          <a:extLst>
            <a:ext uri="{FF2B5EF4-FFF2-40B4-BE49-F238E27FC236}">
              <a16:creationId xmlns:a16="http://schemas.microsoft.com/office/drawing/2014/main" id="{DC1666C5-24BD-4BB7-8971-FDE6DEDAE9D9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2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536</xdr:row>
      <xdr:rowOff>0</xdr:rowOff>
    </xdr:from>
    <xdr:ext cx="304800" cy="304800"/>
    <xdr:sp macro="" textlink="">
      <xdr:nvSpPr>
        <xdr:cNvPr id="1091" name="AutoShape 1">
          <a:extLst>
            <a:ext uri="{FF2B5EF4-FFF2-40B4-BE49-F238E27FC236}">
              <a16:creationId xmlns:a16="http://schemas.microsoft.com/office/drawing/2014/main" id="{F6502FA1-B8EF-4721-BE7A-A3E65520200C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2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536</xdr:row>
      <xdr:rowOff>0</xdr:rowOff>
    </xdr:from>
    <xdr:ext cx="304800" cy="304800"/>
    <xdr:sp macro="" textlink="">
      <xdr:nvSpPr>
        <xdr:cNvPr id="1092" name="AutoShape 1">
          <a:extLst>
            <a:ext uri="{FF2B5EF4-FFF2-40B4-BE49-F238E27FC236}">
              <a16:creationId xmlns:a16="http://schemas.microsoft.com/office/drawing/2014/main" id="{B13EACD3-66FD-4954-BC3C-D683A347D814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2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536</xdr:row>
      <xdr:rowOff>0</xdr:rowOff>
    </xdr:from>
    <xdr:ext cx="304800" cy="304800"/>
    <xdr:sp macro="" textlink="">
      <xdr:nvSpPr>
        <xdr:cNvPr id="1093" name="AutoShape 1">
          <a:extLst>
            <a:ext uri="{FF2B5EF4-FFF2-40B4-BE49-F238E27FC236}">
              <a16:creationId xmlns:a16="http://schemas.microsoft.com/office/drawing/2014/main" id="{315A673B-0440-4279-BBB9-2D6C203C13A6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2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536</xdr:row>
      <xdr:rowOff>0</xdr:rowOff>
    </xdr:from>
    <xdr:ext cx="304800" cy="304800"/>
    <xdr:sp macro="" textlink="">
      <xdr:nvSpPr>
        <xdr:cNvPr id="1094" name="AutoShape 1">
          <a:extLst>
            <a:ext uri="{FF2B5EF4-FFF2-40B4-BE49-F238E27FC236}">
              <a16:creationId xmlns:a16="http://schemas.microsoft.com/office/drawing/2014/main" id="{A67DD2E2-E297-423C-8AE8-172880A3C668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2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536</xdr:row>
      <xdr:rowOff>0</xdr:rowOff>
    </xdr:from>
    <xdr:ext cx="304800" cy="304800"/>
    <xdr:sp macro="" textlink="">
      <xdr:nvSpPr>
        <xdr:cNvPr id="1095" name="AutoShape 1">
          <a:extLst>
            <a:ext uri="{FF2B5EF4-FFF2-40B4-BE49-F238E27FC236}">
              <a16:creationId xmlns:a16="http://schemas.microsoft.com/office/drawing/2014/main" id="{53BBB69F-D3B0-4ADF-89B2-B4299A0647D5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2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536</xdr:row>
      <xdr:rowOff>0</xdr:rowOff>
    </xdr:from>
    <xdr:ext cx="304800" cy="304800"/>
    <xdr:sp macro="" textlink="">
      <xdr:nvSpPr>
        <xdr:cNvPr id="1096" name="AutoShape 1">
          <a:extLst>
            <a:ext uri="{FF2B5EF4-FFF2-40B4-BE49-F238E27FC236}">
              <a16:creationId xmlns:a16="http://schemas.microsoft.com/office/drawing/2014/main" id="{8C5918AA-2326-4791-8268-D9142DC50D4D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2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536</xdr:row>
      <xdr:rowOff>0</xdr:rowOff>
    </xdr:from>
    <xdr:ext cx="304800" cy="304800"/>
    <xdr:sp macro="" textlink="">
      <xdr:nvSpPr>
        <xdr:cNvPr id="1097" name="AutoShape 1">
          <a:extLst>
            <a:ext uri="{FF2B5EF4-FFF2-40B4-BE49-F238E27FC236}">
              <a16:creationId xmlns:a16="http://schemas.microsoft.com/office/drawing/2014/main" id="{BF965846-4E0A-4BA0-B917-DBE4DBDE1BFB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2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536</xdr:row>
      <xdr:rowOff>0</xdr:rowOff>
    </xdr:from>
    <xdr:ext cx="304800" cy="304800"/>
    <xdr:sp macro="" textlink="">
      <xdr:nvSpPr>
        <xdr:cNvPr id="1098" name="AutoShape 1">
          <a:extLst>
            <a:ext uri="{FF2B5EF4-FFF2-40B4-BE49-F238E27FC236}">
              <a16:creationId xmlns:a16="http://schemas.microsoft.com/office/drawing/2014/main" id="{DA13B641-8B91-45B7-82B0-797C4B77BD05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2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536</xdr:row>
      <xdr:rowOff>0</xdr:rowOff>
    </xdr:from>
    <xdr:ext cx="304800" cy="304800"/>
    <xdr:sp macro="" textlink="">
      <xdr:nvSpPr>
        <xdr:cNvPr id="1099" name="AutoShape 1">
          <a:extLst>
            <a:ext uri="{FF2B5EF4-FFF2-40B4-BE49-F238E27FC236}">
              <a16:creationId xmlns:a16="http://schemas.microsoft.com/office/drawing/2014/main" id="{283FB603-50DA-4095-AAC5-5F9515884EA5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2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536</xdr:row>
      <xdr:rowOff>0</xdr:rowOff>
    </xdr:from>
    <xdr:ext cx="304800" cy="304800"/>
    <xdr:sp macro="" textlink="">
      <xdr:nvSpPr>
        <xdr:cNvPr id="1100" name="AutoShape 1">
          <a:extLst>
            <a:ext uri="{FF2B5EF4-FFF2-40B4-BE49-F238E27FC236}">
              <a16:creationId xmlns:a16="http://schemas.microsoft.com/office/drawing/2014/main" id="{53251720-3B0B-429A-B0D8-C5127358D45B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2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536</xdr:row>
      <xdr:rowOff>0</xdr:rowOff>
    </xdr:from>
    <xdr:ext cx="304800" cy="304800"/>
    <xdr:sp macro="" textlink="">
      <xdr:nvSpPr>
        <xdr:cNvPr id="1101" name="AutoShape 1">
          <a:extLst>
            <a:ext uri="{FF2B5EF4-FFF2-40B4-BE49-F238E27FC236}">
              <a16:creationId xmlns:a16="http://schemas.microsoft.com/office/drawing/2014/main" id="{B4085202-A09A-4EA0-BC75-96F8564966F7}"/>
            </a:ext>
            <a:ext uri="{147F2762-F138-4A5C-976F-8EAC2B608ADB}">
              <a16:predDERef xmlns:a16="http://schemas.microsoft.com/office/drawing/2014/main" pred="{A9C9C4DB-4B97-447C-9099-E87BCB3C537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2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536</xdr:row>
      <xdr:rowOff>0</xdr:rowOff>
    </xdr:from>
    <xdr:ext cx="304800" cy="304800"/>
    <xdr:sp macro="" textlink="">
      <xdr:nvSpPr>
        <xdr:cNvPr id="1102" name="AutoShape 1">
          <a:extLst>
            <a:ext uri="{FF2B5EF4-FFF2-40B4-BE49-F238E27FC236}">
              <a16:creationId xmlns:a16="http://schemas.microsoft.com/office/drawing/2014/main" id="{5884604B-2D8E-407D-AF0F-EDC983B977FF}"/>
            </a:ext>
            <a:ext uri="{147F2762-F138-4A5C-976F-8EAC2B608ADB}">
              <a16:predDERef xmlns:a16="http://schemas.microsoft.com/office/drawing/2014/main" pred="{CD89554D-BD76-42AD-819A-278AD445B86E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2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564</xdr:row>
      <xdr:rowOff>0</xdr:rowOff>
    </xdr:from>
    <xdr:ext cx="304800" cy="304800"/>
    <xdr:sp macro="" textlink="">
      <xdr:nvSpPr>
        <xdr:cNvPr id="1103" name="AutoShape 1">
          <a:extLst>
            <a:ext uri="{FF2B5EF4-FFF2-40B4-BE49-F238E27FC236}">
              <a16:creationId xmlns:a16="http://schemas.microsoft.com/office/drawing/2014/main" id="{A06A393F-1FFD-4461-B7A8-22E0593CADDB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782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564</xdr:row>
      <xdr:rowOff>0</xdr:rowOff>
    </xdr:from>
    <xdr:ext cx="304800" cy="304800"/>
    <xdr:sp macro="" textlink="">
      <xdr:nvSpPr>
        <xdr:cNvPr id="1104" name="AutoShape 1">
          <a:extLst>
            <a:ext uri="{FF2B5EF4-FFF2-40B4-BE49-F238E27FC236}">
              <a16:creationId xmlns:a16="http://schemas.microsoft.com/office/drawing/2014/main" id="{065B18E1-CF6D-455D-AB54-E3504E4A3DC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782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105" name="AutoShape 1">
          <a:extLst>
            <a:ext uri="{FF2B5EF4-FFF2-40B4-BE49-F238E27FC236}">
              <a16:creationId xmlns:a16="http://schemas.microsoft.com/office/drawing/2014/main" id="{C5537D71-DA6F-4B76-8CAB-889626521C14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106" name="AutoShape 1">
          <a:extLst>
            <a:ext uri="{FF2B5EF4-FFF2-40B4-BE49-F238E27FC236}">
              <a16:creationId xmlns:a16="http://schemas.microsoft.com/office/drawing/2014/main" id="{158F9091-441E-4032-8559-C82041A1A1B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107" name="AutoShape 1">
          <a:extLst>
            <a:ext uri="{FF2B5EF4-FFF2-40B4-BE49-F238E27FC236}">
              <a16:creationId xmlns:a16="http://schemas.microsoft.com/office/drawing/2014/main" id="{863A3217-DFFD-4788-B0C8-F4D2CC1CACC6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108" name="AutoShape 1">
          <a:extLst>
            <a:ext uri="{FF2B5EF4-FFF2-40B4-BE49-F238E27FC236}">
              <a16:creationId xmlns:a16="http://schemas.microsoft.com/office/drawing/2014/main" id="{D3C662CD-5EA3-4821-B367-85FCBF578567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109" name="AutoShape 1">
          <a:extLst>
            <a:ext uri="{FF2B5EF4-FFF2-40B4-BE49-F238E27FC236}">
              <a16:creationId xmlns:a16="http://schemas.microsoft.com/office/drawing/2014/main" id="{B108588C-7BB8-4372-86F6-3DB550CA7F96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110" name="AutoShape 1">
          <a:extLst>
            <a:ext uri="{FF2B5EF4-FFF2-40B4-BE49-F238E27FC236}">
              <a16:creationId xmlns:a16="http://schemas.microsoft.com/office/drawing/2014/main" id="{110CFEFB-1EB0-43DA-9657-5555493600C4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111" name="AutoShape 1">
          <a:extLst>
            <a:ext uri="{FF2B5EF4-FFF2-40B4-BE49-F238E27FC236}">
              <a16:creationId xmlns:a16="http://schemas.microsoft.com/office/drawing/2014/main" id="{C8E020A8-1B15-4384-9D8A-E230372E1B83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112" name="AutoShape 1">
          <a:extLst>
            <a:ext uri="{FF2B5EF4-FFF2-40B4-BE49-F238E27FC236}">
              <a16:creationId xmlns:a16="http://schemas.microsoft.com/office/drawing/2014/main" id="{E7BBF3B7-2276-484B-AE69-7EFA505AF62E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113" name="AutoShape 1">
          <a:extLst>
            <a:ext uri="{FF2B5EF4-FFF2-40B4-BE49-F238E27FC236}">
              <a16:creationId xmlns:a16="http://schemas.microsoft.com/office/drawing/2014/main" id="{85364A68-4F5D-43D5-8F00-569DFDB6EBDC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114" name="AutoShape 1">
          <a:extLst>
            <a:ext uri="{FF2B5EF4-FFF2-40B4-BE49-F238E27FC236}">
              <a16:creationId xmlns:a16="http://schemas.microsoft.com/office/drawing/2014/main" id="{D2FA62DD-B15B-4545-BC18-16A27988C52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115" name="AutoShape 1">
          <a:extLst>
            <a:ext uri="{FF2B5EF4-FFF2-40B4-BE49-F238E27FC236}">
              <a16:creationId xmlns:a16="http://schemas.microsoft.com/office/drawing/2014/main" id="{03B783F8-FDD8-4A4C-AAB0-27D814AE4D5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116" name="AutoShape 1">
          <a:extLst>
            <a:ext uri="{FF2B5EF4-FFF2-40B4-BE49-F238E27FC236}">
              <a16:creationId xmlns:a16="http://schemas.microsoft.com/office/drawing/2014/main" id="{3D65E573-808A-474E-9897-14FF5049BE11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117" name="AutoShape 1">
          <a:extLst>
            <a:ext uri="{FF2B5EF4-FFF2-40B4-BE49-F238E27FC236}">
              <a16:creationId xmlns:a16="http://schemas.microsoft.com/office/drawing/2014/main" id="{18217E94-2B28-4F23-8168-1A9D87584CEE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118" name="AutoShape 1">
          <a:extLst>
            <a:ext uri="{FF2B5EF4-FFF2-40B4-BE49-F238E27FC236}">
              <a16:creationId xmlns:a16="http://schemas.microsoft.com/office/drawing/2014/main" id="{B655CBB2-96F6-4D98-B719-7CADEA1BC264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119" name="AutoShape 1">
          <a:extLst>
            <a:ext uri="{FF2B5EF4-FFF2-40B4-BE49-F238E27FC236}">
              <a16:creationId xmlns:a16="http://schemas.microsoft.com/office/drawing/2014/main" id="{06A929A9-927A-4BDE-8F73-56A4585448AC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120" name="AutoShape 1">
          <a:extLst>
            <a:ext uri="{FF2B5EF4-FFF2-40B4-BE49-F238E27FC236}">
              <a16:creationId xmlns:a16="http://schemas.microsoft.com/office/drawing/2014/main" id="{C12D4A80-5E1E-45A9-949C-4CADFEF69C7F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121" name="AutoShape 1">
          <a:extLst>
            <a:ext uri="{FF2B5EF4-FFF2-40B4-BE49-F238E27FC236}">
              <a16:creationId xmlns:a16="http://schemas.microsoft.com/office/drawing/2014/main" id="{D55C9A1B-038C-45C5-80F7-CDC10F32D14C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122" name="AutoShape 1">
          <a:extLst>
            <a:ext uri="{FF2B5EF4-FFF2-40B4-BE49-F238E27FC236}">
              <a16:creationId xmlns:a16="http://schemas.microsoft.com/office/drawing/2014/main" id="{15F3340F-DD85-4987-AD73-6DBD276050E4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123" name="AutoShape 1">
          <a:extLst>
            <a:ext uri="{FF2B5EF4-FFF2-40B4-BE49-F238E27FC236}">
              <a16:creationId xmlns:a16="http://schemas.microsoft.com/office/drawing/2014/main" id="{59D7012C-7CAC-431B-B684-E1742EB60C73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124" name="AutoShape 1">
          <a:extLst>
            <a:ext uri="{FF2B5EF4-FFF2-40B4-BE49-F238E27FC236}">
              <a16:creationId xmlns:a16="http://schemas.microsoft.com/office/drawing/2014/main" id="{5669DC8D-5AC7-4A8C-9325-F707AD67502C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125" name="AutoShape 1">
          <a:extLst>
            <a:ext uri="{FF2B5EF4-FFF2-40B4-BE49-F238E27FC236}">
              <a16:creationId xmlns:a16="http://schemas.microsoft.com/office/drawing/2014/main" id="{4B6B1B31-DDA4-412E-A99F-651585466147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126" name="AutoShape 1">
          <a:extLst>
            <a:ext uri="{FF2B5EF4-FFF2-40B4-BE49-F238E27FC236}">
              <a16:creationId xmlns:a16="http://schemas.microsoft.com/office/drawing/2014/main" id="{32B27C66-7E06-47E6-A8D0-EFF57DDEFA0B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127" name="AutoShape 1">
          <a:extLst>
            <a:ext uri="{FF2B5EF4-FFF2-40B4-BE49-F238E27FC236}">
              <a16:creationId xmlns:a16="http://schemas.microsoft.com/office/drawing/2014/main" id="{2FC654C8-9F02-4C3A-BA7D-5D5FA0022E44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128" name="AutoShape 1">
          <a:extLst>
            <a:ext uri="{FF2B5EF4-FFF2-40B4-BE49-F238E27FC236}">
              <a16:creationId xmlns:a16="http://schemas.microsoft.com/office/drawing/2014/main" id="{957827CF-5C41-4E95-BE02-B2A933D80738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129" name="AutoShape 1">
          <a:extLst>
            <a:ext uri="{FF2B5EF4-FFF2-40B4-BE49-F238E27FC236}">
              <a16:creationId xmlns:a16="http://schemas.microsoft.com/office/drawing/2014/main" id="{7D31250F-D31A-4771-9842-F22897581718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130" name="AutoShape 1">
          <a:extLst>
            <a:ext uri="{FF2B5EF4-FFF2-40B4-BE49-F238E27FC236}">
              <a16:creationId xmlns:a16="http://schemas.microsoft.com/office/drawing/2014/main" id="{4AF0F0F2-5BBD-4C11-BABE-EA4FF3974BCE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131" name="AutoShape 1">
          <a:extLst>
            <a:ext uri="{FF2B5EF4-FFF2-40B4-BE49-F238E27FC236}">
              <a16:creationId xmlns:a16="http://schemas.microsoft.com/office/drawing/2014/main" id="{03A963E5-D360-4620-9E48-56AD7EBFCD92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132" name="AutoShape 1">
          <a:extLst>
            <a:ext uri="{FF2B5EF4-FFF2-40B4-BE49-F238E27FC236}">
              <a16:creationId xmlns:a16="http://schemas.microsoft.com/office/drawing/2014/main" id="{7622DCD2-1849-4AAC-844A-1B58BDC4429A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133" name="AutoShape 1">
          <a:extLst>
            <a:ext uri="{FF2B5EF4-FFF2-40B4-BE49-F238E27FC236}">
              <a16:creationId xmlns:a16="http://schemas.microsoft.com/office/drawing/2014/main" id="{AAC8D0EB-D416-4BB7-8CA5-7491B10064E3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134" name="AutoShape 1">
          <a:extLst>
            <a:ext uri="{FF2B5EF4-FFF2-40B4-BE49-F238E27FC236}">
              <a16:creationId xmlns:a16="http://schemas.microsoft.com/office/drawing/2014/main" id="{33D15395-D231-400C-9D84-6483F94DEB35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135" name="AutoShape 1">
          <a:extLst>
            <a:ext uri="{FF2B5EF4-FFF2-40B4-BE49-F238E27FC236}">
              <a16:creationId xmlns:a16="http://schemas.microsoft.com/office/drawing/2014/main" id="{2934AD19-2FAA-40C7-99B3-624E087FDFD8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136" name="AutoShape 1">
          <a:extLst>
            <a:ext uri="{FF2B5EF4-FFF2-40B4-BE49-F238E27FC236}">
              <a16:creationId xmlns:a16="http://schemas.microsoft.com/office/drawing/2014/main" id="{E8A50914-2FBB-43B2-B384-ADD149BCEC63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137" name="AutoShape 1">
          <a:extLst>
            <a:ext uri="{FF2B5EF4-FFF2-40B4-BE49-F238E27FC236}">
              <a16:creationId xmlns:a16="http://schemas.microsoft.com/office/drawing/2014/main" id="{B9250BFC-37C4-4308-85B9-ED8C0A356341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138" name="AutoShape 1">
          <a:extLst>
            <a:ext uri="{FF2B5EF4-FFF2-40B4-BE49-F238E27FC236}">
              <a16:creationId xmlns:a16="http://schemas.microsoft.com/office/drawing/2014/main" id="{5982D36D-A3EE-4726-8209-5BF404610922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139" name="AutoShape 1">
          <a:extLst>
            <a:ext uri="{FF2B5EF4-FFF2-40B4-BE49-F238E27FC236}">
              <a16:creationId xmlns:a16="http://schemas.microsoft.com/office/drawing/2014/main" id="{5B2C8897-AAA3-46B9-A776-2A43F9349E68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140" name="AutoShape 1">
          <a:extLst>
            <a:ext uri="{FF2B5EF4-FFF2-40B4-BE49-F238E27FC236}">
              <a16:creationId xmlns:a16="http://schemas.microsoft.com/office/drawing/2014/main" id="{DF41C0BC-E5C8-429F-9BB6-AE40A18F33BD}"/>
            </a:ext>
            <a:ext uri="{147F2762-F138-4A5C-976F-8EAC2B608ADB}">
              <a16:predDERef xmlns:a16="http://schemas.microsoft.com/office/drawing/2014/main" pred="{A9C9C4DB-4B97-447C-9099-E87BCB3C537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141" name="AutoShape 1">
          <a:extLst>
            <a:ext uri="{FF2B5EF4-FFF2-40B4-BE49-F238E27FC236}">
              <a16:creationId xmlns:a16="http://schemas.microsoft.com/office/drawing/2014/main" id="{2F6EC8BF-06A4-42DD-8B6F-97833B72CAB3}"/>
            </a:ext>
            <a:ext uri="{147F2762-F138-4A5C-976F-8EAC2B608ADB}">
              <a16:predDERef xmlns:a16="http://schemas.microsoft.com/office/drawing/2014/main" pred="{CD89554D-BD76-42AD-819A-278AD445B86E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142" name="AutoShape 1">
          <a:extLst>
            <a:ext uri="{FF2B5EF4-FFF2-40B4-BE49-F238E27FC236}">
              <a16:creationId xmlns:a16="http://schemas.microsoft.com/office/drawing/2014/main" id="{832AA3AA-F7C6-46EB-A107-67888593E34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143" name="AutoShape 1">
          <a:extLst>
            <a:ext uri="{FF2B5EF4-FFF2-40B4-BE49-F238E27FC236}">
              <a16:creationId xmlns:a16="http://schemas.microsoft.com/office/drawing/2014/main" id="{9E19F5CD-2CB2-4970-847F-BB0BEF4CCD66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144" name="AutoShape 1">
          <a:extLst>
            <a:ext uri="{FF2B5EF4-FFF2-40B4-BE49-F238E27FC236}">
              <a16:creationId xmlns:a16="http://schemas.microsoft.com/office/drawing/2014/main" id="{29CD6AE8-C1DF-4916-942C-2D4B27D6A92E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145" name="AutoShape 1">
          <a:extLst>
            <a:ext uri="{FF2B5EF4-FFF2-40B4-BE49-F238E27FC236}">
              <a16:creationId xmlns:a16="http://schemas.microsoft.com/office/drawing/2014/main" id="{78320C07-8BB7-47F2-89E3-504C1115925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146" name="AutoShape 1">
          <a:extLst>
            <a:ext uri="{FF2B5EF4-FFF2-40B4-BE49-F238E27FC236}">
              <a16:creationId xmlns:a16="http://schemas.microsoft.com/office/drawing/2014/main" id="{4FEA21D7-F57F-4EBE-A891-F14B2085DB4A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147" name="AutoShape 1">
          <a:extLst>
            <a:ext uri="{FF2B5EF4-FFF2-40B4-BE49-F238E27FC236}">
              <a16:creationId xmlns:a16="http://schemas.microsoft.com/office/drawing/2014/main" id="{CDCC9E33-93E8-4C7F-917B-42AFC8DC4B7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148" name="AutoShape 1">
          <a:extLst>
            <a:ext uri="{FF2B5EF4-FFF2-40B4-BE49-F238E27FC236}">
              <a16:creationId xmlns:a16="http://schemas.microsoft.com/office/drawing/2014/main" id="{3EE4670F-B1D7-47FE-A27C-1DE92146575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149" name="AutoShape 1">
          <a:extLst>
            <a:ext uri="{FF2B5EF4-FFF2-40B4-BE49-F238E27FC236}">
              <a16:creationId xmlns:a16="http://schemas.microsoft.com/office/drawing/2014/main" id="{501A05E9-9FE5-447B-8D71-274C5E223E8B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150" name="AutoShape 1">
          <a:extLst>
            <a:ext uri="{FF2B5EF4-FFF2-40B4-BE49-F238E27FC236}">
              <a16:creationId xmlns:a16="http://schemas.microsoft.com/office/drawing/2014/main" id="{E8D90EF1-230C-44E4-9BDE-880634DA102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151" name="AutoShape 1">
          <a:extLst>
            <a:ext uri="{FF2B5EF4-FFF2-40B4-BE49-F238E27FC236}">
              <a16:creationId xmlns:a16="http://schemas.microsoft.com/office/drawing/2014/main" id="{C1B535C2-39E7-4CB2-92DE-5CEBCF32C859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152" name="AutoShape 1">
          <a:extLst>
            <a:ext uri="{FF2B5EF4-FFF2-40B4-BE49-F238E27FC236}">
              <a16:creationId xmlns:a16="http://schemas.microsoft.com/office/drawing/2014/main" id="{4422F9FF-799F-405A-9D43-B63F04096ECA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153" name="AutoShape 1">
          <a:extLst>
            <a:ext uri="{FF2B5EF4-FFF2-40B4-BE49-F238E27FC236}">
              <a16:creationId xmlns:a16="http://schemas.microsoft.com/office/drawing/2014/main" id="{FD6A7642-2A98-45D0-8E98-D5BCC31619E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154" name="AutoShape 1">
          <a:extLst>
            <a:ext uri="{FF2B5EF4-FFF2-40B4-BE49-F238E27FC236}">
              <a16:creationId xmlns:a16="http://schemas.microsoft.com/office/drawing/2014/main" id="{A260802B-A463-40A1-9F06-50DA2233039A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155" name="AutoShape 1">
          <a:extLst>
            <a:ext uri="{FF2B5EF4-FFF2-40B4-BE49-F238E27FC236}">
              <a16:creationId xmlns:a16="http://schemas.microsoft.com/office/drawing/2014/main" id="{181B6CFD-540E-47A5-9715-EFAC4BA2D7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156" name="AutoShape 1">
          <a:extLst>
            <a:ext uri="{FF2B5EF4-FFF2-40B4-BE49-F238E27FC236}">
              <a16:creationId xmlns:a16="http://schemas.microsoft.com/office/drawing/2014/main" id="{D37D722F-FBA9-440B-8C4E-183CB20A8711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157" name="AutoShape 1">
          <a:extLst>
            <a:ext uri="{FF2B5EF4-FFF2-40B4-BE49-F238E27FC236}">
              <a16:creationId xmlns:a16="http://schemas.microsoft.com/office/drawing/2014/main" id="{C93BD1DC-26EE-429D-BAEF-F1E1BCADA2EC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158" name="AutoShape 1">
          <a:extLst>
            <a:ext uri="{FF2B5EF4-FFF2-40B4-BE49-F238E27FC236}">
              <a16:creationId xmlns:a16="http://schemas.microsoft.com/office/drawing/2014/main" id="{351AE6D8-9102-4AEC-9D80-15D8C5A77F7D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159" name="AutoShape 1">
          <a:extLst>
            <a:ext uri="{FF2B5EF4-FFF2-40B4-BE49-F238E27FC236}">
              <a16:creationId xmlns:a16="http://schemas.microsoft.com/office/drawing/2014/main" id="{F063CC9E-376B-456E-B7A5-9CD9135706B2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160" name="AutoShape 1">
          <a:extLst>
            <a:ext uri="{FF2B5EF4-FFF2-40B4-BE49-F238E27FC236}">
              <a16:creationId xmlns:a16="http://schemas.microsoft.com/office/drawing/2014/main" id="{9DACD91F-577F-4027-B306-52D636684B1B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161" name="AutoShape 1">
          <a:extLst>
            <a:ext uri="{FF2B5EF4-FFF2-40B4-BE49-F238E27FC236}">
              <a16:creationId xmlns:a16="http://schemas.microsoft.com/office/drawing/2014/main" id="{D81A1D8C-EC82-464C-BCCE-239AD71DA55C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162" name="AutoShape 1">
          <a:extLst>
            <a:ext uri="{FF2B5EF4-FFF2-40B4-BE49-F238E27FC236}">
              <a16:creationId xmlns:a16="http://schemas.microsoft.com/office/drawing/2014/main" id="{41C5736D-29C8-4965-B2DB-93A0F4D3CFCE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163" name="AutoShape 1">
          <a:extLst>
            <a:ext uri="{FF2B5EF4-FFF2-40B4-BE49-F238E27FC236}">
              <a16:creationId xmlns:a16="http://schemas.microsoft.com/office/drawing/2014/main" id="{3A6DEE1A-9EF9-4613-874A-3EB4BB3F0EEE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164" name="AutoShape 1">
          <a:extLst>
            <a:ext uri="{FF2B5EF4-FFF2-40B4-BE49-F238E27FC236}">
              <a16:creationId xmlns:a16="http://schemas.microsoft.com/office/drawing/2014/main" id="{B291727B-4491-43C6-AE0A-315A71209ED9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165" name="AutoShape 1">
          <a:extLst>
            <a:ext uri="{FF2B5EF4-FFF2-40B4-BE49-F238E27FC236}">
              <a16:creationId xmlns:a16="http://schemas.microsoft.com/office/drawing/2014/main" id="{3B7B19D6-E4EB-4003-B1CC-0B473B090A40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166" name="AutoShape 1">
          <a:extLst>
            <a:ext uri="{FF2B5EF4-FFF2-40B4-BE49-F238E27FC236}">
              <a16:creationId xmlns:a16="http://schemas.microsoft.com/office/drawing/2014/main" id="{2446D364-57D8-4E8B-A19E-B991D3F074BC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167" name="AutoShape 1">
          <a:extLst>
            <a:ext uri="{FF2B5EF4-FFF2-40B4-BE49-F238E27FC236}">
              <a16:creationId xmlns:a16="http://schemas.microsoft.com/office/drawing/2014/main" id="{3579F19B-9824-4FA1-95D4-61ECE88723B5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168" name="AutoShape 1">
          <a:extLst>
            <a:ext uri="{FF2B5EF4-FFF2-40B4-BE49-F238E27FC236}">
              <a16:creationId xmlns:a16="http://schemas.microsoft.com/office/drawing/2014/main" id="{D106A198-38E1-455B-BA48-D93400EE00EA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169" name="AutoShape 1">
          <a:extLst>
            <a:ext uri="{FF2B5EF4-FFF2-40B4-BE49-F238E27FC236}">
              <a16:creationId xmlns:a16="http://schemas.microsoft.com/office/drawing/2014/main" id="{70E30C0C-AF0D-4EFE-B86E-204FB74505BE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170" name="AutoShape 1">
          <a:extLst>
            <a:ext uri="{FF2B5EF4-FFF2-40B4-BE49-F238E27FC236}">
              <a16:creationId xmlns:a16="http://schemas.microsoft.com/office/drawing/2014/main" id="{582BFA1D-E931-4BB5-9C55-F6BBFAFDA988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171" name="AutoShape 1">
          <a:extLst>
            <a:ext uri="{FF2B5EF4-FFF2-40B4-BE49-F238E27FC236}">
              <a16:creationId xmlns:a16="http://schemas.microsoft.com/office/drawing/2014/main" id="{5BBE1C12-36C2-48AB-B053-56B6738281B0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172" name="AutoShape 1">
          <a:extLst>
            <a:ext uri="{FF2B5EF4-FFF2-40B4-BE49-F238E27FC236}">
              <a16:creationId xmlns:a16="http://schemas.microsoft.com/office/drawing/2014/main" id="{6FD8E0A6-3F68-4CE0-8720-92CD821A7EB0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173" name="AutoShape 1">
          <a:extLst>
            <a:ext uri="{FF2B5EF4-FFF2-40B4-BE49-F238E27FC236}">
              <a16:creationId xmlns:a16="http://schemas.microsoft.com/office/drawing/2014/main" id="{279E1E21-BAB5-48FD-A723-B7561F623305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174" name="AutoShape 1">
          <a:extLst>
            <a:ext uri="{FF2B5EF4-FFF2-40B4-BE49-F238E27FC236}">
              <a16:creationId xmlns:a16="http://schemas.microsoft.com/office/drawing/2014/main" id="{6C677485-EF8B-4479-ACBD-A2CB01E39D4B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175" name="AutoShape 1">
          <a:extLst>
            <a:ext uri="{FF2B5EF4-FFF2-40B4-BE49-F238E27FC236}">
              <a16:creationId xmlns:a16="http://schemas.microsoft.com/office/drawing/2014/main" id="{F1BC20FF-AB34-470E-9602-13A37A74E8E1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176" name="AutoShape 1">
          <a:extLst>
            <a:ext uri="{FF2B5EF4-FFF2-40B4-BE49-F238E27FC236}">
              <a16:creationId xmlns:a16="http://schemas.microsoft.com/office/drawing/2014/main" id="{49F98ED7-5776-419D-A180-81F96299B815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177" name="AutoShape 1">
          <a:extLst>
            <a:ext uri="{FF2B5EF4-FFF2-40B4-BE49-F238E27FC236}">
              <a16:creationId xmlns:a16="http://schemas.microsoft.com/office/drawing/2014/main" id="{4FEBCBCF-B598-4CD5-A4A1-4DD99778EBAF}"/>
            </a:ext>
            <a:ext uri="{147F2762-F138-4A5C-976F-8EAC2B608ADB}">
              <a16:predDERef xmlns:a16="http://schemas.microsoft.com/office/drawing/2014/main" pred="{A9C9C4DB-4B97-447C-9099-E87BCB3C537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178" name="AutoShape 1">
          <a:extLst>
            <a:ext uri="{FF2B5EF4-FFF2-40B4-BE49-F238E27FC236}">
              <a16:creationId xmlns:a16="http://schemas.microsoft.com/office/drawing/2014/main" id="{159F695D-0498-4E6E-B9F4-1C353A01A560}"/>
            </a:ext>
            <a:ext uri="{147F2762-F138-4A5C-976F-8EAC2B608ADB}">
              <a16:predDERef xmlns:a16="http://schemas.microsoft.com/office/drawing/2014/main" pred="{CD89554D-BD76-42AD-819A-278AD445B86E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179" name="AutoShape 1">
          <a:extLst>
            <a:ext uri="{FF2B5EF4-FFF2-40B4-BE49-F238E27FC236}">
              <a16:creationId xmlns:a16="http://schemas.microsoft.com/office/drawing/2014/main" id="{8864D14A-58F0-47DD-9F00-BCD820FCF58E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180" name="AutoShape 1">
          <a:extLst>
            <a:ext uri="{FF2B5EF4-FFF2-40B4-BE49-F238E27FC236}">
              <a16:creationId xmlns:a16="http://schemas.microsoft.com/office/drawing/2014/main" id="{5F7D99C9-27C6-441B-AAE2-E22F5A4C3BD3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181" name="AutoShape 1">
          <a:extLst>
            <a:ext uri="{FF2B5EF4-FFF2-40B4-BE49-F238E27FC236}">
              <a16:creationId xmlns:a16="http://schemas.microsoft.com/office/drawing/2014/main" id="{E8F4B98B-DBAF-4EFC-B26F-F84A7033319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182" name="AutoShape 1">
          <a:extLst>
            <a:ext uri="{FF2B5EF4-FFF2-40B4-BE49-F238E27FC236}">
              <a16:creationId xmlns:a16="http://schemas.microsoft.com/office/drawing/2014/main" id="{8EB00F0E-D500-4B60-8BD4-BAE0DA0EEA31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183" name="AutoShape 1">
          <a:extLst>
            <a:ext uri="{FF2B5EF4-FFF2-40B4-BE49-F238E27FC236}">
              <a16:creationId xmlns:a16="http://schemas.microsoft.com/office/drawing/2014/main" id="{695B705E-3A32-4CBE-9573-DFACB2CEB929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184" name="AutoShape 1">
          <a:extLst>
            <a:ext uri="{FF2B5EF4-FFF2-40B4-BE49-F238E27FC236}">
              <a16:creationId xmlns:a16="http://schemas.microsoft.com/office/drawing/2014/main" id="{F6F7BE7D-09A5-4A11-85F5-286B8C579BBA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185" name="AutoShape 1">
          <a:extLst>
            <a:ext uri="{FF2B5EF4-FFF2-40B4-BE49-F238E27FC236}">
              <a16:creationId xmlns:a16="http://schemas.microsoft.com/office/drawing/2014/main" id="{47F8221F-FF23-48BC-B9B2-76E50641364A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186" name="AutoShape 1">
          <a:extLst>
            <a:ext uri="{FF2B5EF4-FFF2-40B4-BE49-F238E27FC236}">
              <a16:creationId xmlns:a16="http://schemas.microsoft.com/office/drawing/2014/main" id="{0BB42F8C-2BA2-4F8C-A69E-138BDBF8E46C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187" name="AutoShape 1">
          <a:extLst>
            <a:ext uri="{FF2B5EF4-FFF2-40B4-BE49-F238E27FC236}">
              <a16:creationId xmlns:a16="http://schemas.microsoft.com/office/drawing/2014/main" id="{FC014FDB-6B19-447F-831A-2D575F72145A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188" name="AutoShape 1">
          <a:extLst>
            <a:ext uri="{FF2B5EF4-FFF2-40B4-BE49-F238E27FC236}">
              <a16:creationId xmlns:a16="http://schemas.microsoft.com/office/drawing/2014/main" id="{37E0E4B5-91D7-4332-97B2-6F2671B2B054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189" name="AutoShape 1">
          <a:extLst>
            <a:ext uri="{FF2B5EF4-FFF2-40B4-BE49-F238E27FC236}">
              <a16:creationId xmlns:a16="http://schemas.microsoft.com/office/drawing/2014/main" id="{A628F20C-EE4A-4581-B02C-FC0C97707F0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190" name="AutoShape 1">
          <a:extLst>
            <a:ext uri="{FF2B5EF4-FFF2-40B4-BE49-F238E27FC236}">
              <a16:creationId xmlns:a16="http://schemas.microsoft.com/office/drawing/2014/main" id="{9BF23FC8-6F5A-4027-84D6-4465471506C3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191" name="AutoShape 1">
          <a:extLst>
            <a:ext uri="{FF2B5EF4-FFF2-40B4-BE49-F238E27FC236}">
              <a16:creationId xmlns:a16="http://schemas.microsoft.com/office/drawing/2014/main" id="{DC5E34FC-D0CC-4CC8-AD6C-59EB3D6CFDE1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192" name="AutoShape 1">
          <a:extLst>
            <a:ext uri="{FF2B5EF4-FFF2-40B4-BE49-F238E27FC236}">
              <a16:creationId xmlns:a16="http://schemas.microsoft.com/office/drawing/2014/main" id="{975E911F-8705-40AD-ACFE-7DEBF375BFF1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193" name="AutoShape 1">
          <a:extLst>
            <a:ext uri="{FF2B5EF4-FFF2-40B4-BE49-F238E27FC236}">
              <a16:creationId xmlns:a16="http://schemas.microsoft.com/office/drawing/2014/main" id="{8509F485-0923-498B-A961-9BF38E81CCE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194" name="AutoShape 1">
          <a:extLst>
            <a:ext uri="{FF2B5EF4-FFF2-40B4-BE49-F238E27FC236}">
              <a16:creationId xmlns:a16="http://schemas.microsoft.com/office/drawing/2014/main" id="{DA80FB25-0BB9-49E2-A387-6637CA797BC9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195" name="AutoShape 1">
          <a:extLst>
            <a:ext uri="{FF2B5EF4-FFF2-40B4-BE49-F238E27FC236}">
              <a16:creationId xmlns:a16="http://schemas.microsoft.com/office/drawing/2014/main" id="{A6F9BBA1-F7A2-4786-B1FA-44601BB8173E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196" name="AutoShape 1">
          <a:extLst>
            <a:ext uri="{FF2B5EF4-FFF2-40B4-BE49-F238E27FC236}">
              <a16:creationId xmlns:a16="http://schemas.microsoft.com/office/drawing/2014/main" id="{F946BACE-AA32-4ABF-A97D-4F86F80E1BEB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197" name="AutoShape 1">
          <a:extLst>
            <a:ext uri="{FF2B5EF4-FFF2-40B4-BE49-F238E27FC236}">
              <a16:creationId xmlns:a16="http://schemas.microsoft.com/office/drawing/2014/main" id="{49244975-376A-435A-9612-A08985EFF66F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198" name="AutoShape 1">
          <a:extLst>
            <a:ext uri="{FF2B5EF4-FFF2-40B4-BE49-F238E27FC236}">
              <a16:creationId xmlns:a16="http://schemas.microsoft.com/office/drawing/2014/main" id="{E40B8805-2103-44EE-94CD-81F762AF4E20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199" name="AutoShape 1">
          <a:extLst>
            <a:ext uri="{FF2B5EF4-FFF2-40B4-BE49-F238E27FC236}">
              <a16:creationId xmlns:a16="http://schemas.microsoft.com/office/drawing/2014/main" id="{11685DE4-141D-4040-A715-C21418857D36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200" name="AutoShape 1">
          <a:extLst>
            <a:ext uri="{FF2B5EF4-FFF2-40B4-BE49-F238E27FC236}">
              <a16:creationId xmlns:a16="http://schemas.microsoft.com/office/drawing/2014/main" id="{D20D7637-FED4-4439-BD58-B4F27AE9464F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201" name="AutoShape 1">
          <a:extLst>
            <a:ext uri="{FF2B5EF4-FFF2-40B4-BE49-F238E27FC236}">
              <a16:creationId xmlns:a16="http://schemas.microsoft.com/office/drawing/2014/main" id="{52513ED7-D1DE-427C-90AE-1E162CAA9D90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202" name="AutoShape 1">
          <a:extLst>
            <a:ext uri="{FF2B5EF4-FFF2-40B4-BE49-F238E27FC236}">
              <a16:creationId xmlns:a16="http://schemas.microsoft.com/office/drawing/2014/main" id="{6F1F14D5-2E0E-4F17-8682-19030F4A3A69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203" name="AutoShape 1">
          <a:extLst>
            <a:ext uri="{FF2B5EF4-FFF2-40B4-BE49-F238E27FC236}">
              <a16:creationId xmlns:a16="http://schemas.microsoft.com/office/drawing/2014/main" id="{D525E1B0-2656-4CAC-ADEC-D2E030D5A481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204" name="AutoShape 1">
          <a:extLst>
            <a:ext uri="{FF2B5EF4-FFF2-40B4-BE49-F238E27FC236}">
              <a16:creationId xmlns:a16="http://schemas.microsoft.com/office/drawing/2014/main" id="{62B952C8-2E5D-4449-9B9D-98F2B7926B83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205" name="AutoShape 1">
          <a:extLst>
            <a:ext uri="{FF2B5EF4-FFF2-40B4-BE49-F238E27FC236}">
              <a16:creationId xmlns:a16="http://schemas.microsoft.com/office/drawing/2014/main" id="{E854564E-C978-4A1E-BD29-9BD4F97268D0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206" name="AutoShape 1">
          <a:extLst>
            <a:ext uri="{FF2B5EF4-FFF2-40B4-BE49-F238E27FC236}">
              <a16:creationId xmlns:a16="http://schemas.microsoft.com/office/drawing/2014/main" id="{0664C777-ADCE-4436-88B7-AD0C8C2174EF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207" name="AutoShape 1">
          <a:extLst>
            <a:ext uri="{FF2B5EF4-FFF2-40B4-BE49-F238E27FC236}">
              <a16:creationId xmlns:a16="http://schemas.microsoft.com/office/drawing/2014/main" id="{BC489AAF-D25C-4873-8AB4-2EEF40B58AB8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208" name="AutoShape 1">
          <a:extLst>
            <a:ext uri="{FF2B5EF4-FFF2-40B4-BE49-F238E27FC236}">
              <a16:creationId xmlns:a16="http://schemas.microsoft.com/office/drawing/2014/main" id="{A933F255-A2D5-4086-BF6A-F6B9000108BB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209" name="AutoShape 1">
          <a:extLst>
            <a:ext uri="{FF2B5EF4-FFF2-40B4-BE49-F238E27FC236}">
              <a16:creationId xmlns:a16="http://schemas.microsoft.com/office/drawing/2014/main" id="{CF900FDA-473D-478D-89DE-5F390F5A1CF7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210" name="AutoShape 1">
          <a:extLst>
            <a:ext uri="{FF2B5EF4-FFF2-40B4-BE49-F238E27FC236}">
              <a16:creationId xmlns:a16="http://schemas.microsoft.com/office/drawing/2014/main" id="{A2D97457-7121-49C0-8C8E-1ADBBA721CC0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211" name="AutoShape 1">
          <a:extLst>
            <a:ext uri="{FF2B5EF4-FFF2-40B4-BE49-F238E27FC236}">
              <a16:creationId xmlns:a16="http://schemas.microsoft.com/office/drawing/2014/main" id="{6555FECB-9AC1-425D-A9FD-25EDA234E84A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212" name="AutoShape 1">
          <a:extLst>
            <a:ext uri="{FF2B5EF4-FFF2-40B4-BE49-F238E27FC236}">
              <a16:creationId xmlns:a16="http://schemas.microsoft.com/office/drawing/2014/main" id="{B1079219-CCE8-4A5C-9855-C48DA2C10D3B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213" name="AutoShape 1">
          <a:extLst>
            <a:ext uri="{FF2B5EF4-FFF2-40B4-BE49-F238E27FC236}">
              <a16:creationId xmlns:a16="http://schemas.microsoft.com/office/drawing/2014/main" id="{232F3790-A935-4DD1-B23B-E5572F6A0390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214" name="AutoShape 1">
          <a:extLst>
            <a:ext uri="{FF2B5EF4-FFF2-40B4-BE49-F238E27FC236}">
              <a16:creationId xmlns:a16="http://schemas.microsoft.com/office/drawing/2014/main" id="{BE43BE5A-7B44-4F8A-BD7F-D26AFF0D9F54}"/>
            </a:ext>
            <a:ext uri="{147F2762-F138-4A5C-976F-8EAC2B608ADB}">
              <a16:predDERef xmlns:a16="http://schemas.microsoft.com/office/drawing/2014/main" pred="{A9C9C4DB-4B97-447C-9099-E87BCB3C537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215" name="AutoShape 1">
          <a:extLst>
            <a:ext uri="{FF2B5EF4-FFF2-40B4-BE49-F238E27FC236}">
              <a16:creationId xmlns:a16="http://schemas.microsoft.com/office/drawing/2014/main" id="{9FFBAFDC-1C06-4678-A2C9-2AAF87386C4B}"/>
            </a:ext>
            <a:ext uri="{147F2762-F138-4A5C-976F-8EAC2B608ADB}">
              <a16:predDERef xmlns:a16="http://schemas.microsoft.com/office/drawing/2014/main" pred="{CD89554D-BD76-42AD-819A-278AD445B86E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216" name="AutoShape 1">
          <a:extLst>
            <a:ext uri="{FF2B5EF4-FFF2-40B4-BE49-F238E27FC236}">
              <a16:creationId xmlns:a16="http://schemas.microsoft.com/office/drawing/2014/main" id="{77ECAAD7-2F53-418B-B83D-3A791CCABFDB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217" name="AutoShape 1">
          <a:extLst>
            <a:ext uri="{FF2B5EF4-FFF2-40B4-BE49-F238E27FC236}">
              <a16:creationId xmlns:a16="http://schemas.microsoft.com/office/drawing/2014/main" id="{D2FB970D-0293-4205-9532-1E9C4127ACD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218" name="AutoShape 1">
          <a:extLst>
            <a:ext uri="{FF2B5EF4-FFF2-40B4-BE49-F238E27FC236}">
              <a16:creationId xmlns:a16="http://schemas.microsoft.com/office/drawing/2014/main" id="{4178634F-B8D1-4726-A73A-3CEEF768CCD4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219" name="AutoShape 1">
          <a:extLst>
            <a:ext uri="{FF2B5EF4-FFF2-40B4-BE49-F238E27FC236}">
              <a16:creationId xmlns:a16="http://schemas.microsoft.com/office/drawing/2014/main" id="{FBE52B0B-0122-43B5-A241-104D311A8636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220" name="AutoShape 1">
          <a:extLst>
            <a:ext uri="{FF2B5EF4-FFF2-40B4-BE49-F238E27FC236}">
              <a16:creationId xmlns:a16="http://schemas.microsoft.com/office/drawing/2014/main" id="{07966517-35BE-407B-8AC6-27DB6AA6550A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221" name="AutoShape 1">
          <a:extLst>
            <a:ext uri="{FF2B5EF4-FFF2-40B4-BE49-F238E27FC236}">
              <a16:creationId xmlns:a16="http://schemas.microsoft.com/office/drawing/2014/main" id="{BFBE2075-F55E-4371-B727-D45A7C6D9C3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222" name="AutoShape 1">
          <a:extLst>
            <a:ext uri="{FF2B5EF4-FFF2-40B4-BE49-F238E27FC236}">
              <a16:creationId xmlns:a16="http://schemas.microsoft.com/office/drawing/2014/main" id="{B9FCEE01-E2A6-473A-9FDE-66702EF5C14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223" name="AutoShape 1">
          <a:extLst>
            <a:ext uri="{FF2B5EF4-FFF2-40B4-BE49-F238E27FC236}">
              <a16:creationId xmlns:a16="http://schemas.microsoft.com/office/drawing/2014/main" id="{0A019AF3-B037-4A7B-BA15-04C8F1F1159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224" name="AutoShape 1">
          <a:extLst>
            <a:ext uri="{FF2B5EF4-FFF2-40B4-BE49-F238E27FC236}">
              <a16:creationId xmlns:a16="http://schemas.microsoft.com/office/drawing/2014/main" id="{E474FEC6-98EA-4D64-8142-E0E0B0529F17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225" name="AutoShape 1">
          <a:extLst>
            <a:ext uri="{FF2B5EF4-FFF2-40B4-BE49-F238E27FC236}">
              <a16:creationId xmlns:a16="http://schemas.microsoft.com/office/drawing/2014/main" id="{4D6F75AB-3A47-423D-AC81-EDC0B469098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226" name="AutoShape 1">
          <a:extLst>
            <a:ext uri="{FF2B5EF4-FFF2-40B4-BE49-F238E27FC236}">
              <a16:creationId xmlns:a16="http://schemas.microsoft.com/office/drawing/2014/main" id="{6995E065-EC86-425E-8BC8-BFD39CBAB73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227" name="AutoShape 1">
          <a:extLst>
            <a:ext uri="{FF2B5EF4-FFF2-40B4-BE49-F238E27FC236}">
              <a16:creationId xmlns:a16="http://schemas.microsoft.com/office/drawing/2014/main" id="{3C2FC6CC-A3FE-43AA-84BE-576A52D4E5C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228" name="AutoShape 1">
          <a:extLst>
            <a:ext uri="{FF2B5EF4-FFF2-40B4-BE49-F238E27FC236}">
              <a16:creationId xmlns:a16="http://schemas.microsoft.com/office/drawing/2014/main" id="{E32C79CB-C202-4731-83AB-E53554F26A6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229" name="AutoShape 1">
          <a:extLst>
            <a:ext uri="{FF2B5EF4-FFF2-40B4-BE49-F238E27FC236}">
              <a16:creationId xmlns:a16="http://schemas.microsoft.com/office/drawing/2014/main" id="{CCB8EDEA-EDE9-40E1-BAB4-47D5E3DC0079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230" name="AutoShape 1">
          <a:extLst>
            <a:ext uri="{FF2B5EF4-FFF2-40B4-BE49-F238E27FC236}">
              <a16:creationId xmlns:a16="http://schemas.microsoft.com/office/drawing/2014/main" id="{A6BD63C7-B772-47E0-A424-46DDC5FDEA97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231" name="AutoShape 1">
          <a:extLst>
            <a:ext uri="{FF2B5EF4-FFF2-40B4-BE49-F238E27FC236}">
              <a16:creationId xmlns:a16="http://schemas.microsoft.com/office/drawing/2014/main" id="{DBAB17AE-0A26-4C4E-BEEE-717FE70B14C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232" name="AutoShape 1">
          <a:extLst>
            <a:ext uri="{FF2B5EF4-FFF2-40B4-BE49-F238E27FC236}">
              <a16:creationId xmlns:a16="http://schemas.microsoft.com/office/drawing/2014/main" id="{5B4D3C61-F8AB-4D50-A9E3-777F24852C68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233" name="AutoShape 1">
          <a:extLst>
            <a:ext uri="{FF2B5EF4-FFF2-40B4-BE49-F238E27FC236}">
              <a16:creationId xmlns:a16="http://schemas.microsoft.com/office/drawing/2014/main" id="{7E44B652-F313-42A8-96A2-40ECE4479025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234" name="AutoShape 1">
          <a:extLst>
            <a:ext uri="{FF2B5EF4-FFF2-40B4-BE49-F238E27FC236}">
              <a16:creationId xmlns:a16="http://schemas.microsoft.com/office/drawing/2014/main" id="{4FC23BF4-6E8A-432D-96BC-529D60874F14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235" name="AutoShape 1">
          <a:extLst>
            <a:ext uri="{FF2B5EF4-FFF2-40B4-BE49-F238E27FC236}">
              <a16:creationId xmlns:a16="http://schemas.microsoft.com/office/drawing/2014/main" id="{3A5D5FEF-85BC-4C17-858B-48896D49CAEE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236" name="AutoShape 1">
          <a:extLst>
            <a:ext uri="{FF2B5EF4-FFF2-40B4-BE49-F238E27FC236}">
              <a16:creationId xmlns:a16="http://schemas.microsoft.com/office/drawing/2014/main" id="{95BDB77C-54EC-4EBA-B03F-6E53AA9A4CD0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237" name="AutoShape 1">
          <a:extLst>
            <a:ext uri="{FF2B5EF4-FFF2-40B4-BE49-F238E27FC236}">
              <a16:creationId xmlns:a16="http://schemas.microsoft.com/office/drawing/2014/main" id="{2844368B-34BC-4B41-83AA-C83A0E10E8A3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238" name="AutoShape 1">
          <a:extLst>
            <a:ext uri="{FF2B5EF4-FFF2-40B4-BE49-F238E27FC236}">
              <a16:creationId xmlns:a16="http://schemas.microsoft.com/office/drawing/2014/main" id="{3ACAACE8-82AE-4E61-A482-8810154956BE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239" name="AutoShape 1">
          <a:extLst>
            <a:ext uri="{FF2B5EF4-FFF2-40B4-BE49-F238E27FC236}">
              <a16:creationId xmlns:a16="http://schemas.microsoft.com/office/drawing/2014/main" id="{99341B8C-2D50-456D-B300-470F9C02CE07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240" name="AutoShape 1">
          <a:extLst>
            <a:ext uri="{FF2B5EF4-FFF2-40B4-BE49-F238E27FC236}">
              <a16:creationId xmlns:a16="http://schemas.microsoft.com/office/drawing/2014/main" id="{D0958573-36C7-4647-B2B3-EBEE885B413E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241" name="AutoShape 1">
          <a:extLst>
            <a:ext uri="{FF2B5EF4-FFF2-40B4-BE49-F238E27FC236}">
              <a16:creationId xmlns:a16="http://schemas.microsoft.com/office/drawing/2014/main" id="{7A6C8C54-E770-4F34-A386-EBA0C2A6CFC6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242" name="AutoShape 1">
          <a:extLst>
            <a:ext uri="{FF2B5EF4-FFF2-40B4-BE49-F238E27FC236}">
              <a16:creationId xmlns:a16="http://schemas.microsoft.com/office/drawing/2014/main" id="{51658484-7961-473C-9C19-9BFF5007C4AD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243" name="AutoShape 1">
          <a:extLst>
            <a:ext uri="{FF2B5EF4-FFF2-40B4-BE49-F238E27FC236}">
              <a16:creationId xmlns:a16="http://schemas.microsoft.com/office/drawing/2014/main" id="{69C70153-D53C-4893-BC5D-C246F70F4416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244" name="AutoShape 1">
          <a:extLst>
            <a:ext uri="{FF2B5EF4-FFF2-40B4-BE49-F238E27FC236}">
              <a16:creationId xmlns:a16="http://schemas.microsoft.com/office/drawing/2014/main" id="{BAB1619A-0A49-4ADB-BA2F-0E4F1654D561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245" name="AutoShape 1">
          <a:extLst>
            <a:ext uri="{FF2B5EF4-FFF2-40B4-BE49-F238E27FC236}">
              <a16:creationId xmlns:a16="http://schemas.microsoft.com/office/drawing/2014/main" id="{F6077178-3A39-473B-A901-4E34D241EB38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246" name="AutoShape 1">
          <a:extLst>
            <a:ext uri="{FF2B5EF4-FFF2-40B4-BE49-F238E27FC236}">
              <a16:creationId xmlns:a16="http://schemas.microsoft.com/office/drawing/2014/main" id="{6837951A-7052-42C0-8372-BF94D6748512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247" name="AutoShape 1">
          <a:extLst>
            <a:ext uri="{FF2B5EF4-FFF2-40B4-BE49-F238E27FC236}">
              <a16:creationId xmlns:a16="http://schemas.microsoft.com/office/drawing/2014/main" id="{A3744CC4-C757-46B7-BD7D-4A3A93295C7C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248" name="AutoShape 1">
          <a:extLst>
            <a:ext uri="{FF2B5EF4-FFF2-40B4-BE49-F238E27FC236}">
              <a16:creationId xmlns:a16="http://schemas.microsoft.com/office/drawing/2014/main" id="{DEF47EDB-1D29-4D48-A198-1E73FAB576D6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249" name="AutoShape 1">
          <a:extLst>
            <a:ext uri="{FF2B5EF4-FFF2-40B4-BE49-F238E27FC236}">
              <a16:creationId xmlns:a16="http://schemas.microsoft.com/office/drawing/2014/main" id="{E0033DD7-1F7E-4538-ABAB-F788ACEB0283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250" name="AutoShape 1">
          <a:extLst>
            <a:ext uri="{FF2B5EF4-FFF2-40B4-BE49-F238E27FC236}">
              <a16:creationId xmlns:a16="http://schemas.microsoft.com/office/drawing/2014/main" id="{3E49041C-11E1-41D3-A5AC-15DAB90FA153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251" name="AutoShape 1">
          <a:extLst>
            <a:ext uri="{FF2B5EF4-FFF2-40B4-BE49-F238E27FC236}">
              <a16:creationId xmlns:a16="http://schemas.microsoft.com/office/drawing/2014/main" id="{A4EF9517-3D0D-4B74-92D8-DA1730733CD4}"/>
            </a:ext>
            <a:ext uri="{147F2762-F138-4A5C-976F-8EAC2B608ADB}">
              <a16:predDERef xmlns:a16="http://schemas.microsoft.com/office/drawing/2014/main" pred="{A9C9C4DB-4B97-447C-9099-E87BCB3C537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252" name="AutoShape 1">
          <a:extLst>
            <a:ext uri="{FF2B5EF4-FFF2-40B4-BE49-F238E27FC236}">
              <a16:creationId xmlns:a16="http://schemas.microsoft.com/office/drawing/2014/main" id="{6F0BDCEF-DFEB-4A58-81E0-E4DD8D156B0F}"/>
            </a:ext>
            <a:ext uri="{147F2762-F138-4A5C-976F-8EAC2B608ADB}">
              <a16:predDERef xmlns:a16="http://schemas.microsoft.com/office/drawing/2014/main" pred="{CD89554D-BD76-42AD-819A-278AD445B86E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253" name="AutoShape 1">
          <a:extLst>
            <a:ext uri="{FF2B5EF4-FFF2-40B4-BE49-F238E27FC236}">
              <a16:creationId xmlns:a16="http://schemas.microsoft.com/office/drawing/2014/main" id="{1CE5BB23-5921-4E44-A303-804017CB091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254" name="AutoShape 1">
          <a:extLst>
            <a:ext uri="{FF2B5EF4-FFF2-40B4-BE49-F238E27FC236}">
              <a16:creationId xmlns:a16="http://schemas.microsoft.com/office/drawing/2014/main" id="{DBBA0AE1-94A4-4196-9B3E-0982595867FA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255" name="AutoShape 1">
          <a:extLst>
            <a:ext uri="{FF2B5EF4-FFF2-40B4-BE49-F238E27FC236}">
              <a16:creationId xmlns:a16="http://schemas.microsoft.com/office/drawing/2014/main" id="{800ECDA5-5CA1-4E95-BE25-E501106BD29A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256" name="AutoShape 1">
          <a:extLst>
            <a:ext uri="{FF2B5EF4-FFF2-40B4-BE49-F238E27FC236}">
              <a16:creationId xmlns:a16="http://schemas.microsoft.com/office/drawing/2014/main" id="{EF5068E4-7C63-45E8-867B-000A8DF5556F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257" name="AutoShape 1">
          <a:extLst>
            <a:ext uri="{FF2B5EF4-FFF2-40B4-BE49-F238E27FC236}">
              <a16:creationId xmlns:a16="http://schemas.microsoft.com/office/drawing/2014/main" id="{0E20967F-76B7-413E-9D3B-BDEAF23FB363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258" name="AutoShape 1">
          <a:extLst>
            <a:ext uri="{FF2B5EF4-FFF2-40B4-BE49-F238E27FC236}">
              <a16:creationId xmlns:a16="http://schemas.microsoft.com/office/drawing/2014/main" id="{91C091D3-4E31-48AC-96B1-35CB4D586BE1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259" name="AutoShape 1">
          <a:extLst>
            <a:ext uri="{FF2B5EF4-FFF2-40B4-BE49-F238E27FC236}">
              <a16:creationId xmlns:a16="http://schemas.microsoft.com/office/drawing/2014/main" id="{509A1F13-7182-469B-9A0F-1D081167DDBC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260" name="AutoShape 1">
          <a:extLst>
            <a:ext uri="{FF2B5EF4-FFF2-40B4-BE49-F238E27FC236}">
              <a16:creationId xmlns:a16="http://schemas.microsoft.com/office/drawing/2014/main" id="{1BFB0721-AE40-44E7-94D7-9D5A56878B3B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261" name="AutoShape 1">
          <a:extLst>
            <a:ext uri="{FF2B5EF4-FFF2-40B4-BE49-F238E27FC236}">
              <a16:creationId xmlns:a16="http://schemas.microsoft.com/office/drawing/2014/main" id="{07CAFA68-CBA1-4FB9-AAC7-2BCBCCC66786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262" name="AutoShape 1">
          <a:extLst>
            <a:ext uri="{FF2B5EF4-FFF2-40B4-BE49-F238E27FC236}">
              <a16:creationId xmlns:a16="http://schemas.microsoft.com/office/drawing/2014/main" id="{E1E157FE-18A6-4E8F-B2EB-351E6BA28296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263" name="AutoShape 1">
          <a:extLst>
            <a:ext uri="{FF2B5EF4-FFF2-40B4-BE49-F238E27FC236}">
              <a16:creationId xmlns:a16="http://schemas.microsoft.com/office/drawing/2014/main" id="{E8B6115E-8F61-4687-85CA-C271CFD70E76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264" name="AutoShape 1">
          <a:extLst>
            <a:ext uri="{FF2B5EF4-FFF2-40B4-BE49-F238E27FC236}">
              <a16:creationId xmlns:a16="http://schemas.microsoft.com/office/drawing/2014/main" id="{E6A923CF-7049-4F50-84BD-C46477A91747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265" name="AutoShape 1">
          <a:extLst>
            <a:ext uri="{FF2B5EF4-FFF2-40B4-BE49-F238E27FC236}">
              <a16:creationId xmlns:a16="http://schemas.microsoft.com/office/drawing/2014/main" id="{D27B278C-B1B3-4C67-8C27-0E84E7C719C9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266" name="AutoShape 1">
          <a:extLst>
            <a:ext uri="{FF2B5EF4-FFF2-40B4-BE49-F238E27FC236}">
              <a16:creationId xmlns:a16="http://schemas.microsoft.com/office/drawing/2014/main" id="{E881831E-3329-420A-87E2-CF3624BFBD24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267" name="AutoShape 1">
          <a:extLst>
            <a:ext uri="{FF2B5EF4-FFF2-40B4-BE49-F238E27FC236}">
              <a16:creationId xmlns:a16="http://schemas.microsoft.com/office/drawing/2014/main" id="{9141DA0E-4AB5-40CD-A1D6-6359F526023A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268" name="AutoShape 1">
          <a:extLst>
            <a:ext uri="{FF2B5EF4-FFF2-40B4-BE49-F238E27FC236}">
              <a16:creationId xmlns:a16="http://schemas.microsoft.com/office/drawing/2014/main" id="{A30CB268-5A51-493A-94E3-70E960BCC21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269" name="AutoShape 1">
          <a:extLst>
            <a:ext uri="{FF2B5EF4-FFF2-40B4-BE49-F238E27FC236}">
              <a16:creationId xmlns:a16="http://schemas.microsoft.com/office/drawing/2014/main" id="{27609A6C-0B3C-43EE-AA14-D880692C680D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270" name="AutoShape 1">
          <a:extLst>
            <a:ext uri="{FF2B5EF4-FFF2-40B4-BE49-F238E27FC236}">
              <a16:creationId xmlns:a16="http://schemas.microsoft.com/office/drawing/2014/main" id="{A231FF02-A552-49C1-8EE6-0BB2AC52EF43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271" name="AutoShape 1">
          <a:extLst>
            <a:ext uri="{FF2B5EF4-FFF2-40B4-BE49-F238E27FC236}">
              <a16:creationId xmlns:a16="http://schemas.microsoft.com/office/drawing/2014/main" id="{A26E702B-AE67-4EB2-95C5-CAC0CF6CC499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272" name="AutoShape 1">
          <a:extLst>
            <a:ext uri="{FF2B5EF4-FFF2-40B4-BE49-F238E27FC236}">
              <a16:creationId xmlns:a16="http://schemas.microsoft.com/office/drawing/2014/main" id="{57227217-E9BC-46A2-8800-885ACA069F76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273" name="AutoShape 1">
          <a:extLst>
            <a:ext uri="{FF2B5EF4-FFF2-40B4-BE49-F238E27FC236}">
              <a16:creationId xmlns:a16="http://schemas.microsoft.com/office/drawing/2014/main" id="{C1717BE0-6F25-4ADA-B0D5-B284AE204EB1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274" name="AutoShape 1">
          <a:extLst>
            <a:ext uri="{FF2B5EF4-FFF2-40B4-BE49-F238E27FC236}">
              <a16:creationId xmlns:a16="http://schemas.microsoft.com/office/drawing/2014/main" id="{5B999BBE-C89D-4855-BED9-0073777C76F7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275" name="AutoShape 1">
          <a:extLst>
            <a:ext uri="{FF2B5EF4-FFF2-40B4-BE49-F238E27FC236}">
              <a16:creationId xmlns:a16="http://schemas.microsoft.com/office/drawing/2014/main" id="{814B37DB-E489-4EFD-98E1-BD2E084E9C52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276" name="AutoShape 1">
          <a:extLst>
            <a:ext uri="{FF2B5EF4-FFF2-40B4-BE49-F238E27FC236}">
              <a16:creationId xmlns:a16="http://schemas.microsoft.com/office/drawing/2014/main" id="{058A92DE-7C1E-45C3-886D-B6E315CEA6A7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277" name="AutoShape 1">
          <a:extLst>
            <a:ext uri="{FF2B5EF4-FFF2-40B4-BE49-F238E27FC236}">
              <a16:creationId xmlns:a16="http://schemas.microsoft.com/office/drawing/2014/main" id="{8BF9FA3F-25C4-4641-A89C-C071B3A056B8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278" name="AutoShape 1">
          <a:extLst>
            <a:ext uri="{FF2B5EF4-FFF2-40B4-BE49-F238E27FC236}">
              <a16:creationId xmlns:a16="http://schemas.microsoft.com/office/drawing/2014/main" id="{3E86CC0F-93B0-4D24-B666-B3FA9736A0D7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279" name="AutoShape 1">
          <a:extLst>
            <a:ext uri="{FF2B5EF4-FFF2-40B4-BE49-F238E27FC236}">
              <a16:creationId xmlns:a16="http://schemas.microsoft.com/office/drawing/2014/main" id="{FF2BB828-D753-4C87-B244-3E2E67463E88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280" name="AutoShape 1">
          <a:extLst>
            <a:ext uri="{FF2B5EF4-FFF2-40B4-BE49-F238E27FC236}">
              <a16:creationId xmlns:a16="http://schemas.microsoft.com/office/drawing/2014/main" id="{46DF368A-DB27-4C51-94B7-054C20C72B57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281" name="AutoShape 1">
          <a:extLst>
            <a:ext uri="{FF2B5EF4-FFF2-40B4-BE49-F238E27FC236}">
              <a16:creationId xmlns:a16="http://schemas.microsoft.com/office/drawing/2014/main" id="{ABCE50B3-0071-4150-A7E8-7133762EC0FD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282" name="AutoShape 1">
          <a:extLst>
            <a:ext uri="{FF2B5EF4-FFF2-40B4-BE49-F238E27FC236}">
              <a16:creationId xmlns:a16="http://schemas.microsoft.com/office/drawing/2014/main" id="{FF770411-B0BE-4743-A630-933096D1C4C1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283" name="AutoShape 1">
          <a:extLst>
            <a:ext uri="{FF2B5EF4-FFF2-40B4-BE49-F238E27FC236}">
              <a16:creationId xmlns:a16="http://schemas.microsoft.com/office/drawing/2014/main" id="{8B5AD3DD-29D4-4B73-9502-0FE1EC62DB1F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284" name="AutoShape 1">
          <a:extLst>
            <a:ext uri="{FF2B5EF4-FFF2-40B4-BE49-F238E27FC236}">
              <a16:creationId xmlns:a16="http://schemas.microsoft.com/office/drawing/2014/main" id="{659F24CA-715E-481D-9174-CB667526E3AD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285" name="AutoShape 1">
          <a:extLst>
            <a:ext uri="{FF2B5EF4-FFF2-40B4-BE49-F238E27FC236}">
              <a16:creationId xmlns:a16="http://schemas.microsoft.com/office/drawing/2014/main" id="{A0A16B62-6573-4C8B-A350-0F3F85FC5578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286" name="AutoShape 1">
          <a:extLst>
            <a:ext uri="{FF2B5EF4-FFF2-40B4-BE49-F238E27FC236}">
              <a16:creationId xmlns:a16="http://schemas.microsoft.com/office/drawing/2014/main" id="{63AD7816-9B72-46C2-AF28-8C7E90521847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287" name="AutoShape 1">
          <a:extLst>
            <a:ext uri="{FF2B5EF4-FFF2-40B4-BE49-F238E27FC236}">
              <a16:creationId xmlns:a16="http://schemas.microsoft.com/office/drawing/2014/main" id="{4A9B833D-A26C-4068-8046-C50B1BF2DF84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288" name="AutoShape 1">
          <a:extLst>
            <a:ext uri="{FF2B5EF4-FFF2-40B4-BE49-F238E27FC236}">
              <a16:creationId xmlns:a16="http://schemas.microsoft.com/office/drawing/2014/main" id="{D2B5F1CD-EE23-4B43-BF39-C2AD5E04A1EA}"/>
            </a:ext>
            <a:ext uri="{147F2762-F138-4A5C-976F-8EAC2B608ADB}">
              <a16:predDERef xmlns:a16="http://schemas.microsoft.com/office/drawing/2014/main" pred="{A9C9C4DB-4B97-447C-9099-E87BCB3C537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289" name="AutoShape 1">
          <a:extLst>
            <a:ext uri="{FF2B5EF4-FFF2-40B4-BE49-F238E27FC236}">
              <a16:creationId xmlns:a16="http://schemas.microsoft.com/office/drawing/2014/main" id="{F7B17CFC-0C65-48A6-98AE-3DAACAE2CE3D}"/>
            </a:ext>
            <a:ext uri="{147F2762-F138-4A5C-976F-8EAC2B608ADB}">
              <a16:predDERef xmlns:a16="http://schemas.microsoft.com/office/drawing/2014/main" pred="{CD89554D-BD76-42AD-819A-278AD445B86E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290" name="AutoShape 1">
          <a:extLst>
            <a:ext uri="{FF2B5EF4-FFF2-40B4-BE49-F238E27FC236}">
              <a16:creationId xmlns:a16="http://schemas.microsoft.com/office/drawing/2014/main" id="{171A7FDF-5967-4AB5-AD26-9E40570FDB49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291" name="AutoShape 1">
          <a:extLst>
            <a:ext uri="{FF2B5EF4-FFF2-40B4-BE49-F238E27FC236}">
              <a16:creationId xmlns:a16="http://schemas.microsoft.com/office/drawing/2014/main" id="{D4E2B5D7-95E5-46E3-B911-A9549EED6CE4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292" name="AutoShape 1">
          <a:extLst>
            <a:ext uri="{FF2B5EF4-FFF2-40B4-BE49-F238E27FC236}">
              <a16:creationId xmlns:a16="http://schemas.microsoft.com/office/drawing/2014/main" id="{575C038F-D83F-4FE7-B5D3-FB9D7E7C33C1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293" name="AutoShape 1">
          <a:extLst>
            <a:ext uri="{FF2B5EF4-FFF2-40B4-BE49-F238E27FC236}">
              <a16:creationId xmlns:a16="http://schemas.microsoft.com/office/drawing/2014/main" id="{A4CF6D06-E3F3-4FEF-B1C9-A0541710148E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294" name="AutoShape 1">
          <a:extLst>
            <a:ext uri="{FF2B5EF4-FFF2-40B4-BE49-F238E27FC236}">
              <a16:creationId xmlns:a16="http://schemas.microsoft.com/office/drawing/2014/main" id="{947ABCE0-D761-44E6-9118-7CE8E6B765E6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295" name="AutoShape 1">
          <a:extLst>
            <a:ext uri="{FF2B5EF4-FFF2-40B4-BE49-F238E27FC236}">
              <a16:creationId xmlns:a16="http://schemas.microsoft.com/office/drawing/2014/main" id="{8410AC20-0BB5-477E-8791-205480D02CDF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296" name="AutoShape 1">
          <a:extLst>
            <a:ext uri="{FF2B5EF4-FFF2-40B4-BE49-F238E27FC236}">
              <a16:creationId xmlns:a16="http://schemas.microsoft.com/office/drawing/2014/main" id="{47920436-DF71-4DB9-B357-F7FB601B8FE3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297" name="AutoShape 1">
          <a:extLst>
            <a:ext uri="{FF2B5EF4-FFF2-40B4-BE49-F238E27FC236}">
              <a16:creationId xmlns:a16="http://schemas.microsoft.com/office/drawing/2014/main" id="{1AEF5B70-8728-49FA-BCA9-0E45F6756F2C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298" name="AutoShape 1">
          <a:extLst>
            <a:ext uri="{FF2B5EF4-FFF2-40B4-BE49-F238E27FC236}">
              <a16:creationId xmlns:a16="http://schemas.microsoft.com/office/drawing/2014/main" id="{1625AECD-274A-4341-BC66-9111DABC98E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299" name="AutoShape 1">
          <a:extLst>
            <a:ext uri="{FF2B5EF4-FFF2-40B4-BE49-F238E27FC236}">
              <a16:creationId xmlns:a16="http://schemas.microsoft.com/office/drawing/2014/main" id="{DC1BF6ED-4F47-4717-8D59-001A5C6B9419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300" name="AutoShape 1">
          <a:extLst>
            <a:ext uri="{FF2B5EF4-FFF2-40B4-BE49-F238E27FC236}">
              <a16:creationId xmlns:a16="http://schemas.microsoft.com/office/drawing/2014/main" id="{ECB710B9-44DD-4B0D-825A-AD2D55922CF4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301" name="AutoShape 1">
          <a:extLst>
            <a:ext uri="{FF2B5EF4-FFF2-40B4-BE49-F238E27FC236}">
              <a16:creationId xmlns:a16="http://schemas.microsoft.com/office/drawing/2014/main" id="{0E60E504-E77B-49C0-8E99-E817CD20240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302" name="AutoShape 1">
          <a:extLst>
            <a:ext uri="{FF2B5EF4-FFF2-40B4-BE49-F238E27FC236}">
              <a16:creationId xmlns:a16="http://schemas.microsoft.com/office/drawing/2014/main" id="{B3720BB8-4157-4C27-ADDA-E043B529B144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303" name="AutoShape 1">
          <a:extLst>
            <a:ext uri="{FF2B5EF4-FFF2-40B4-BE49-F238E27FC236}">
              <a16:creationId xmlns:a16="http://schemas.microsoft.com/office/drawing/2014/main" id="{9271CDFC-B0DB-4BD1-9454-198AFBD58AD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304" name="AutoShape 1">
          <a:extLst>
            <a:ext uri="{FF2B5EF4-FFF2-40B4-BE49-F238E27FC236}">
              <a16:creationId xmlns:a16="http://schemas.microsoft.com/office/drawing/2014/main" id="{E0930DB3-0EB5-4C5C-9F00-61B1129B27E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305" name="AutoShape 1">
          <a:extLst>
            <a:ext uri="{FF2B5EF4-FFF2-40B4-BE49-F238E27FC236}">
              <a16:creationId xmlns:a16="http://schemas.microsoft.com/office/drawing/2014/main" id="{AECB01E5-956A-4030-9228-C38ECFB6A59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306" name="AutoShape 1">
          <a:extLst>
            <a:ext uri="{FF2B5EF4-FFF2-40B4-BE49-F238E27FC236}">
              <a16:creationId xmlns:a16="http://schemas.microsoft.com/office/drawing/2014/main" id="{4B4D5C0B-60D4-4EA2-B0F3-3B47EB3708F6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307" name="AutoShape 1">
          <a:extLst>
            <a:ext uri="{FF2B5EF4-FFF2-40B4-BE49-F238E27FC236}">
              <a16:creationId xmlns:a16="http://schemas.microsoft.com/office/drawing/2014/main" id="{CD8B244E-3468-43FD-86A9-175197DD42ED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308" name="AutoShape 1">
          <a:extLst>
            <a:ext uri="{FF2B5EF4-FFF2-40B4-BE49-F238E27FC236}">
              <a16:creationId xmlns:a16="http://schemas.microsoft.com/office/drawing/2014/main" id="{2701BF36-A3E8-4D53-9587-0A77B1D1526C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309" name="AutoShape 1">
          <a:extLst>
            <a:ext uri="{FF2B5EF4-FFF2-40B4-BE49-F238E27FC236}">
              <a16:creationId xmlns:a16="http://schemas.microsoft.com/office/drawing/2014/main" id="{66C2E74D-C432-4C45-BF8B-D56F4363285B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310" name="AutoShape 1">
          <a:extLst>
            <a:ext uri="{FF2B5EF4-FFF2-40B4-BE49-F238E27FC236}">
              <a16:creationId xmlns:a16="http://schemas.microsoft.com/office/drawing/2014/main" id="{15BB7BCC-8414-47EE-A237-36EE407B57E5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311" name="AutoShape 1">
          <a:extLst>
            <a:ext uri="{FF2B5EF4-FFF2-40B4-BE49-F238E27FC236}">
              <a16:creationId xmlns:a16="http://schemas.microsoft.com/office/drawing/2014/main" id="{8D356B64-C26E-46FA-8A9C-82D72D585A2D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312" name="AutoShape 1">
          <a:extLst>
            <a:ext uri="{FF2B5EF4-FFF2-40B4-BE49-F238E27FC236}">
              <a16:creationId xmlns:a16="http://schemas.microsoft.com/office/drawing/2014/main" id="{1F0D5A09-15D9-4929-98C5-20144D4FEEBD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313" name="AutoShape 1">
          <a:extLst>
            <a:ext uri="{FF2B5EF4-FFF2-40B4-BE49-F238E27FC236}">
              <a16:creationId xmlns:a16="http://schemas.microsoft.com/office/drawing/2014/main" id="{1E21ABA3-C02E-4468-982C-3035DB5F7A37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314" name="AutoShape 1">
          <a:extLst>
            <a:ext uri="{FF2B5EF4-FFF2-40B4-BE49-F238E27FC236}">
              <a16:creationId xmlns:a16="http://schemas.microsoft.com/office/drawing/2014/main" id="{242BD98E-1CF6-4DD8-ABDF-4966CC0BF0BF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315" name="AutoShape 1">
          <a:extLst>
            <a:ext uri="{FF2B5EF4-FFF2-40B4-BE49-F238E27FC236}">
              <a16:creationId xmlns:a16="http://schemas.microsoft.com/office/drawing/2014/main" id="{C0121959-E0E4-4E72-8603-693BC3E5C822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316" name="AutoShape 1">
          <a:extLst>
            <a:ext uri="{FF2B5EF4-FFF2-40B4-BE49-F238E27FC236}">
              <a16:creationId xmlns:a16="http://schemas.microsoft.com/office/drawing/2014/main" id="{A5A2A462-92DF-4A19-9E4D-F8F31EFEED8B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317" name="AutoShape 1">
          <a:extLst>
            <a:ext uri="{FF2B5EF4-FFF2-40B4-BE49-F238E27FC236}">
              <a16:creationId xmlns:a16="http://schemas.microsoft.com/office/drawing/2014/main" id="{003AD70F-92D4-46A9-B34E-8597759A3B61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318" name="AutoShape 1">
          <a:extLst>
            <a:ext uri="{FF2B5EF4-FFF2-40B4-BE49-F238E27FC236}">
              <a16:creationId xmlns:a16="http://schemas.microsoft.com/office/drawing/2014/main" id="{A369D20E-BD81-457E-B3AD-4D1FBA2CC0A2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319" name="AutoShape 1">
          <a:extLst>
            <a:ext uri="{FF2B5EF4-FFF2-40B4-BE49-F238E27FC236}">
              <a16:creationId xmlns:a16="http://schemas.microsoft.com/office/drawing/2014/main" id="{829C2CE9-D8D7-4C90-984D-20AE7AA65B2C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320" name="AutoShape 1">
          <a:extLst>
            <a:ext uri="{FF2B5EF4-FFF2-40B4-BE49-F238E27FC236}">
              <a16:creationId xmlns:a16="http://schemas.microsoft.com/office/drawing/2014/main" id="{20191DE0-EEF0-4E83-B95B-3A1ED9197C2D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321" name="AutoShape 1">
          <a:extLst>
            <a:ext uri="{FF2B5EF4-FFF2-40B4-BE49-F238E27FC236}">
              <a16:creationId xmlns:a16="http://schemas.microsoft.com/office/drawing/2014/main" id="{27E2404D-AAA7-4B58-81D5-B9A4D5169CA1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322" name="AutoShape 1">
          <a:extLst>
            <a:ext uri="{FF2B5EF4-FFF2-40B4-BE49-F238E27FC236}">
              <a16:creationId xmlns:a16="http://schemas.microsoft.com/office/drawing/2014/main" id="{945EF873-A878-4094-86B3-5B5D0B632E0A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323" name="AutoShape 1">
          <a:extLst>
            <a:ext uri="{FF2B5EF4-FFF2-40B4-BE49-F238E27FC236}">
              <a16:creationId xmlns:a16="http://schemas.microsoft.com/office/drawing/2014/main" id="{86048115-7422-4A55-A476-B0F1B1A8FDD3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324" name="AutoShape 1">
          <a:extLst>
            <a:ext uri="{FF2B5EF4-FFF2-40B4-BE49-F238E27FC236}">
              <a16:creationId xmlns:a16="http://schemas.microsoft.com/office/drawing/2014/main" id="{D90DC68D-370D-4B5E-B91B-AA8B31358422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325" name="AutoShape 1">
          <a:extLst>
            <a:ext uri="{FF2B5EF4-FFF2-40B4-BE49-F238E27FC236}">
              <a16:creationId xmlns:a16="http://schemas.microsoft.com/office/drawing/2014/main" id="{B80F7E0F-F6A2-4D85-9CB4-F73683D90571}"/>
            </a:ext>
            <a:ext uri="{147F2762-F138-4A5C-976F-8EAC2B608ADB}">
              <a16:predDERef xmlns:a16="http://schemas.microsoft.com/office/drawing/2014/main" pred="{A9C9C4DB-4B97-447C-9099-E87BCB3C537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573</xdr:row>
      <xdr:rowOff>0</xdr:rowOff>
    </xdr:from>
    <xdr:ext cx="304800" cy="304800"/>
    <xdr:sp macro="" textlink="">
      <xdr:nvSpPr>
        <xdr:cNvPr id="1326" name="AutoShape 1">
          <a:extLst>
            <a:ext uri="{FF2B5EF4-FFF2-40B4-BE49-F238E27FC236}">
              <a16:creationId xmlns:a16="http://schemas.microsoft.com/office/drawing/2014/main" id="{8FBF9987-48BC-4401-8C2D-0ED2EC08F0D4}"/>
            </a:ext>
            <a:ext uri="{147F2762-F138-4A5C-976F-8EAC2B608ADB}">
              <a16:predDERef xmlns:a16="http://schemas.microsoft.com/office/drawing/2014/main" pred="{CD89554D-BD76-42AD-819A-278AD445B86E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608</xdr:row>
      <xdr:rowOff>0</xdr:rowOff>
    </xdr:from>
    <xdr:ext cx="304800" cy="304800"/>
    <xdr:sp macro="" textlink="">
      <xdr:nvSpPr>
        <xdr:cNvPr id="1327" name="AutoShape 1">
          <a:extLst>
            <a:ext uri="{FF2B5EF4-FFF2-40B4-BE49-F238E27FC236}">
              <a16:creationId xmlns:a16="http://schemas.microsoft.com/office/drawing/2014/main" id="{F5C2F5EA-33AF-4F88-94D6-33D9F372532A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621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608</xdr:row>
      <xdr:rowOff>0</xdr:rowOff>
    </xdr:from>
    <xdr:ext cx="304800" cy="304800"/>
    <xdr:sp macro="" textlink="">
      <xdr:nvSpPr>
        <xdr:cNvPr id="1328" name="AutoShape 1">
          <a:extLst>
            <a:ext uri="{FF2B5EF4-FFF2-40B4-BE49-F238E27FC236}">
              <a16:creationId xmlns:a16="http://schemas.microsoft.com/office/drawing/2014/main" id="{13F0D54C-5F3A-4F8E-ADA1-A8C3FBFE172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621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329" name="AutoShape 1">
          <a:extLst>
            <a:ext uri="{FF2B5EF4-FFF2-40B4-BE49-F238E27FC236}">
              <a16:creationId xmlns:a16="http://schemas.microsoft.com/office/drawing/2014/main" id="{134F2E46-5F04-4B42-AA55-FFF2F13FF2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330" name="AutoShape 1">
          <a:extLst>
            <a:ext uri="{FF2B5EF4-FFF2-40B4-BE49-F238E27FC236}">
              <a16:creationId xmlns:a16="http://schemas.microsoft.com/office/drawing/2014/main" id="{F4510DCC-2BB1-4E24-9987-F11614B0CFB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331" name="AutoShape 1">
          <a:extLst>
            <a:ext uri="{FF2B5EF4-FFF2-40B4-BE49-F238E27FC236}">
              <a16:creationId xmlns:a16="http://schemas.microsoft.com/office/drawing/2014/main" id="{6659F6E1-D91E-4691-943E-F6F6FFDEDEA9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332" name="AutoShape 1">
          <a:extLst>
            <a:ext uri="{FF2B5EF4-FFF2-40B4-BE49-F238E27FC236}">
              <a16:creationId xmlns:a16="http://schemas.microsoft.com/office/drawing/2014/main" id="{5D8D66B1-D7C0-4C82-ACC2-65E172821E31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333" name="AutoShape 1">
          <a:extLst>
            <a:ext uri="{FF2B5EF4-FFF2-40B4-BE49-F238E27FC236}">
              <a16:creationId xmlns:a16="http://schemas.microsoft.com/office/drawing/2014/main" id="{581ACFAB-3B01-48D2-A828-D2500AF557AA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334" name="AutoShape 1">
          <a:extLst>
            <a:ext uri="{FF2B5EF4-FFF2-40B4-BE49-F238E27FC236}">
              <a16:creationId xmlns:a16="http://schemas.microsoft.com/office/drawing/2014/main" id="{9969D032-42A3-418C-8CB3-1C9CB101BE67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335" name="AutoShape 1">
          <a:extLst>
            <a:ext uri="{FF2B5EF4-FFF2-40B4-BE49-F238E27FC236}">
              <a16:creationId xmlns:a16="http://schemas.microsoft.com/office/drawing/2014/main" id="{46DF0472-9E32-493E-9E7D-753F7091007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336" name="AutoShape 1">
          <a:extLst>
            <a:ext uri="{FF2B5EF4-FFF2-40B4-BE49-F238E27FC236}">
              <a16:creationId xmlns:a16="http://schemas.microsoft.com/office/drawing/2014/main" id="{366917BF-0DB9-438F-AF4A-F66CA09F140A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337" name="AutoShape 1">
          <a:extLst>
            <a:ext uri="{FF2B5EF4-FFF2-40B4-BE49-F238E27FC236}">
              <a16:creationId xmlns:a16="http://schemas.microsoft.com/office/drawing/2014/main" id="{D330182E-19B8-41B3-B779-EE41CB5F650C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338" name="AutoShape 1">
          <a:extLst>
            <a:ext uri="{FF2B5EF4-FFF2-40B4-BE49-F238E27FC236}">
              <a16:creationId xmlns:a16="http://schemas.microsoft.com/office/drawing/2014/main" id="{3DC7A2B6-080A-42BE-A696-5634AA5E04EA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339" name="AutoShape 1">
          <a:extLst>
            <a:ext uri="{FF2B5EF4-FFF2-40B4-BE49-F238E27FC236}">
              <a16:creationId xmlns:a16="http://schemas.microsoft.com/office/drawing/2014/main" id="{ACE57D2E-CB87-4DA9-9326-2746EB3C303E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340" name="AutoShape 1">
          <a:extLst>
            <a:ext uri="{FF2B5EF4-FFF2-40B4-BE49-F238E27FC236}">
              <a16:creationId xmlns:a16="http://schemas.microsoft.com/office/drawing/2014/main" id="{80D396BA-1542-4689-91D6-477C48FB474E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341" name="AutoShape 1">
          <a:extLst>
            <a:ext uri="{FF2B5EF4-FFF2-40B4-BE49-F238E27FC236}">
              <a16:creationId xmlns:a16="http://schemas.microsoft.com/office/drawing/2014/main" id="{BB9A4655-7E85-4ADD-BBD5-6ED5C13CD2AA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342" name="AutoShape 1">
          <a:extLst>
            <a:ext uri="{FF2B5EF4-FFF2-40B4-BE49-F238E27FC236}">
              <a16:creationId xmlns:a16="http://schemas.microsoft.com/office/drawing/2014/main" id="{56ECB11C-B4D2-4C4B-BDCE-A7D52F3E9A97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343" name="AutoShape 1">
          <a:extLst>
            <a:ext uri="{FF2B5EF4-FFF2-40B4-BE49-F238E27FC236}">
              <a16:creationId xmlns:a16="http://schemas.microsoft.com/office/drawing/2014/main" id="{245AE8BE-6055-4A1F-9D39-EC567D10717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344" name="AutoShape 1">
          <a:extLst>
            <a:ext uri="{FF2B5EF4-FFF2-40B4-BE49-F238E27FC236}">
              <a16:creationId xmlns:a16="http://schemas.microsoft.com/office/drawing/2014/main" id="{062A642D-09F5-4807-9BA5-143440F2A953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345" name="AutoShape 1">
          <a:extLst>
            <a:ext uri="{FF2B5EF4-FFF2-40B4-BE49-F238E27FC236}">
              <a16:creationId xmlns:a16="http://schemas.microsoft.com/office/drawing/2014/main" id="{3DDE086A-93DC-4033-8181-7579A672E231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346" name="AutoShape 1">
          <a:extLst>
            <a:ext uri="{FF2B5EF4-FFF2-40B4-BE49-F238E27FC236}">
              <a16:creationId xmlns:a16="http://schemas.microsoft.com/office/drawing/2014/main" id="{900C1D7C-2602-4378-A13F-A78B85B56049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347" name="AutoShape 1">
          <a:extLst>
            <a:ext uri="{FF2B5EF4-FFF2-40B4-BE49-F238E27FC236}">
              <a16:creationId xmlns:a16="http://schemas.microsoft.com/office/drawing/2014/main" id="{64F6817F-E1DC-4F1B-89F1-DAEA11EBDDA2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348" name="AutoShape 1">
          <a:extLst>
            <a:ext uri="{FF2B5EF4-FFF2-40B4-BE49-F238E27FC236}">
              <a16:creationId xmlns:a16="http://schemas.microsoft.com/office/drawing/2014/main" id="{72FDA8AC-4171-4640-97A2-460078806525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349" name="AutoShape 1">
          <a:extLst>
            <a:ext uri="{FF2B5EF4-FFF2-40B4-BE49-F238E27FC236}">
              <a16:creationId xmlns:a16="http://schemas.microsoft.com/office/drawing/2014/main" id="{4C86352B-76ED-4554-BE79-CDE436F4B131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350" name="AutoShape 1">
          <a:extLst>
            <a:ext uri="{FF2B5EF4-FFF2-40B4-BE49-F238E27FC236}">
              <a16:creationId xmlns:a16="http://schemas.microsoft.com/office/drawing/2014/main" id="{3B30982E-6865-4085-8B01-E6466FD51C19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351" name="AutoShape 1">
          <a:extLst>
            <a:ext uri="{FF2B5EF4-FFF2-40B4-BE49-F238E27FC236}">
              <a16:creationId xmlns:a16="http://schemas.microsoft.com/office/drawing/2014/main" id="{9F8BC47F-9CDC-4D72-A5FE-2AAA130D6CE4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352" name="AutoShape 1">
          <a:extLst>
            <a:ext uri="{FF2B5EF4-FFF2-40B4-BE49-F238E27FC236}">
              <a16:creationId xmlns:a16="http://schemas.microsoft.com/office/drawing/2014/main" id="{44BA404A-645D-4B44-8E7D-C562D379E60E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353" name="AutoShape 1">
          <a:extLst>
            <a:ext uri="{FF2B5EF4-FFF2-40B4-BE49-F238E27FC236}">
              <a16:creationId xmlns:a16="http://schemas.microsoft.com/office/drawing/2014/main" id="{9CFEC8A1-30CF-4E48-A2DF-3CC9F78C9257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354" name="AutoShape 1">
          <a:extLst>
            <a:ext uri="{FF2B5EF4-FFF2-40B4-BE49-F238E27FC236}">
              <a16:creationId xmlns:a16="http://schemas.microsoft.com/office/drawing/2014/main" id="{F2A84DDE-15FE-4396-AC4F-23E8C5F65B44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355" name="AutoShape 1">
          <a:extLst>
            <a:ext uri="{FF2B5EF4-FFF2-40B4-BE49-F238E27FC236}">
              <a16:creationId xmlns:a16="http://schemas.microsoft.com/office/drawing/2014/main" id="{15E8681C-D198-43C4-9E32-F909DDA2C6A5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356" name="AutoShape 1">
          <a:extLst>
            <a:ext uri="{FF2B5EF4-FFF2-40B4-BE49-F238E27FC236}">
              <a16:creationId xmlns:a16="http://schemas.microsoft.com/office/drawing/2014/main" id="{03485348-EACA-43C7-A41B-BF76225ED922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357" name="AutoShape 1">
          <a:extLst>
            <a:ext uri="{FF2B5EF4-FFF2-40B4-BE49-F238E27FC236}">
              <a16:creationId xmlns:a16="http://schemas.microsoft.com/office/drawing/2014/main" id="{8B550B72-7249-4BF2-8B6A-116172FD7D81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358" name="AutoShape 1">
          <a:extLst>
            <a:ext uri="{FF2B5EF4-FFF2-40B4-BE49-F238E27FC236}">
              <a16:creationId xmlns:a16="http://schemas.microsoft.com/office/drawing/2014/main" id="{2299A81A-0CE1-4FA2-A2D2-5DA000D22665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359" name="AutoShape 1">
          <a:extLst>
            <a:ext uri="{FF2B5EF4-FFF2-40B4-BE49-F238E27FC236}">
              <a16:creationId xmlns:a16="http://schemas.microsoft.com/office/drawing/2014/main" id="{900A565B-E6FB-4BA3-902B-2F3DE4885D50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360" name="AutoShape 1">
          <a:extLst>
            <a:ext uri="{FF2B5EF4-FFF2-40B4-BE49-F238E27FC236}">
              <a16:creationId xmlns:a16="http://schemas.microsoft.com/office/drawing/2014/main" id="{D27A41D3-EF49-4F3B-AD1A-5F52A781B7C0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361" name="AutoShape 1">
          <a:extLst>
            <a:ext uri="{FF2B5EF4-FFF2-40B4-BE49-F238E27FC236}">
              <a16:creationId xmlns:a16="http://schemas.microsoft.com/office/drawing/2014/main" id="{034824FD-C552-4178-B63A-8DB9DA727CB3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362" name="AutoShape 1">
          <a:extLst>
            <a:ext uri="{FF2B5EF4-FFF2-40B4-BE49-F238E27FC236}">
              <a16:creationId xmlns:a16="http://schemas.microsoft.com/office/drawing/2014/main" id="{A1A75D0D-E929-42CA-A0C0-96D637FE48CA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363" name="AutoShape 1">
          <a:extLst>
            <a:ext uri="{FF2B5EF4-FFF2-40B4-BE49-F238E27FC236}">
              <a16:creationId xmlns:a16="http://schemas.microsoft.com/office/drawing/2014/main" id="{F27F5D16-063D-4A3E-BE50-791C0739C9F3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364" name="AutoShape 1">
          <a:extLst>
            <a:ext uri="{FF2B5EF4-FFF2-40B4-BE49-F238E27FC236}">
              <a16:creationId xmlns:a16="http://schemas.microsoft.com/office/drawing/2014/main" id="{5C26923D-F091-4BFF-8CA5-EBE5E832752F}"/>
            </a:ext>
            <a:ext uri="{147F2762-F138-4A5C-976F-8EAC2B608ADB}">
              <a16:predDERef xmlns:a16="http://schemas.microsoft.com/office/drawing/2014/main" pred="{A9C9C4DB-4B97-447C-9099-E87BCB3C537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365" name="AutoShape 1">
          <a:extLst>
            <a:ext uri="{FF2B5EF4-FFF2-40B4-BE49-F238E27FC236}">
              <a16:creationId xmlns:a16="http://schemas.microsoft.com/office/drawing/2014/main" id="{DAE3497E-83F3-4AA8-8DF2-3CF7E60FB287}"/>
            </a:ext>
            <a:ext uri="{147F2762-F138-4A5C-976F-8EAC2B608ADB}">
              <a16:predDERef xmlns:a16="http://schemas.microsoft.com/office/drawing/2014/main" pred="{CD89554D-BD76-42AD-819A-278AD445B86E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366" name="AutoShape 1">
          <a:extLst>
            <a:ext uri="{FF2B5EF4-FFF2-40B4-BE49-F238E27FC236}">
              <a16:creationId xmlns:a16="http://schemas.microsoft.com/office/drawing/2014/main" id="{FC5B1AA1-364E-48FC-B4C6-C4874979A567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367" name="AutoShape 1">
          <a:extLst>
            <a:ext uri="{FF2B5EF4-FFF2-40B4-BE49-F238E27FC236}">
              <a16:creationId xmlns:a16="http://schemas.microsoft.com/office/drawing/2014/main" id="{368272DA-491F-4877-97A7-EE03A955233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368" name="AutoShape 1">
          <a:extLst>
            <a:ext uri="{FF2B5EF4-FFF2-40B4-BE49-F238E27FC236}">
              <a16:creationId xmlns:a16="http://schemas.microsoft.com/office/drawing/2014/main" id="{FAC3E457-B5E2-4A98-A923-A482D68E58D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369" name="AutoShape 1">
          <a:extLst>
            <a:ext uri="{FF2B5EF4-FFF2-40B4-BE49-F238E27FC236}">
              <a16:creationId xmlns:a16="http://schemas.microsoft.com/office/drawing/2014/main" id="{321A8E7B-BE93-49CC-A2F9-9E2D98C6A2CF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370" name="AutoShape 1">
          <a:extLst>
            <a:ext uri="{FF2B5EF4-FFF2-40B4-BE49-F238E27FC236}">
              <a16:creationId xmlns:a16="http://schemas.microsoft.com/office/drawing/2014/main" id="{EEC7D86C-8732-49BA-8919-C8158EA8B113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371" name="AutoShape 1">
          <a:extLst>
            <a:ext uri="{FF2B5EF4-FFF2-40B4-BE49-F238E27FC236}">
              <a16:creationId xmlns:a16="http://schemas.microsoft.com/office/drawing/2014/main" id="{01CFE677-656C-4C54-9ECF-AAF6832D5CDE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372" name="AutoShape 1">
          <a:extLst>
            <a:ext uri="{FF2B5EF4-FFF2-40B4-BE49-F238E27FC236}">
              <a16:creationId xmlns:a16="http://schemas.microsoft.com/office/drawing/2014/main" id="{02A43DCB-3E3C-47EA-AD68-5952AD7AA40A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373" name="AutoShape 1">
          <a:extLst>
            <a:ext uri="{FF2B5EF4-FFF2-40B4-BE49-F238E27FC236}">
              <a16:creationId xmlns:a16="http://schemas.microsoft.com/office/drawing/2014/main" id="{D708A562-0CDB-4C74-B6C0-E481F1093BDF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374" name="AutoShape 1">
          <a:extLst>
            <a:ext uri="{FF2B5EF4-FFF2-40B4-BE49-F238E27FC236}">
              <a16:creationId xmlns:a16="http://schemas.microsoft.com/office/drawing/2014/main" id="{4343DFEC-4013-4836-A56B-C167C600BFDE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375" name="AutoShape 1">
          <a:extLst>
            <a:ext uri="{FF2B5EF4-FFF2-40B4-BE49-F238E27FC236}">
              <a16:creationId xmlns:a16="http://schemas.microsoft.com/office/drawing/2014/main" id="{90CB751C-B724-4AAC-96C4-D3A51995EB5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376" name="AutoShape 1">
          <a:extLst>
            <a:ext uri="{FF2B5EF4-FFF2-40B4-BE49-F238E27FC236}">
              <a16:creationId xmlns:a16="http://schemas.microsoft.com/office/drawing/2014/main" id="{9273B627-2E42-4EC7-8AF0-70656058939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377" name="AutoShape 1">
          <a:extLst>
            <a:ext uri="{FF2B5EF4-FFF2-40B4-BE49-F238E27FC236}">
              <a16:creationId xmlns:a16="http://schemas.microsoft.com/office/drawing/2014/main" id="{A66C2606-BDDE-46E8-8341-4D126EB3F53F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378" name="AutoShape 1">
          <a:extLst>
            <a:ext uri="{FF2B5EF4-FFF2-40B4-BE49-F238E27FC236}">
              <a16:creationId xmlns:a16="http://schemas.microsoft.com/office/drawing/2014/main" id="{887BFE87-0D03-4C0B-A662-9F06027A340C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379" name="AutoShape 1">
          <a:extLst>
            <a:ext uri="{FF2B5EF4-FFF2-40B4-BE49-F238E27FC236}">
              <a16:creationId xmlns:a16="http://schemas.microsoft.com/office/drawing/2014/main" id="{6B42884C-95A7-4F9B-B79D-EF7D6FC0BD4C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380" name="AutoShape 1">
          <a:extLst>
            <a:ext uri="{FF2B5EF4-FFF2-40B4-BE49-F238E27FC236}">
              <a16:creationId xmlns:a16="http://schemas.microsoft.com/office/drawing/2014/main" id="{978B7CFA-FA57-4DB8-AFFF-6AD0FA793264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381" name="AutoShape 1">
          <a:extLst>
            <a:ext uri="{FF2B5EF4-FFF2-40B4-BE49-F238E27FC236}">
              <a16:creationId xmlns:a16="http://schemas.microsoft.com/office/drawing/2014/main" id="{C298E1DA-B2A6-4E63-B3EC-35B80E6CBA9B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382" name="AutoShape 1">
          <a:extLst>
            <a:ext uri="{FF2B5EF4-FFF2-40B4-BE49-F238E27FC236}">
              <a16:creationId xmlns:a16="http://schemas.microsoft.com/office/drawing/2014/main" id="{36AD0D77-4275-40F4-A216-EE8766466053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383" name="AutoShape 1">
          <a:extLst>
            <a:ext uri="{FF2B5EF4-FFF2-40B4-BE49-F238E27FC236}">
              <a16:creationId xmlns:a16="http://schemas.microsoft.com/office/drawing/2014/main" id="{D00363B9-FF2F-4F9F-AF93-74F8DFF0EDF8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384" name="AutoShape 1">
          <a:extLst>
            <a:ext uri="{FF2B5EF4-FFF2-40B4-BE49-F238E27FC236}">
              <a16:creationId xmlns:a16="http://schemas.microsoft.com/office/drawing/2014/main" id="{F4B74474-9FDF-4227-A1B3-73E0F2CCAC3C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385" name="AutoShape 1">
          <a:extLst>
            <a:ext uri="{FF2B5EF4-FFF2-40B4-BE49-F238E27FC236}">
              <a16:creationId xmlns:a16="http://schemas.microsoft.com/office/drawing/2014/main" id="{221A205F-4E27-4578-A407-2E30994713C4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386" name="AutoShape 1">
          <a:extLst>
            <a:ext uri="{FF2B5EF4-FFF2-40B4-BE49-F238E27FC236}">
              <a16:creationId xmlns:a16="http://schemas.microsoft.com/office/drawing/2014/main" id="{6A9B7D14-7B8F-4F1A-BEC9-529F59983434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387" name="AutoShape 1">
          <a:extLst>
            <a:ext uri="{FF2B5EF4-FFF2-40B4-BE49-F238E27FC236}">
              <a16:creationId xmlns:a16="http://schemas.microsoft.com/office/drawing/2014/main" id="{7CA66BD5-782B-4955-AA81-7773ABA8A53F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388" name="AutoShape 1">
          <a:extLst>
            <a:ext uri="{FF2B5EF4-FFF2-40B4-BE49-F238E27FC236}">
              <a16:creationId xmlns:a16="http://schemas.microsoft.com/office/drawing/2014/main" id="{1A75401A-BD3F-449E-9332-60BC87275AB8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389" name="AutoShape 1">
          <a:extLst>
            <a:ext uri="{FF2B5EF4-FFF2-40B4-BE49-F238E27FC236}">
              <a16:creationId xmlns:a16="http://schemas.microsoft.com/office/drawing/2014/main" id="{98647A15-F589-46F2-970D-B760B0817557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390" name="AutoShape 1">
          <a:extLst>
            <a:ext uri="{FF2B5EF4-FFF2-40B4-BE49-F238E27FC236}">
              <a16:creationId xmlns:a16="http://schemas.microsoft.com/office/drawing/2014/main" id="{4E69414F-10DF-49D6-8587-CE6F921EBD63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391" name="AutoShape 1">
          <a:extLst>
            <a:ext uri="{FF2B5EF4-FFF2-40B4-BE49-F238E27FC236}">
              <a16:creationId xmlns:a16="http://schemas.microsoft.com/office/drawing/2014/main" id="{EA4F10D0-5C6D-4CDA-A85E-1CDE66A0F5D5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392" name="AutoShape 1">
          <a:extLst>
            <a:ext uri="{FF2B5EF4-FFF2-40B4-BE49-F238E27FC236}">
              <a16:creationId xmlns:a16="http://schemas.microsoft.com/office/drawing/2014/main" id="{E0675CF6-45B6-49B6-AF47-F1D33339A28D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393" name="AutoShape 1">
          <a:extLst>
            <a:ext uri="{FF2B5EF4-FFF2-40B4-BE49-F238E27FC236}">
              <a16:creationId xmlns:a16="http://schemas.microsoft.com/office/drawing/2014/main" id="{B8602114-44FB-496C-A63D-322166C7692B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394" name="AutoShape 1">
          <a:extLst>
            <a:ext uri="{FF2B5EF4-FFF2-40B4-BE49-F238E27FC236}">
              <a16:creationId xmlns:a16="http://schemas.microsoft.com/office/drawing/2014/main" id="{9E91FBB1-7604-453E-B5DB-489FF5E89C11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395" name="AutoShape 1">
          <a:extLst>
            <a:ext uri="{FF2B5EF4-FFF2-40B4-BE49-F238E27FC236}">
              <a16:creationId xmlns:a16="http://schemas.microsoft.com/office/drawing/2014/main" id="{15E7E25B-3831-4899-B745-B86FBFEF7275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396" name="AutoShape 1">
          <a:extLst>
            <a:ext uri="{FF2B5EF4-FFF2-40B4-BE49-F238E27FC236}">
              <a16:creationId xmlns:a16="http://schemas.microsoft.com/office/drawing/2014/main" id="{5987A5A9-4367-4677-B521-EDE1E5CF5145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397" name="AutoShape 1">
          <a:extLst>
            <a:ext uri="{FF2B5EF4-FFF2-40B4-BE49-F238E27FC236}">
              <a16:creationId xmlns:a16="http://schemas.microsoft.com/office/drawing/2014/main" id="{481E8C32-EBBD-466C-A144-728263A44DAE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398" name="AutoShape 1">
          <a:extLst>
            <a:ext uri="{FF2B5EF4-FFF2-40B4-BE49-F238E27FC236}">
              <a16:creationId xmlns:a16="http://schemas.microsoft.com/office/drawing/2014/main" id="{0C3FC890-98E3-4773-836C-3B2F87139310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399" name="AutoShape 1">
          <a:extLst>
            <a:ext uri="{FF2B5EF4-FFF2-40B4-BE49-F238E27FC236}">
              <a16:creationId xmlns:a16="http://schemas.microsoft.com/office/drawing/2014/main" id="{E55BB506-DEFE-4A25-8450-8D2F5EEA0FC9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400" name="AutoShape 1">
          <a:extLst>
            <a:ext uri="{FF2B5EF4-FFF2-40B4-BE49-F238E27FC236}">
              <a16:creationId xmlns:a16="http://schemas.microsoft.com/office/drawing/2014/main" id="{2DD0C0C5-2646-4BD2-B5E8-BCB265EB8053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401" name="AutoShape 1">
          <a:extLst>
            <a:ext uri="{FF2B5EF4-FFF2-40B4-BE49-F238E27FC236}">
              <a16:creationId xmlns:a16="http://schemas.microsoft.com/office/drawing/2014/main" id="{C6E812FF-D759-4843-B842-7532CFC1CC7C}"/>
            </a:ext>
            <a:ext uri="{147F2762-F138-4A5C-976F-8EAC2B608ADB}">
              <a16:predDERef xmlns:a16="http://schemas.microsoft.com/office/drawing/2014/main" pred="{A9C9C4DB-4B97-447C-9099-E87BCB3C537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402" name="AutoShape 1">
          <a:extLst>
            <a:ext uri="{FF2B5EF4-FFF2-40B4-BE49-F238E27FC236}">
              <a16:creationId xmlns:a16="http://schemas.microsoft.com/office/drawing/2014/main" id="{956A6B92-E3B2-4A4B-A6F9-998213EEFBAB}"/>
            </a:ext>
            <a:ext uri="{147F2762-F138-4A5C-976F-8EAC2B608ADB}">
              <a16:predDERef xmlns:a16="http://schemas.microsoft.com/office/drawing/2014/main" pred="{CD89554D-BD76-42AD-819A-278AD445B86E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403" name="AutoShape 1">
          <a:extLst>
            <a:ext uri="{FF2B5EF4-FFF2-40B4-BE49-F238E27FC236}">
              <a16:creationId xmlns:a16="http://schemas.microsoft.com/office/drawing/2014/main" id="{69A22BF0-523B-45C0-A6BE-92A3146DD46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404" name="AutoShape 1">
          <a:extLst>
            <a:ext uri="{FF2B5EF4-FFF2-40B4-BE49-F238E27FC236}">
              <a16:creationId xmlns:a16="http://schemas.microsoft.com/office/drawing/2014/main" id="{004DCC06-6920-490A-BB05-10A0F306A95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405" name="AutoShape 1">
          <a:extLst>
            <a:ext uri="{FF2B5EF4-FFF2-40B4-BE49-F238E27FC236}">
              <a16:creationId xmlns:a16="http://schemas.microsoft.com/office/drawing/2014/main" id="{6FFF8688-7DBF-4330-9A38-F554EE95CB8A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406" name="AutoShape 1">
          <a:extLst>
            <a:ext uri="{FF2B5EF4-FFF2-40B4-BE49-F238E27FC236}">
              <a16:creationId xmlns:a16="http://schemas.microsoft.com/office/drawing/2014/main" id="{4095787E-3548-4899-8941-0737C25404A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407" name="AutoShape 1">
          <a:extLst>
            <a:ext uri="{FF2B5EF4-FFF2-40B4-BE49-F238E27FC236}">
              <a16:creationId xmlns:a16="http://schemas.microsoft.com/office/drawing/2014/main" id="{28D49946-CBD9-4407-9C84-ECDF5223393A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408" name="AutoShape 1">
          <a:extLst>
            <a:ext uri="{FF2B5EF4-FFF2-40B4-BE49-F238E27FC236}">
              <a16:creationId xmlns:a16="http://schemas.microsoft.com/office/drawing/2014/main" id="{F5F551C8-2ED9-47A1-83D7-21DAA366B2D7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409" name="AutoShape 1">
          <a:extLst>
            <a:ext uri="{FF2B5EF4-FFF2-40B4-BE49-F238E27FC236}">
              <a16:creationId xmlns:a16="http://schemas.microsoft.com/office/drawing/2014/main" id="{47662B23-2DCA-4135-8D28-771A15A5E293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410" name="AutoShape 1">
          <a:extLst>
            <a:ext uri="{FF2B5EF4-FFF2-40B4-BE49-F238E27FC236}">
              <a16:creationId xmlns:a16="http://schemas.microsoft.com/office/drawing/2014/main" id="{0182A08A-13AB-49BB-85C6-5FDCBEF3E9D6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411" name="AutoShape 1">
          <a:extLst>
            <a:ext uri="{FF2B5EF4-FFF2-40B4-BE49-F238E27FC236}">
              <a16:creationId xmlns:a16="http://schemas.microsoft.com/office/drawing/2014/main" id="{F038B537-DF5D-4402-817E-4D1A4694AF21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412" name="AutoShape 1">
          <a:extLst>
            <a:ext uri="{FF2B5EF4-FFF2-40B4-BE49-F238E27FC236}">
              <a16:creationId xmlns:a16="http://schemas.microsoft.com/office/drawing/2014/main" id="{283F3CE8-46BC-45D1-9689-CF60A4E0FDB1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413" name="AutoShape 1">
          <a:extLst>
            <a:ext uri="{FF2B5EF4-FFF2-40B4-BE49-F238E27FC236}">
              <a16:creationId xmlns:a16="http://schemas.microsoft.com/office/drawing/2014/main" id="{4BE5E9E1-F4AB-4437-8071-53349990B48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414" name="AutoShape 1">
          <a:extLst>
            <a:ext uri="{FF2B5EF4-FFF2-40B4-BE49-F238E27FC236}">
              <a16:creationId xmlns:a16="http://schemas.microsoft.com/office/drawing/2014/main" id="{0936BEE7-0324-4367-A191-FF84C9F1205E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415" name="AutoShape 1">
          <a:extLst>
            <a:ext uri="{FF2B5EF4-FFF2-40B4-BE49-F238E27FC236}">
              <a16:creationId xmlns:a16="http://schemas.microsoft.com/office/drawing/2014/main" id="{88229D5D-9094-420D-BC81-D14869BD1951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416" name="AutoShape 1">
          <a:extLst>
            <a:ext uri="{FF2B5EF4-FFF2-40B4-BE49-F238E27FC236}">
              <a16:creationId xmlns:a16="http://schemas.microsoft.com/office/drawing/2014/main" id="{8D35F89E-3EFC-4ADA-9B84-4C1BDCAD2F84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417" name="AutoShape 1">
          <a:extLst>
            <a:ext uri="{FF2B5EF4-FFF2-40B4-BE49-F238E27FC236}">
              <a16:creationId xmlns:a16="http://schemas.microsoft.com/office/drawing/2014/main" id="{004D3CF1-4F90-402F-A8C9-07DE69E3F987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418" name="AutoShape 1">
          <a:extLst>
            <a:ext uri="{FF2B5EF4-FFF2-40B4-BE49-F238E27FC236}">
              <a16:creationId xmlns:a16="http://schemas.microsoft.com/office/drawing/2014/main" id="{48689998-8168-4935-A0BC-908614EF5941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419" name="AutoShape 1">
          <a:extLst>
            <a:ext uri="{FF2B5EF4-FFF2-40B4-BE49-F238E27FC236}">
              <a16:creationId xmlns:a16="http://schemas.microsoft.com/office/drawing/2014/main" id="{F292A469-CAD6-4338-B60C-6FF9F2A64F12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420" name="AutoShape 1">
          <a:extLst>
            <a:ext uri="{FF2B5EF4-FFF2-40B4-BE49-F238E27FC236}">
              <a16:creationId xmlns:a16="http://schemas.microsoft.com/office/drawing/2014/main" id="{04C42EDB-38B9-4F91-8762-5B21F0508328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421" name="AutoShape 1">
          <a:extLst>
            <a:ext uri="{FF2B5EF4-FFF2-40B4-BE49-F238E27FC236}">
              <a16:creationId xmlns:a16="http://schemas.microsoft.com/office/drawing/2014/main" id="{74DBD9FA-93D6-41B6-8EA6-87F46957ECAD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422" name="AutoShape 1">
          <a:extLst>
            <a:ext uri="{FF2B5EF4-FFF2-40B4-BE49-F238E27FC236}">
              <a16:creationId xmlns:a16="http://schemas.microsoft.com/office/drawing/2014/main" id="{09B81E08-8FAE-41E9-887F-689001B8ACF0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423" name="AutoShape 1">
          <a:extLst>
            <a:ext uri="{FF2B5EF4-FFF2-40B4-BE49-F238E27FC236}">
              <a16:creationId xmlns:a16="http://schemas.microsoft.com/office/drawing/2014/main" id="{D14320B0-8A72-4529-8FD7-1FE27702DF9F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424" name="AutoShape 1">
          <a:extLst>
            <a:ext uri="{FF2B5EF4-FFF2-40B4-BE49-F238E27FC236}">
              <a16:creationId xmlns:a16="http://schemas.microsoft.com/office/drawing/2014/main" id="{B647FB1F-B873-4C19-862B-8DF1BBE76543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425" name="AutoShape 1">
          <a:extLst>
            <a:ext uri="{FF2B5EF4-FFF2-40B4-BE49-F238E27FC236}">
              <a16:creationId xmlns:a16="http://schemas.microsoft.com/office/drawing/2014/main" id="{2B223EFD-F791-49A0-BA0C-306EE0CA41DC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426" name="AutoShape 1">
          <a:extLst>
            <a:ext uri="{FF2B5EF4-FFF2-40B4-BE49-F238E27FC236}">
              <a16:creationId xmlns:a16="http://schemas.microsoft.com/office/drawing/2014/main" id="{F7F20E69-ECB4-49A9-8B74-13284E8F15E9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427" name="AutoShape 1">
          <a:extLst>
            <a:ext uri="{FF2B5EF4-FFF2-40B4-BE49-F238E27FC236}">
              <a16:creationId xmlns:a16="http://schemas.microsoft.com/office/drawing/2014/main" id="{B8EAF5E4-A0B3-439F-BBB3-C28CF874CE9A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428" name="AutoShape 1">
          <a:extLst>
            <a:ext uri="{FF2B5EF4-FFF2-40B4-BE49-F238E27FC236}">
              <a16:creationId xmlns:a16="http://schemas.microsoft.com/office/drawing/2014/main" id="{3491FE43-150A-4E05-839F-C058090F0177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429" name="AutoShape 1">
          <a:extLst>
            <a:ext uri="{FF2B5EF4-FFF2-40B4-BE49-F238E27FC236}">
              <a16:creationId xmlns:a16="http://schemas.microsoft.com/office/drawing/2014/main" id="{A7699AE0-356A-4DBA-B5EA-8AF40EE2623B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430" name="AutoShape 1">
          <a:extLst>
            <a:ext uri="{FF2B5EF4-FFF2-40B4-BE49-F238E27FC236}">
              <a16:creationId xmlns:a16="http://schemas.microsoft.com/office/drawing/2014/main" id="{AAFE597B-644D-42F8-8CEB-6A63D16C04D3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431" name="AutoShape 1">
          <a:extLst>
            <a:ext uri="{FF2B5EF4-FFF2-40B4-BE49-F238E27FC236}">
              <a16:creationId xmlns:a16="http://schemas.microsoft.com/office/drawing/2014/main" id="{53CD0C2B-C3DC-45FA-9352-319EC0FE6EC3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432" name="AutoShape 1">
          <a:extLst>
            <a:ext uri="{FF2B5EF4-FFF2-40B4-BE49-F238E27FC236}">
              <a16:creationId xmlns:a16="http://schemas.microsoft.com/office/drawing/2014/main" id="{F36C267B-060C-4FF0-944F-556559DBBB0E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433" name="AutoShape 1">
          <a:extLst>
            <a:ext uri="{FF2B5EF4-FFF2-40B4-BE49-F238E27FC236}">
              <a16:creationId xmlns:a16="http://schemas.microsoft.com/office/drawing/2014/main" id="{89BBF531-F897-4D3B-BB11-524867DCD717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434" name="AutoShape 1">
          <a:extLst>
            <a:ext uri="{FF2B5EF4-FFF2-40B4-BE49-F238E27FC236}">
              <a16:creationId xmlns:a16="http://schemas.microsoft.com/office/drawing/2014/main" id="{5D14E333-685A-4D2D-96E8-976C8A28904D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435" name="AutoShape 1">
          <a:extLst>
            <a:ext uri="{FF2B5EF4-FFF2-40B4-BE49-F238E27FC236}">
              <a16:creationId xmlns:a16="http://schemas.microsoft.com/office/drawing/2014/main" id="{DE9FC3B7-7CB4-4AF2-94C9-1ECF1DD5817E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436" name="AutoShape 1">
          <a:extLst>
            <a:ext uri="{FF2B5EF4-FFF2-40B4-BE49-F238E27FC236}">
              <a16:creationId xmlns:a16="http://schemas.microsoft.com/office/drawing/2014/main" id="{506BAF5E-55FA-427B-AA7B-8E038E90ADCF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437" name="AutoShape 1">
          <a:extLst>
            <a:ext uri="{FF2B5EF4-FFF2-40B4-BE49-F238E27FC236}">
              <a16:creationId xmlns:a16="http://schemas.microsoft.com/office/drawing/2014/main" id="{7685E797-DD34-41A7-BA66-CF2430AD979B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438" name="AutoShape 1">
          <a:extLst>
            <a:ext uri="{FF2B5EF4-FFF2-40B4-BE49-F238E27FC236}">
              <a16:creationId xmlns:a16="http://schemas.microsoft.com/office/drawing/2014/main" id="{C9F1938C-4AFC-462C-88C1-F8FA067BD6D8}"/>
            </a:ext>
            <a:ext uri="{147F2762-F138-4A5C-976F-8EAC2B608ADB}">
              <a16:predDERef xmlns:a16="http://schemas.microsoft.com/office/drawing/2014/main" pred="{A9C9C4DB-4B97-447C-9099-E87BCB3C537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439" name="AutoShape 1">
          <a:extLst>
            <a:ext uri="{FF2B5EF4-FFF2-40B4-BE49-F238E27FC236}">
              <a16:creationId xmlns:a16="http://schemas.microsoft.com/office/drawing/2014/main" id="{2641755A-B125-4D01-A342-03868D7695F1}"/>
            </a:ext>
            <a:ext uri="{147F2762-F138-4A5C-976F-8EAC2B608ADB}">
              <a16:predDERef xmlns:a16="http://schemas.microsoft.com/office/drawing/2014/main" pred="{CD89554D-BD76-42AD-819A-278AD445B86E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440" name="AutoShape 1">
          <a:extLst>
            <a:ext uri="{FF2B5EF4-FFF2-40B4-BE49-F238E27FC236}">
              <a16:creationId xmlns:a16="http://schemas.microsoft.com/office/drawing/2014/main" id="{D3E76492-7222-4F64-A3D0-21B9B4458483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441" name="AutoShape 1">
          <a:extLst>
            <a:ext uri="{FF2B5EF4-FFF2-40B4-BE49-F238E27FC236}">
              <a16:creationId xmlns:a16="http://schemas.microsoft.com/office/drawing/2014/main" id="{C8764806-B11F-451A-A847-00BA10E4F81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442" name="AutoShape 1">
          <a:extLst>
            <a:ext uri="{FF2B5EF4-FFF2-40B4-BE49-F238E27FC236}">
              <a16:creationId xmlns:a16="http://schemas.microsoft.com/office/drawing/2014/main" id="{D5A06BD7-20BB-4F5B-9F3F-725DD368B48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443" name="AutoShape 1">
          <a:extLst>
            <a:ext uri="{FF2B5EF4-FFF2-40B4-BE49-F238E27FC236}">
              <a16:creationId xmlns:a16="http://schemas.microsoft.com/office/drawing/2014/main" id="{DCE770D4-A567-43CE-AB54-BDD35246B8C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444" name="AutoShape 1">
          <a:extLst>
            <a:ext uri="{FF2B5EF4-FFF2-40B4-BE49-F238E27FC236}">
              <a16:creationId xmlns:a16="http://schemas.microsoft.com/office/drawing/2014/main" id="{6AD0DCDA-ED00-4480-98AF-6D5D730F3EC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445" name="AutoShape 1">
          <a:extLst>
            <a:ext uri="{FF2B5EF4-FFF2-40B4-BE49-F238E27FC236}">
              <a16:creationId xmlns:a16="http://schemas.microsoft.com/office/drawing/2014/main" id="{25A01D6E-C669-4690-95B5-72C6F1BAB89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446" name="AutoShape 1">
          <a:extLst>
            <a:ext uri="{FF2B5EF4-FFF2-40B4-BE49-F238E27FC236}">
              <a16:creationId xmlns:a16="http://schemas.microsoft.com/office/drawing/2014/main" id="{8F044A95-C0CB-4EAC-BD8C-412B606CC9F9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447" name="AutoShape 1">
          <a:extLst>
            <a:ext uri="{FF2B5EF4-FFF2-40B4-BE49-F238E27FC236}">
              <a16:creationId xmlns:a16="http://schemas.microsoft.com/office/drawing/2014/main" id="{FCB17F1F-EC08-4FD4-BB9F-28C7A9860D8F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448" name="AutoShape 1">
          <a:extLst>
            <a:ext uri="{FF2B5EF4-FFF2-40B4-BE49-F238E27FC236}">
              <a16:creationId xmlns:a16="http://schemas.microsoft.com/office/drawing/2014/main" id="{2C3C5A0A-51CC-4D1C-8499-659E2B8CF2A4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449" name="AutoShape 1">
          <a:extLst>
            <a:ext uri="{FF2B5EF4-FFF2-40B4-BE49-F238E27FC236}">
              <a16:creationId xmlns:a16="http://schemas.microsoft.com/office/drawing/2014/main" id="{0F51DD87-115D-4788-8B96-B13765FB6677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450" name="AutoShape 1">
          <a:extLst>
            <a:ext uri="{FF2B5EF4-FFF2-40B4-BE49-F238E27FC236}">
              <a16:creationId xmlns:a16="http://schemas.microsoft.com/office/drawing/2014/main" id="{8E8AA053-93F9-47D6-AD3E-9F7590D1FAD3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451" name="AutoShape 1">
          <a:extLst>
            <a:ext uri="{FF2B5EF4-FFF2-40B4-BE49-F238E27FC236}">
              <a16:creationId xmlns:a16="http://schemas.microsoft.com/office/drawing/2014/main" id="{28F35DE7-8488-4893-BBA5-88B3072A0681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452" name="AutoShape 1">
          <a:extLst>
            <a:ext uri="{FF2B5EF4-FFF2-40B4-BE49-F238E27FC236}">
              <a16:creationId xmlns:a16="http://schemas.microsoft.com/office/drawing/2014/main" id="{93A30781-2761-4FD9-B3EC-26E27100D494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453" name="AutoShape 1">
          <a:extLst>
            <a:ext uri="{FF2B5EF4-FFF2-40B4-BE49-F238E27FC236}">
              <a16:creationId xmlns:a16="http://schemas.microsoft.com/office/drawing/2014/main" id="{CD6391F9-5D45-44BD-8ECE-635483F4108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454" name="AutoShape 1">
          <a:extLst>
            <a:ext uri="{FF2B5EF4-FFF2-40B4-BE49-F238E27FC236}">
              <a16:creationId xmlns:a16="http://schemas.microsoft.com/office/drawing/2014/main" id="{54449794-9DB7-4382-9CAD-9D1719F47603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455" name="AutoShape 1">
          <a:extLst>
            <a:ext uri="{FF2B5EF4-FFF2-40B4-BE49-F238E27FC236}">
              <a16:creationId xmlns:a16="http://schemas.microsoft.com/office/drawing/2014/main" id="{CDE2CA9E-9C78-4EA5-8622-1F1D770B2DA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456" name="AutoShape 1">
          <a:extLst>
            <a:ext uri="{FF2B5EF4-FFF2-40B4-BE49-F238E27FC236}">
              <a16:creationId xmlns:a16="http://schemas.microsoft.com/office/drawing/2014/main" id="{1EAF43E3-0DCC-44E0-AA5A-BE3E6EE48203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457" name="AutoShape 1">
          <a:extLst>
            <a:ext uri="{FF2B5EF4-FFF2-40B4-BE49-F238E27FC236}">
              <a16:creationId xmlns:a16="http://schemas.microsoft.com/office/drawing/2014/main" id="{F0027D72-5E71-4EFB-AD9D-96A19CD1E8B2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458" name="AutoShape 1">
          <a:extLst>
            <a:ext uri="{FF2B5EF4-FFF2-40B4-BE49-F238E27FC236}">
              <a16:creationId xmlns:a16="http://schemas.microsoft.com/office/drawing/2014/main" id="{7E3F678F-684D-456E-99F2-8110C5AD673F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459" name="AutoShape 1">
          <a:extLst>
            <a:ext uri="{FF2B5EF4-FFF2-40B4-BE49-F238E27FC236}">
              <a16:creationId xmlns:a16="http://schemas.microsoft.com/office/drawing/2014/main" id="{2E44EF32-B60A-482A-A2D3-533C6432451E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460" name="AutoShape 1">
          <a:extLst>
            <a:ext uri="{FF2B5EF4-FFF2-40B4-BE49-F238E27FC236}">
              <a16:creationId xmlns:a16="http://schemas.microsoft.com/office/drawing/2014/main" id="{178BD21C-337E-4E37-974D-3A911AA2CA10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461" name="AutoShape 1">
          <a:extLst>
            <a:ext uri="{FF2B5EF4-FFF2-40B4-BE49-F238E27FC236}">
              <a16:creationId xmlns:a16="http://schemas.microsoft.com/office/drawing/2014/main" id="{E9DAFE21-D221-4C24-BE0C-2049219A131A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462" name="AutoShape 1">
          <a:extLst>
            <a:ext uri="{FF2B5EF4-FFF2-40B4-BE49-F238E27FC236}">
              <a16:creationId xmlns:a16="http://schemas.microsoft.com/office/drawing/2014/main" id="{43451588-9138-4B48-933B-C72948EB2B6E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463" name="AutoShape 1">
          <a:extLst>
            <a:ext uri="{FF2B5EF4-FFF2-40B4-BE49-F238E27FC236}">
              <a16:creationId xmlns:a16="http://schemas.microsoft.com/office/drawing/2014/main" id="{6BD7C23F-2EB4-45E9-B794-62479816CE63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464" name="AutoShape 1">
          <a:extLst>
            <a:ext uri="{FF2B5EF4-FFF2-40B4-BE49-F238E27FC236}">
              <a16:creationId xmlns:a16="http://schemas.microsoft.com/office/drawing/2014/main" id="{7CD04A6E-AB97-40E3-8154-E6C75FEBB1BE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465" name="AutoShape 1">
          <a:extLst>
            <a:ext uri="{FF2B5EF4-FFF2-40B4-BE49-F238E27FC236}">
              <a16:creationId xmlns:a16="http://schemas.microsoft.com/office/drawing/2014/main" id="{82A80222-CEA2-496D-918E-E99A309C8E95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466" name="AutoShape 1">
          <a:extLst>
            <a:ext uri="{FF2B5EF4-FFF2-40B4-BE49-F238E27FC236}">
              <a16:creationId xmlns:a16="http://schemas.microsoft.com/office/drawing/2014/main" id="{C061D858-EE1E-478B-8EF4-40D8B40B03F8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467" name="AutoShape 1">
          <a:extLst>
            <a:ext uri="{FF2B5EF4-FFF2-40B4-BE49-F238E27FC236}">
              <a16:creationId xmlns:a16="http://schemas.microsoft.com/office/drawing/2014/main" id="{3D1586EE-BFBF-4A2D-A955-F23440C71127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468" name="AutoShape 1">
          <a:extLst>
            <a:ext uri="{FF2B5EF4-FFF2-40B4-BE49-F238E27FC236}">
              <a16:creationId xmlns:a16="http://schemas.microsoft.com/office/drawing/2014/main" id="{2E5AC5EA-0B28-4925-89D4-575691B94AE3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469" name="AutoShape 1">
          <a:extLst>
            <a:ext uri="{FF2B5EF4-FFF2-40B4-BE49-F238E27FC236}">
              <a16:creationId xmlns:a16="http://schemas.microsoft.com/office/drawing/2014/main" id="{7D64C75C-48AD-4053-BB21-1EC71294D885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470" name="AutoShape 1">
          <a:extLst>
            <a:ext uri="{FF2B5EF4-FFF2-40B4-BE49-F238E27FC236}">
              <a16:creationId xmlns:a16="http://schemas.microsoft.com/office/drawing/2014/main" id="{7D85AE03-B568-4B29-B719-356117C934C7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471" name="AutoShape 1">
          <a:extLst>
            <a:ext uri="{FF2B5EF4-FFF2-40B4-BE49-F238E27FC236}">
              <a16:creationId xmlns:a16="http://schemas.microsoft.com/office/drawing/2014/main" id="{D466BF30-65FA-4242-ADCB-CC9948AB790A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472" name="AutoShape 1">
          <a:extLst>
            <a:ext uri="{FF2B5EF4-FFF2-40B4-BE49-F238E27FC236}">
              <a16:creationId xmlns:a16="http://schemas.microsoft.com/office/drawing/2014/main" id="{A49554D0-4200-4F81-BE71-0C3BA675D1E7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473" name="AutoShape 1">
          <a:extLst>
            <a:ext uri="{FF2B5EF4-FFF2-40B4-BE49-F238E27FC236}">
              <a16:creationId xmlns:a16="http://schemas.microsoft.com/office/drawing/2014/main" id="{F610DA56-8B75-4673-A46D-59249D272D26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474" name="AutoShape 1">
          <a:extLst>
            <a:ext uri="{FF2B5EF4-FFF2-40B4-BE49-F238E27FC236}">
              <a16:creationId xmlns:a16="http://schemas.microsoft.com/office/drawing/2014/main" id="{8DAF89D7-9ECB-4B57-A73A-4D198840CEE4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475" name="AutoShape 1">
          <a:extLst>
            <a:ext uri="{FF2B5EF4-FFF2-40B4-BE49-F238E27FC236}">
              <a16:creationId xmlns:a16="http://schemas.microsoft.com/office/drawing/2014/main" id="{105CDD57-A62E-4D4C-8DD2-38D475CAC8B4}"/>
            </a:ext>
            <a:ext uri="{147F2762-F138-4A5C-976F-8EAC2B608ADB}">
              <a16:predDERef xmlns:a16="http://schemas.microsoft.com/office/drawing/2014/main" pred="{A9C9C4DB-4B97-447C-9099-E87BCB3C537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476" name="AutoShape 1">
          <a:extLst>
            <a:ext uri="{FF2B5EF4-FFF2-40B4-BE49-F238E27FC236}">
              <a16:creationId xmlns:a16="http://schemas.microsoft.com/office/drawing/2014/main" id="{4F6389B4-1A9F-46DE-8416-47BE0EED1E2F}"/>
            </a:ext>
            <a:ext uri="{147F2762-F138-4A5C-976F-8EAC2B608ADB}">
              <a16:predDERef xmlns:a16="http://schemas.microsoft.com/office/drawing/2014/main" pred="{CD89554D-BD76-42AD-819A-278AD445B86E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477" name="AutoShape 1">
          <a:extLst>
            <a:ext uri="{FF2B5EF4-FFF2-40B4-BE49-F238E27FC236}">
              <a16:creationId xmlns:a16="http://schemas.microsoft.com/office/drawing/2014/main" id="{A31FF58B-D354-4B47-9FFC-C6384592E41A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478" name="AutoShape 1">
          <a:extLst>
            <a:ext uri="{FF2B5EF4-FFF2-40B4-BE49-F238E27FC236}">
              <a16:creationId xmlns:a16="http://schemas.microsoft.com/office/drawing/2014/main" id="{BC58FBB7-7ADD-494D-A3A8-209FF6D2C21C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479" name="AutoShape 1">
          <a:extLst>
            <a:ext uri="{FF2B5EF4-FFF2-40B4-BE49-F238E27FC236}">
              <a16:creationId xmlns:a16="http://schemas.microsoft.com/office/drawing/2014/main" id="{E43FAD87-CACA-4816-9346-40EA781CEC67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480" name="AutoShape 1">
          <a:extLst>
            <a:ext uri="{FF2B5EF4-FFF2-40B4-BE49-F238E27FC236}">
              <a16:creationId xmlns:a16="http://schemas.microsoft.com/office/drawing/2014/main" id="{723F7AE4-E742-4921-AB12-93B4B53D657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481" name="AutoShape 1">
          <a:extLst>
            <a:ext uri="{FF2B5EF4-FFF2-40B4-BE49-F238E27FC236}">
              <a16:creationId xmlns:a16="http://schemas.microsoft.com/office/drawing/2014/main" id="{A7D4D1E9-30B5-4D2E-9602-EF10DB9163EA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482" name="AutoShape 1">
          <a:extLst>
            <a:ext uri="{FF2B5EF4-FFF2-40B4-BE49-F238E27FC236}">
              <a16:creationId xmlns:a16="http://schemas.microsoft.com/office/drawing/2014/main" id="{88D81457-02E8-42F6-8C5D-066782547EF3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483" name="AutoShape 1">
          <a:extLst>
            <a:ext uri="{FF2B5EF4-FFF2-40B4-BE49-F238E27FC236}">
              <a16:creationId xmlns:a16="http://schemas.microsoft.com/office/drawing/2014/main" id="{2D9505A1-33D8-4588-965D-E23AC5524E13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484" name="AutoShape 1">
          <a:extLst>
            <a:ext uri="{FF2B5EF4-FFF2-40B4-BE49-F238E27FC236}">
              <a16:creationId xmlns:a16="http://schemas.microsoft.com/office/drawing/2014/main" id="{B20703D8-719C-454B-AD15-5D22E2729239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485" name="AutoShape 1">
          <a:extLst>
            <a:ext uri="{FF2B5EF4-FFF2-40B4-BE49-F238E27FC236}">
              <a16:creationId xmlns:a16="http://schemas.microsoft.com/office/drawing/2014/main" id="{09C19C5A-D827-4C07-94B0-2086FD1959AC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486" name="AutoShape 1">
          <a:extLst>
            <a:ext uri="{FF2B5EF4-FFF2-40B4-BE49-F238E27FC236}">
              <a16:creationId xmlns:a16="http://schemas.microsoft.com/office/drawing/2014/main" id="{82CBF9E8-5103-4CB4-822D-F12556D0B00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487" name="AutoShape 1">
          <a:extLst>
            <a:ext uri="{FF2B5EF4-FFF2-40B4-BE49-F238E27FC236}">
              <a16:creationId xmlns:a16="http://schemas.microsoft.com/office/drawing/2014/main" id="{1075A575-48F2-4445-9FFE-033380F0D2A1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488" name="AutoShape 1">
          <a:extLst>
            <a:ext uri="{FF2B5EF4-FFF2-40B4-BE49-F238E27FC236}">
              <a16:creationId xmlns:a16="http://schemas.microsoft.com/office/drawing/2014/main" id="{CC7649F7-863F-49CB-9556-9D7EC08AAE57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489" name="AutoShape 1">
          <a:extLst>
            <a:ext uri="{FF2B5EF4-FFF2-40B4-BE49-F238E27FC236}">
              <a16:creationId xmlns:a16="http://schemas.microsoft.com/office/drawing/2014/main" id="{6C65756B-425D-4036-A6CC-E9640C60590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490" name="AutoShape 1">
          <a:extLst>
            <a:ext uri="{FF2B5EF4-FFF2-40B4-BE49-F238E27FC236}">
              <a16:creationId xmlns:a16="http://schemas.microsoft.com/office/drawing/2014/main" id="{CD17E497-0703-4C70-AD2F-6EC3E408E37B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491" name="AutoShape 1">
          <a:extLst>
            <a:ext uri="{FF2B5EF4-FFF2-40B4-BE49-F238E27FC236}">
              <a16:creationId xmlns:a16="http://schemas.microsoft.com/office/drawing/2014/main" id="{0CF2FAAD-DDDE-4D1C-94E3-39988C34A99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492" name="AutoShape 1">
          <a:extLst>
            <a:ext uri="{FF2B5EF4-FFF2-40B4-BE49-F238E27FC236}">
              <a16:creationId xmlns:a16="http://schemas.microsoft.com/office/drawing/2014/main" id="{21063F40-0EEC-44BB-8BF5-DBBB37CF11E3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493" name="AutoShape 1">
          <a:extLst>
            <a:ext uri="{FF2B5EF4-FFF2-40B4-BE49-F238E27FC236}">
              <a16:creationId xmlns:a16="http://schemas.microsoft.com/office/drawing/2014/main" id="{3D230F8F-1BC2-4B42-84E4-C944A2A6EF21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494" name="AutoShape 1">
          <a:extLst>
            <a:ext uri="{FF2B5EF4-FFF2-40B4-BE49-F238E27FC236}">
              <a16:creationId xmlns:a16="http://schemas.microsoft.com/office/drawing/2014/main" id="{CE50D8A6-7A71-4838-95F2-8C584BC184FE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495" name="AutoShape 1">
          <a:extLst>
            <a:ext uri="{FF2B5EF4-FFF2-40B4-BE49-F238E27FC236}">
              <a16:creationId xmlns:a16="http://schemas.microsoft.com/office/drawing/2014/main" id="{5DB39E39-4220-4E39-91C4-07B45A9BF27C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496" name="AutoShape 1">
          <a:extLst>
            <a:ext uri="{FF2B5EF4-FFF2-40B4-BE49-F238E27FC236}">
              <a16:creationId xmlns:a16="http://schemas.microsoft.com/office/drawing/2014/main" id="{847C1898-2620-406D-ADC6-ADB57BA37D39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497" name="AutoShape 1">
          <a:extLst>
            <a:ext uri="{FF2B5EF4-FFF2-40B4-BE49-F238E27FC236}">
              <a16:creationId xmlns:a16="http://schemas.microsoft.com/office/drawing/2014/main" id="{F584F88D-48CF-49D6-B8C3-F417057CAE3C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498" name="AutoShape 1">
          <a:extLst>
            <a:ext uri="{FF2B5EF4-FFF2-40B4-BE49-F238E27FC236}">
              <a16:creationId xmlns:a16="http://schemas.microsoft.com/office/drawing/2014/main" id="{47BD6331-9D9E-4801-BECB-D5CBDB1CC967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499" name="AutoShape 1">
          <a:extLst>
            <a:ext uri="{FF2B5EF4-FFF2-40B4-BE49-F238E27FC236}">
              <a16:creationId xmlns:a16="http://schemas.microsoft.com/office/drawing/2014/main" id="{78000D6E-26EB-492D-B34F-CBC220CB0B38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500" name="AutoShape 1">
          <a:extLst>
            <a:ext uri="{FF2B5EF4-FFF2-40B4-BE49-F238E27FC236}">
              <a16:creationId xmlns:a16="http://schemas.microsoft.com/office/drawing/2014/main" id="{8F62DDE6-1A01-46FA-930A-59BADE37B3B9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501" name="AutoShape 1">
          <a:extLst>
            <a:ext uri="{FF2B5EF4-FFF2-40B4-BE49-F238E27FC236}">
              <a16:creationId xmlns:a16="http://schemas.microsoft.com/office/drawing/2014/main" id="{6EC99223-CF47-401B-9430-8D74AF1A2DBE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502" name="AutoShape 1">
          <a:extLst>
            <a:ext uri="{FF2B5EF4-FFF2-40B4-BE49-F238E27FC236}">
              <a16:creationId xmlns:a16="http://schemas.microsoft.com/office/drawing/2014/main" id="{BFF59097-8A8B-4177-AAAB-DEFD14034A16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503" name="AutoShape 1">
          <a:extLst>
            <a:ext uri="{FF2B5EF4-FFF2-40B4-BE49-F238E27FC236}">
              <a16:creationId xmlns:a16="http://schemas.microsoft.com/office/drawing/2014/main" id="{AAB87147-E9BA-42B7-B15D-20363E245E34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504" name="AutoShape 1">
          <a:extLst>
            <a:ext uri="{FF2B5EF4-FFF2-40B4-BE49-F238E27FC236}">
              <a16:creationId xmlns:a16="http://schemas.microsoft.com/office/drawing/2014/main" id="{A6D9ECEE-CD3B-4DFA-BA1A-F673B937E95A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505" name="AutoShape 1">
          <a:extLst>
            <a:ext uri="{FF2B5EF4-FFF2-40B4-BE49-F238E27FC236}">
              <a16:creationId xmlns:a16="http://schemas.microsoft.com/office/drawing/2014/main" id="{4C94ADC0-2705-489C-A4EC-1B6C66F10BEC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506" name="AutoShape 1">
          <a:extLst>
            <a:ext uri="{FF2B5EF4-FFF2-40B4-BE49-F238E27FC236}">
              <a16:creationId xmlns:a16="http://schemas.microsoft.com/office/drawing/2014/main" id="{A4C5ACD1-7210-4AA9-AC37-AC8A3425C2C3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507" name="AutoShape 1">
          <a:extLst>
            <a:ext uri="{FF2B5EF4-FFF2-40B4-BE49-F238E27FC236}">
              <a16:creationId xmlns:a16="http://schemas.microsoft.com/office/drawing/2014/main" id="{19CCAA07-E888-4D07-BE28-9DB4A33CF881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508" name="AutoShape 1">
          <a:extLst>
            <a:ext uri="{FF2B5EF4-FFF2-40B4-BE49-F238E27FC236}">
              <a16:creationId xmlns:a16="http://schemas.microsoft.com/office/drawing/2014/main" id="{CC7616E5-D3E1-4944-8376-457F5D941577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509" name="AutoShape 1">
          <a:extLst>
            <a:ext uri="{FF2B5EF4-FFF2-40B4-BE49-F238E27FC236}">
              <a16:creationId xmlns:a16="http://schemas.microsoft.com/office/drawing/2014/main" id="{75811096-CBAF-4785-9AA9-3F8247331BF3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510" name="AutoShape 1">
          <a:extLst>
            <a:ext uri="{FF2B5EF4-FFF2-40B4-BE49-F238E27FC236}">
              <a16:creationId xmlns:a16="http://schemas.microsoft.com/office/drawing/2014/main" id="{7AEA7F11-B937-47A9-B6B5-FE04E4FECA82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511" name="AutoShape 1">
          <a:extLst>
            <a:ext uri="{FF2B5EF4-FFF2-40B4-BE49-F238E27FC236}">
              <a16:creationId xmlns:a16="http://schemas.microsoft.com/office/drawing/2014/main" id="{F394392B-30B7-482F-8115-779E7A73D5F8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512" name="AutoShape 1">
          <a:extLst>
            <a:ext uri="{FF2B5EF4-FFF2-40B4-BE49-F238E27FC236}">
              <a16:creationId xmlns:a16="http://schemas.microsoft.com/office/drawing/2014/main" id="{7F7A5EDC-B887-4FF2-9E48-58B0671E8269}"/>
            </a:ext>
            <a:ext uri="{147F2762-F138-4A5C-976F-8EAC2B608ADB}">
              <a16:predDERef xmlns:a16="http://schemas.microsoft.com/office/drawing/2014/main" pred="{A9C9C4DB-4B97-447C-9099-E87BCB3C537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513" name="AutoShape 1">
          <a:extLst>
            <a:ext uri="{FF2B5EF4-FFF2-40B4-BE49-F238E27FC236}">
              <a16:creationId xmlns:a16="http://schemas.microsoft.com/office/drawing/2014/main" id="{B910DA3E-BB1A-42C9-869B-DD9DE5CA8688}"/>
            </a:ext>
            <a:ext uri="{147F2762-F138-4A5C-976F-8EAC2B608ADB}">
              <a16:predDERef xmlns:a16="http://schemas.microsoft.com/office/drawing/2014/main" pred="{CD89554D-BD76-42AD-819A-278AD445B86E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514" name="AutoShape 1">
          <a:extLst>
            <a:ext uri="{FF2B5EF4-FFF2-40B4-BE49-F238E27FC236}">
              <a16:creationId xmlns:a16="http://schemas.microsoft.com/office/drawing/2014/main" id="{BBB55D0D-98C4-4E67-9602-49DFBAB51BCB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515" name="AutoShape 1">
          <a:extLst>
            <a:ext uri="{FF2B5EF4-FFF2-40B4-BE49-F238E27FC236}">
              <a16:creationId xmlns:a16="http://schemas.microsoft.com/office/drawing/2014/main" id="{37C24792-7578-40AA-9A20-0C5F02ED5753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516" name="AutoShape 1">
          <a:extLst>
            <a:ext uri="{FF2B5EF4-FFF2-40B4-BE49-F238E27FC236}">
              <a16:creationId xmlns:a16="http://schemas.microsoft.com/office/drawing/2014/main" id="{560E5DA6-2823-4EEF-B335-C6601239153E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517" name="AutoShape 1">
          <a:extLst>
            <a:ext uri="{FF2B5EF4-FFF2-40B4-BE49-F238E27FC236}">
              <a16:creationId xmlns:a16="http://schemas.microsoft.com/office/drawing/2014/main" id="{04B57B66-CEBA-4AC4-A52F-3DB160C0682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518" name="AutoShape 1">
          <a:extLst>
            <a:ext uri="{FF2B5EF4-FFF2-40B4-BE49-F238E27FC236}">
              <a16:creationId xmlns:a16="http://schemas.microsoft.com/office/drawing/2014/main" id="{BB2B858B-3454-42FD-A659-637505686284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519" name="AutoShape 1">
          <a:extLst>
            <a:ext uri="{FF2B5EF4-FFF2-40B4-BE49-F238E27FC236}">
              <a16:creationId xmlns:a16="http://schemas.microsoft.com/office/drawing/2014/main" id="{DFA21294-32BC-4642-A3A6-C768781F9E2F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520" name="AutoShape 1">
          <a:extLst>
            <a:ext uri="{FF2B5EF4-FFF2-40B4-BE49-F238E27FC236}">
              <a16:creationId xmlns:a16="http://schemas.microsoft.com/office/drawing/2014/main" id="{D7C55B6A-1AF4-412D-A34C-58A65D8E9259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521" name="AutoShape 1">
          <a:extLst>
            <a:ext uri="{FF2B5EF4-FFF2-40B4-BE49-F238E27FC236}">
              <a16:creationId xmlns:a16="http://schemas.microsoft.com/office/drawing/2014/main" id="{690C20C5-76A8-42B6-8535-B3E85C2AC9A3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522" name="AutoShape 1">
          <a:extLst>
            <a:ext uri="{FF2B5EF4-FFF2-40B4-BE49-F238E27FC236}">
              <a16:creationId xmlns:a16="http://schemas.microsoft.com/office/drawing/2014/main" id="{6C986AE0-19C1-4128-A482-53F1D0C9473F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523" name="AutoShape 1">
          <a:extLst>
            <a:ext uri="{FF2B5EF4-FFF2-40B4-BE49-F238E27FC236}">
              <a16:creationId xmlns:a16="http://schemas.microsoft.com/office/drawing/2014/main" id="{4AEE0E17-9BE2-419D-AECA-E993A263DFF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524" name="AutoShape 1">
          <a:extLst>
            <a:ext uri="{FF2B5EF4-FFF2-40B4-BE49-F238E27FC236}">
              <a16:creationId xmlns:a16="http://schemas.microsoft.com/office/drawing/2014/main" id="{16DF2786-A96F-4C87-A670-C99A4AC2404B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525" name="AutoShape 1">
          <a:extLst>
            <a:ext uri="{FF2B5EF4-FFF2-40B4-BE49-F238E27FC236}">
              <a16:creationId xmlns:a16="http://schemas.microsoft.com/office/drawing/2014/main" id="{54B51667-0507-4AEE-8F32-2FBFE197559C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526" name="AutoShape 1">
          <a:extLst>
            <a:ext uri="{FF2B5EF4-FFF2-40B4-BE49-F238E27FC236}">
              <a16:creationId xmlns:a16="http://schemas.microsoft.com/office/drawing/2014/main" id="{0F01735D-DD4B-4777-99EA-738EF26B4C4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527" name="AutoShape 1">
          <a:extLst>
            <a:ext uri="{FF2B5EF4-FFF2-40B4-BE49-F238E27FC236}">
              <a16:creationId xmlns:a16="http://schemas.microsoft.com/office/drawing/2014/main" id="{150BE51D-2ACF-4574-A18A-3386DCCD20A1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528" name="AutoShape 1">
          <a:extLst>
            <a:ext uri="{FF2B5EF4-FFF2-40B4-BE49-F238E27FC236}">
              <a16:creationId xmlns:a16="http://schemas.microsoft.com/office/drawing/2014/main" id="{2A7D8602-0EF0-4545-875E-9AA778832F86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529" name="AutoShape 1">
          <a:extLst>
            <a:ext uri="{FF2B5EF4-FFF2-40B4-BE49-F238E27FC236}">
              <a16:creationId xmlns:a16="http://schemas.microsoft.com/office/drawing/2014/main" id="{1875633A-431A-4D78-93C3-170773EBBB89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530" name="AutoShape 1">
          <a:extLst>
            <a:ext uri="{FF2B5EF4-FFF2-40B4-BE49-F238E27FC236}">
              <a16:creationId xmlns:a16="http://schemas.microsoft.com/office/drawing/2014/main" id="{1BBEB805-8085-4445-B867-57E81247E2E0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531" name="AutoShape 1">
          <a:extLst>
            <a:ext uri="{FF2B5EF4-FFF2-40B4-BE49-F238E27FC236}">
              <a16:creationId xmlns:a16="http://schemas.microsoft.com/office/drawing/2014/main" id="{4AB7A88F-870A-4003-8E38-4A28FC0165DE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532" name="AutoShape 1">
          <a:extLst>
            <a:ext uri="{FF2B5EF4-FFF2-40B4-BE49-F238E27FC236}">
              <a16:creationId xmlns:a16="http://schemas.microsoft.com/office/drawing/2014/main" id="{CCABED8B-0C0D-4802-8BB8-45CDECBBCDF1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533" name="AutoShape 1">
          <a:extLst>
            <a:ext uri="{FF2B5EF4-FFF2-40B4-BE49-F238E27FC236}">
              <a16:creationId xmlns:a16="http://schemas.microsoft.com/office/drawing/2014/main" id="{E4BDC916-6CA1-4310-8F94-A2402381D429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534" name="AutoShape 1">
          <a:extLst>
            <a:ext uri="{FF2B5EF4-FFF2-40B4-BE49-F238E27FC236}">
              <a16:creationId xmlns:a16="http://schemas.microsoft.com/office/drawing/2014/main" id="{D781808A-4F3C-4999-9A9A-BAC19D61AFEB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535" name="AutoShape 1">
          <a:extLst>
            <a:ext uri="{FF2B5EF4-FFF2-40B4-BE49-F238E27FC236}">
              <a16:creationId xmlns:a16="http://schemas.microsoft.com/office/drawing/2014/main" id="{BB4D357B-89F9-4097-9173-94E4A24ED34F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536" name="AutoShape 1">
          <a:extLst>
            <a:ext uri="{FF2B5EF4-FFF2-40B4-BE49-F238E27FC236}">
              <a16:creationId xmlns:a16="http://schemas.microsoft.com/office/drawing/2014/main" id="{64437F1A-517B-425E-B710-0CF4BBE90FFB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537" name="AutoShape 1">
          <a:extLst>
            <a:ext uri="{FF2B5EF4-FFF2-40B4-BE49-F238E27FC236}">
              <a16:creationId xmlns:a16="http://schemas.microsoft.com/office/drawing/2014/main" id="{F7E7F2F2-6640-409E-B05B-A69B86E83619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538" name="AutoShape 1">
          <a:extLst>
            <a:ext uri="{FF2B5EF4-FFF2-40B4-BE49-F238E27FC236}">
              <a16:creationId xmlns:a16="http://schemas.microsoft.com/office/drawing/2014/main" id="{E3F97998-86C6-4629-9C22-34845A2CB112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539" name="AutoShape 1">
          <a:extLst>
            <a:ext uri="{FF2B5EF4-FFF2-40B4-BE49-F238E27FC236}">
              <a16:creationId xmlns:a16="http://schemas.microsoft.com/office/drawing/2014/main" id="{CC2A24F2-E36A-4C3B-AAB6-96758C678941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540" name="AutoShape 1">
          <a:extLst>
            <a:ext uri="{FF2B5EF4-FFF2-40B4-BE49-F238E27FC236}">
              <a16:creationId xmlns:a16="http://schemas.microsoft.com/office/drawing/2014/main" id="{EA0C4469-A9D3-4053-8C80-96BABDB001D0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541" name="AutoShape 1">
          <a:extLst>
            <a:ext uri="{FF2B5EF4-FFF2-40B4-BE49-F238E27FC236}">
              <a16:creationId xmlns:a16="http://schemas.microsoft.com/office/drawing/2014/main" id="{8C6BC323-187B-404B-ACA6-B12D066AFFF4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542" name="AutoShape 1">
          <a:extLst>
            <a:ext uri="{FF2B5EF4-FFF2-40B4-BE49-F238E27FC236}">
              <a16:creationId xmlns:a16="http://schemas.microsoft.com/office/drawing/2014/main" id="{D0D7A926-80BB-4223-99FC-1594ABEA0FD0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543" name="AutoShape 1">
          <a:extLst>
            <a:ext uri="{FF2B5EF4-FFF2-40B4-BE49-F238E27FC236}">
              <a16:creationId xmlns:a16="http://schemas.microsoft.com/office/drawing/2014/main" id="{2A7B847A-475E-42D5-A742-ED1335BDC7A7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544" name="AutoShape 1">
          <a:extLst>
            <a:ext uri="{FF2B5EF4-FFF2-40B4-BE49-F238E27FC236}">
              <a16:creationId xmlns:a16="http://schemas.microsoft.com/office/drawing/2014/main" id="{1446A979-24A5-4745-941C-330E075EAEBB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545" name="AutoShape 1">
          <a:extLst>
            <a:ext uri="{FF2B5EF4-FFF2-40B4-BE49-F238E27FC236}">
              <a16:creationId xmlns:a16="http://schemas.microsoft.com/office/drawing/2014/main" id="{E77E7F3F-7501-4E39-B46A-9076DE12DF71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546" name="AutoShape 1">
          <a:extLst>
            <a:ext uri="{FF2B5EF4-FFF2-40B4-BE49-F238E27FC236}">
              <a16:creationId xmlns:a16="http://schemas.microsoft.com/office/drawing/2014/main" id="{6D700D07-EC80-44E5-A832-07B8C19A2ACF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547" name="AutoShape 1">
          <a:extLst>
            <a:ext uri="{FF2B5EF4-FFF2-40B4-BE49-F238E27FC236}">
              <a16:creationId xmlns:a16="http://schemas.microsoft.com/office/drawing/2014/main" id="{DAA0F8DF-3EEC-463E-920E-EAF5EA6C7767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548" name="AutoShape 1">
          <a:extLst>
            <a:ext uri="{FF2B5EF4-FFF2-40B4-BE49-F238E27FC236}">
              <a16:creationId xmlns:a16="http://schemas.microsoft.com/office/drawing/2014/main" id="{5D4281B2-668B-457F-A5FB-E5B591B0E719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549" name="AutoShape 1">
          <a:extLst>
            <a:ext uri="{FF2B5EF4-FFF2-40B4-BE49-F238E27FC236}">
              <a16:creationId xmlns:a16="http://schemas.microsoft.com/office/drawing/2014/main" id="{977669C4-CB13-42C1-A1A4-3816B3272D19}"/>
            </a:ext>
            <a:ext uri="{147F2762-F138-4A5C-976F-8EAC2B608ADB}">
              <a16:predDERef xmlns:a16="http://schemas.microsoft.com/office/drawing/2014/main" pred="{A9C9C4DB-4B97-447C-9099-E87BCB3C537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550" name="AutoShape 1">
          <a:extLst>
            <a:ext uri="{FF2B5EF4-FFF2-40B4-BE49-F238E27FC236}">
              <a16:creationId xmlns:a16="http://schemas.microsoft.com/office/drawing/2014/main" id="{2D29F9BE-E6DB-423E-8CB8-62E8776E51CB}"/>
            </a:ext>
            <a:ext uri="{147F2762-F138-4A5C-976F-8EAC2B608ADB}">
              <a16:predDERef xmlns:a16="http://schemas.microsoft.com/office/drawing/2014/main" pred="{CD89554D-BD76-42AD-819A-278AD445B86E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551" name="AutoShape 1">
          <a:extLst>
            <a:ext uri="{FF2B5EF4-FFF2-40B4-BE49-F238E27FC236}">
              <a16:creationId xmlns:a16="http://schemas.microsoft.com/office/drawing/2014/main" id="{D4C5D2CC-F2E0-4807-B14B-A45119AAF80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552" name="AutoShape 1">
          <a:extLst>
            <a:ext uri="{FF2B5EF4-FFF2-40B4-BE49-F238E27FC236}">
              <a16:creationId xmlns:a16="http://schemas.microsoft.com/office/drawing/2014/main" id="{270690C2-2D32-4F0C-9B8C-55F6348F3186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553" name="AutoShape 1">
          <a:extLst>
            <a:ext uri="{FF2B5EF4-FFF2-40B4-BE49-F238E27FC236}">
              <a16:creationId xmlns:a16="http://schemas.microsoft.com/office/drawing/2014/main" id="{ECAD9D24-C230-41CD-9ED3-7D884708D38A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554" name="AutoShape 1">
          <a:extLst>
            <a:ext uri="{FF2B5EF4-FFF2-40B4-BE49-F238E27FC236}">
              <a16:creationId xmlns:a16="http://schemas.microsoft.com/office/drawing/2014/main" id="{C8A567DA-5E5C-4FC9-AB5A-B8FA5D11789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555" name="AutoShape 1">
          <a:extLst>
            <a:ext uri="{FF2B5EF4-FFF2-40B4-BE49-F238E27FC236}">
              <a16:creationId xmlns:a16="http://schemas.microsoft.com/office/drawing/2014/main" id="{6CB3113B-A46C-4297-BC6C-71905DA07983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556" name="AutoShape 1">
          <a:extLst>
            <a:ext uri="{FF2B5EF4-FFF2-40B4-BE49-F238E27FC236}">
              <a16:creationId xmlns:a16="http://schemas.microsoft.com/office/drawing/2014/main" id="{01F56979-3038-459D-A62E-EABB84548A7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557" name="AutoShape 1">
          <a:extLst>
            <a:ext uri="{FF2B5EF4-FFF2-40B4-BE49-F238E27FC236}">
              <a16:creationId xmlns:a16="http://schemas.microsoft.com/office/drawing/2014/main" id="{4EF28E9E-C414-440A-90D9-768209C8797A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558" name="AutoShape 1">
          <a:extLst>
            <a:ext uri="{FF2B5EF4-FFF2-40B4-BE49-F238E27FC236}">
              <a16:creationId xmlns:a16="http://schemas.microsoft.com/office/drawing/2014/main" id="{000E316E-7872-4255-A97F-8E99EE87D5F6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559" name="AutoShape 1">
          <a:extLst>
            <a:ext uri="{FF2B5EF4-FFF2-40B4-BE49-F238E27FC236}">
              <a16:creationId xmlns:a16="http://schemas.microsoft.com/office/drawing/2014/main" id="{44E90F66-09D0-4D96-93F4-D56FF1A041E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560" name="AutoShape 1">
          <a:extLst>
            <a:ext uri="{FF2B5EF4-FFF2-40B4-BE49-F238E27FC236}">
              <a16:creationId xmlns:a16="http://schemas.microsoft.com/office/drawing/2014/main" id="{E478F97B-16B9-4F81-92BF-C2FD4593709F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561" name="AutoShape 1">
          <a:extLst>
            <a:ext uri="{FF2B5EF4-FFF2-40B4-BE49-F238E27FC236}">
              <a16:creationId xmlns:a16="http://schemas.microsoft.com/office/drawing/2014/main" id="{1A7B1BE8-9A3A-4595-BBC0-37E12E49B49F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562" name="AutoShape 1">
          <a:extLst>
            <a:ext uri="{FF2B5EF4-FFF2-40B4-BE49-F238E27FC236}">
              <a16:creationId xmlns:a16="http://schemas.microsoft.com/office/drawing/2014/main" id="{A9706A21-5ED8-4917-8C37-1C634696B68F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563" name="AutoShape 1">
          <a:extLst>
            <a:ext uri="{FF2B5EF4-FFF2-40B4-BE49-F238E27FC236}">
              <a16:creationId xmlns:a16="http://schemas.microsoft.com/office/drawing/2014/main" id="{A285D2BE-557E-49CC-B4E2-FD13555718E1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564" name="AutoShape 1">
          <a:extLst>
            <a:ext uri="{FF2B5EF4-FFF2-40B4-BE49-F238E27FC236}">
              <a16:creationId xmlns:a16="http://schemas.microsoft.com/office/drawing/2014/main" id="{E63048A1-1108-4935-945C-8C9C3868275F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565" name="AutoShape 1">
          <a:extLst>
            <a:ext uri="{FF2B5EF4-FFF2-40B4-BE49-F238E27FC236}">
              <a16:creationId xmlns:a16="http://schemas.microsoft.com/office/drawing/2014/main" id="{396B6A4D-2457-432C-B1CD-9699AFC36C34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566" name="AutoShape 1">
          <a:extLst>
            <a:ext uri="{FF2B5EF4-FFF2-40B4-BE49-F238E27FC236}">
              <a16:creationId xmlns:a16="http://schemas.microsoft.com/office/drawing/2014/main" id="{D5B2C0A8-CBFF-4412-A13B-172886982673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567" name="AutoShape 1">
          <a:extLst>
            <a:ext uri="{FF2B5EF4-FFF2-40B4-BE49-F238E27FC236}">
              <a16:creationId xmlns:a16="http://schemas.microsoft.com/office/drawing/2014/main" id="{7534D41A-280A-47B1-85F0-E20A3DEC71BE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568" name="AutoShape 1">
          <a:extLst>
            <a:ext uri="{FF2B5EF4-FFF2-40B4-BE49-F238E27FC236}">
              <a16:creationId xmlns:a16="http://schemas.microsoft.com/office/drawing/2014/main" id="{BF14E3F3-F2DA-47A3-BDAA-7ACBB13DF977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569" name="AutoShape 1">
          <a:extLst>
            <a:ext uri="{FF2B5EF4-FFF2-40B4-BE49-F238E27FC236}">
              <a16:creationId xmlns:a16="http://schemas.microsoft.com/office/drawing/2014/main" id="{02036E35-B8C8-476E-8BFF-36E3E52A6176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570" name="AutoShape 1">
          <a:extLst>
            <a:ext uri="{FF2B5EF4-FFF2-40B4-BE49-F238E27FC236}">
              <a16:creationId xmlns:a16="http://schemas.microsoft.com/office/drawing/2014/main" id="{85CC419A-508E-4C87-9554-EA94DC820623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571" name="AutoShape 1">
          <a:extLst>
            <a:ext uri="{FF2B5EF4-FFF2-40B4-BE49-F238E27FC236}">
              <a16:creationId xmlns:a16="http://schemas.microsoft.com/office/drawing/2014/main" id="{D86C0ABC-99B2-4635-9F2C-B8F831BEABB8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572" name="AutoShape 1">
          <a:extLst>
            <a:ext uri="{FF2B5EF4-FFF2-40B4-BE49-F238E27FC236}">
              <a16:creationId xmlns:a16="http://schemas.microsoft.com/office/drawing/2014/main" id="{DFA98B40-DC97-4041-9BC8-6EDD8F7ED6CA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573" name="AutoShape 1">
          <a:extLst>
            <a:ext uri="{FF2B5EF4-FFF2-40B4-BE49-F238E27FC236}">
              <a16:creationId xmlns:a16="http://schemas.microsoft.com/office/drawing/2014/main" id="{1473F8DB-6AC8-4F0F-A4A8-F09FA00FF58F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574" name="AutoShape 1">
          <a:extLst>
            <a:ext uri="{FF2B5EF4-FFF2-40B4-BE49-F238E27FC236}">
              <a16:creationId xmlns:a16="http://schemas.microsoft.com/office/drawing/2014/main" id="{2711A2C9-4D6D-4B9D-8961-B20B8399B2B6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575" name="AutoShape 1">
          <a:extLst>
            <a:ext uri="{FF2B5EF4-FFF2-40B4-BE49-F238E27FC236}">
              <a16:creationId xmlns:a16="http://schemas.microsoft.com/office/drawing/2014/main" id="{588D795C-CF34-498D-9A68-41FABAB43239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576" name="AutoShape 1">
          <a:extLst>
            <a:ext uri="{FF2B5EF4-FFF2-40B4-BE49-F238E27FC236}">
              <a16:creationId xmlns:a16="http://schemas.microsoft.com/office/drawing/2014/main" id="{13941577-4CBF-479B-8262-104D036B34F3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577" name="AutoShape 1">
          <a:extLst>
            <a:ext uri="{FF2B5EF4-FFF2-40B4-BE49-F238E27FC236}">
              <a16:creationId xmlns:a16="http://schemas.microsoft.com/office/drawing/2014/main" id="{9E378C9A-272F-4131-9A14-9D4B50909BDC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578" name="AutoShape 1">
          <a:extLst>
            <a:ext uri="{FF2B5EF4-FFF2-40B4-BE49-F238E27FC236}">
              <a16:creationId xmlns:a16="http://schemas.microsoft.com/office/drawing/2014/main" id="{5CB4322B-B759-4530-9A36-101FBA0B698D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579" name="AutoShape 1">
          <a:extLst>
            <a:ext uri="{FF2B5EF4-FFF2-40B4-BE49-F238E27FC236}">
              <a16:creationId xmlns:a16="http://schemas.microsoft.com/office/drawing/2014/main" id="{1E0CEB94-6A2E-4C2A-B80E-01A68577F2DD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580" name="AutoShape 1">
          <a:extLst>
            <a:ext uri="{FF2B5EF4-FFF2-40B4-BE49-F238E27FC236}">
              <a16:creationId xmlns:a16="http://schemas.microsoft.com/office/drawing/2014/main" id="{91FBECA2-227C-4017-A119-8636B243E0E0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581" name="AutoShape 1">
          <a:extLst>
            <a:ext uri="{FF2B5EF4-FFF2-40B4-BE49-F238E27FC236}">
              <a16:creationId xmlns:a16="http://schemas.microsoft.com/office/drawing/2014/main" id="{A33F971F-CF2B-4AA8-9D82-CFE679E2EFDD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582" name="AutoShape 1">
          <a:extLst>
            <a:ext uri="{FF2B5EF4-FFF2-40B4-BE49-F238E27FC236}">
              <a16:creationId xmlns:a16="http://schemas.microsoft.com/office/drawing/2014/main" id="{B17B8E84-3409-4D55-9C15-627C2034CCD7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583" name="AutoShape 1">
          <a:extLst>
            <a:ext uri="{FF2B5EF4-FFF2-40B4-BE49-F238E27FC236}">
              <a16:creationId xmlns:a16="http://schemas.microsoft.com/office/drawing/2014/main" id="{14FE8574-5EB9-4433-B360-D3D9021C6DD6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584" name="AutoShape 1">
          <a:extLst>
            <a:ext uri="{FF2B5EF4-FFF2-40B4-BE49-F238E27FC236}">
              <a16:creationId xmlns:a16="http://schemas.microsoft.com/office/drawing/2014/main" id="{31F60461-7D7B-4EB5-8E8E-45532772EBD3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585" name="AutoShape 1">
          <a:extLst>
            <a:ext uri="{FF2B5EF4-FFF2-40B4-BE49-F238E27FC236}">
              <a16:creationId xmlns:a16="http://schemas.microsoft.com/office/drawing/2014/main" id="{2AADD1D0-0F69-48EB-9EBF-ECBF4F33E75D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586" name="AutoShape 1">
          <a:extLst>
            <a:ext uri="{FF2B5EF4-FFF2-40B4-BE49-F238E27FC236}">
              <a16:creationId xmlns:a16="http://schemas.microsoft.com/office/drawing/2014/main" id="{AC793142-549F-45A5-B00E-2E6729BCC970}"/>
            </a:ext>
            <a:ext uri="{147F2762-F138-4A5C-976F-8EAC2B608ADB}">
              <a16:predDERef xmlns:a16="http://schemas.microsoft.com/office/drawing/2014/main" pred="{A9C9C4DB-4B97-447C-9099-E87BCB3C537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587" name="AutoShape 1">
          <a:extLst>
            <a:ext uri="{FF2B5EF4-FFF2-40B4-BE49-F238E27FC236}">
              <a16:creationId xmlns:a16="http://schemas.microsoft.com/office/drawing/2014/main" id="{660A45D1-A973-4E79-A364-FEAB788BC481}"/>
            </a:ext>
            <a:ext uri="{147F2762-F138-4A5C-976F-8EAC2B608ADB}">
              <a16:predDERef xmlns:a16="http://schemas.microsoft.com/office/drawing/2014/main" pred="{CD89554D-BD76-42AD-819A-278AD445B86E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588" name="AutoShape 1">
          <a:extLst>
            <a:ext uri="{FF2B5EF4-FFF2-40B4-BE49-F238E27FC236}">
              <a16:creationId xmlns:a16="http://schemas.microsoft.com/office/drawing/2014/main" id="{A1F1C5AC-4C94-4C62-A1F3-BED9C2EE27A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589" name="AutoShape 1">
          <a:extLst>
            <a:ext uri="{FF2B5EF4-FFF2-40B4-BE49-F238E27FC236}">
              <a16:creationId xmlns:a16="http://schemas.microsoft.com/office/drawing/2014/main" id="{E567B4A7-BFB4-4C23-B591-C581CFBA305A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590" name="AutoShape 1">
          <a:extLst>
            <a:ext uri="{FF2B5EF4-FFF2-40B4-BE49-F238E27FC236}">
              <a16:creationId xmlns:a16="http://schemas.microsoft.com/office/drawing/2014/main" id="{0AB41228-FB1F-43B3-BB63-4D72AA95D096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591" name="AutoShape 1">
          <a:extLst>
            <a:ext uri="{FF2B5EF4-FFF2-40B4-BE49-F238E27FC236}">
              <a16:creationId xmlns:a16="http://schemas.microsoft.com/office/drawing/2014/main" id="{004BA908-A90F-4C10-AABA-50A8CDE0064B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592" name="AutoShape 1">
          <a:extLst>
            <a:ext uri="{FF2B5EF4-FFF2-40B4-BE49-F238E27FC236}">
              <a16:creationId xmlns:a16="http://schemas.microsoft.com/office/drawing/2014/main" id="{8374F6CD-54D6-4196-B496-318E63CE5C6E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593" name="AutoShape 1">
          <a:extLst>
            <a:ext uri="{FF2B5EF4-FFF2-40B4-BE49-F238E27FC236}">
              <a16:creationId xmlns:a16="http://schemas.microsoft.com/office/drawing/2014/main" id="{AE93DAF5-C831-40F9-8BE3-B91BDC568A13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594" name="AutoShape 1">
          <a:extLst>
            <a:ext uri="{FF2B5EF4-FFF2-40B4-BE49-F238E27FC236}">
              <a16:creationId xmlns:a16="http://schemas.microsoft.com/office/drawing/2014/main" id="{1D8DF690-196A-4AF3-AAB1-47C87688EA46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595" name="AutoShape 1">
          <a:extLst>
            <a:ext uri="{FF2B5EF4-FFF2-40B4-BE49-F238E27FC236}">
              <a16:creationId xmlns:a16="http://schemas.microsoft.com/office/drawing/2014/main" id="{02F8DEA1-1B04-4640-BED4-BED5B269C94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596" name="AutoShape 1">
          <a:extLst>
            <a:ext uri="{FF2B5EF4-FFF2-40B4-BE49-F238E27FC236}">
              <a16:creationId xmlns:a16="http://schemas.microsoft.com/office/drawing/2014/main" id="{9B7C377A-33C8-4C00-B3A3-AA4C19C39E7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597" name="AutoShape 1">
          <a:extLst>
            <a:ext uri="{FF2B5EF4-FFF2-40B4-BE49-F238E27FC236}">
              <a16:creationId xmlns:a16="http://schemas.microsoft.com/office/drawing/2014/main" id="{3D0B773F-972D-42C6-8004-6896481C7107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598" name="AutoShape 1">
          <a:extLst>
            <a:ext uri="{FF2B5EF4-FFF2-40B4-BE49-F238E27FC236}">
              <a16:creationId xmlns:a16="http://schemas.microsoft.com/office/drawing/2014/main" id="{1F8463E5-E6A6-4681-8D72-1E908035D00C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599" name="AutoShape 1">
          <a:extLst>
            <a:ext uri="{FF2B5EF4-FFF2-40B4-BE49-F238E27FC236}">
              <a16:creationId xmlns:a16="http://schemas.microsoft.com/office/drawing/2014/main" id="{C92BB75B-8556-4B96-93B5-BBF60B201113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600" name="AutoShape 1">
          <a:extLst>
            <a:ext uri="{FF2B5EF4-FFF2-40B4-BE49-F238E27FC236}">
              <a16:creationId xmlns:a16="http://schemas.microsoft.com/office/drawing/2014/main" id="{77DF063B-5BA4-4777-92F3-D0B2B0E3F62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601" name="AutoShape 1">
          <a:extLst>
            <a:ext uri="{FF2B5EF4-FFF2-40B4-BE49-F238E27FC236}">
              <a16:creationId xmlns:a16="http://schemas.microsoft.com/office/drawing/2014/main" id="{7DC64923-005C-4541-A301-0B1ED4DDEE2C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602" name="AutoShape 1">
          <a:extLst>
            <a:ext uri="{FF2B5EF4-FFF2-40B4-BE49-F238E27FC236}">
              <a16:creationId xmlns:a16="http://schemas.microsoft.com/office/drawing/2014/main" id="{B91EC783-3C79-4CC8-8AEF-C028D0568EDA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603" name="AutoShape 1">
          <a:extLst>
            <a:ext uri="{FF2B5EF4-FFF2-40B4-BE49-F238E27FC236}">
              <a16:creationId xmlns:a16="http://schemas.microsoft.com/office/drawing/2014/main" id="{67EECDBE-5849-4E68-B062-E42C253C6451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604" name="AutoShape 1">
          <a:extLst>
            <a:ext uri="{FF2B5EF4-FFF2-40B4-BE49-F238E27FC236}">
              <a16:creationId xmlns:a16="http://schemas.microsoft.com/office/drawing/2014/main" id="{1357578E-FFD7-4C25-B914-64193F39CD7E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605" name="AutoShape 1">
          <a:extLst>
            <a:ext uri="{FF2B5EF4-FFF2-40B4-BE49-F238E27FC236}">
              <a16:creationId xmlns:a16="http://schemas.microsoft.com/office/drawing/2014/main" id="{7317582C-B962-4EF3-8F4F-96A655B8E7F3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606" name="AutoShape 1">
          <a:extLst>
            <a:ext uri="{FF2B5EF4-FFF2-40B4-BE49-F238E27FC236}">
              <a16:creationId xmlns:a16="http://schemas.microsoft.com/office/drawing/2014/main" id="{C9E66C78-7EA8-4ACB-AA9E-E89DF45DE407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607" name="AutoShape 1">
          <a:extLst>
            <a:ext uri="{FF2B5EF4-FFF2-40B4-BE49-F238E27FC236}">
              <a16:creationId xmlns:a16="http://schemas.microsoft.com/office/drawing/2014/main" id="{246A6DAC-45D3-422D-BEF0-E28D88B4B71C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608" name="AutoShape 1">
          <a:extLst>
            <a:ext uri="{FF2B5EF4-FFF2-40B4-BE49-F238E27FC236}">
              <a16:creationId xmlns:a16="http://schemas.microsoft.com/office/drawing/2014/main" id="{E88C92D6-1E7E-4165-BE88-69B4080A0FFE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609" name="AutoShape 1">
          <a:extLst>
            <a:ext uri="{FF2B5EF4-FFF2-40B4-BE49-F238E27FC236}">
              <a16:creationId xmlns:a16="http://schemas.microsoft.com/office/drawing/2014/main" id="{6C9D2F4A-65AA-48E9-B71C-EFE9CF65E39A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610" name="AutoShape 1">
          <a:extLst>
            <a:ext uri="{FF2B5EF4-FFF2-40B4-BE49-F238E27FC236}">
              <a16:creationId xmlns:a16="http://schemas.microsoft.com/office/drawing/2014/main" id="{BC91C102-A3BC-4EE6-BEE3-49CC23D942D6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611" name="AutoShape 1">
          <a:extLst>
            <a:ext uri="{FF2B5EF4-FFF2-40B4-BE49-F238E27FC236}">
              <a16:creationId xmlns:a16="http://schemas.microsoft.com/office/drawing/2014/main" id="{CDD066EE-68F1-427E-AEC0-BF82FB2962CA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612" name="AutoShape 1">
          <a:extLst>
            <a:ext uri="{FF2B5EF4-FFF2-40B4-BE49-F238E27FC236}">
              <a16:creationId xmlns:a16="http://schemas.microsoft.com/office/drawing/2014/main" id="{8174FFFB-61DD-4BB4-B412-E3A1BB4DB21D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613" name="AutoShape 1">
          <a:extLst>
            <a:ext uri="{FF2B5EF4-FFF2-40B4-BE49-F238E27FC236}">
              <a16:creationId xmlns:a16="http://schemas.microsoft.com/office/drawing/2014/main" id="{7BF98A1A-0E09-4648-A4E2-99C7D17F94EE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614" name="AutoShape 1">
          <a:extLst>
            <a:ext uri="{FF2B5EF4-FFF2-40B4-BE49-F238E27FC236}">
              <a16:creationId xmlns:a16="http://schemas.microsoft.com/office/drawing/2014/main" id="{3D25599C-B5D8-4C54-AC76-7B574107CA7E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615" name="AutoShape 1">
          <a:extLst>
            <a:ext uri="{FF2B5EF4-FFF2-40B4-BE49-F238E27FC236}">
              <a16:creationId xmlns:a16="http://schemas.microsoft.com/office/drawing/2014/main" id="{FDF3CD9D-9C99-4E62-9CA3-FBE9C805BBE3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616" name="AutoShape 1">
          <a:extLst>
            <a:ext uri="{FF2B5EF4-FFF2-40B4-BE49-F238E27FC236}">
              <a16:creationId xmlns:a16="http://schemas.microsoft.com/office/drawing/2014/main" id="{9DFC57C4-23D4-4CAD-BBE7-880ABA6BC1C4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617" name="AutoShape 1">
          <a:extLst>
            <a:ext uri="{FF2B5EF4-FFF2-40B4-BE49-F238E27FC236}">
              <a16:creationId xmlns:a16="http://schemas.microsoft.com/office/drawing/2014/main" id="{72EAFA64-CC30-4937-9FCB-5E10FC1C25D0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618" name="AutoShape 1">
          <a:extLst>
            <a:ext uri="{FF2B5EF4-FFF2-40B4-BE49-F238E27FC236}">
              <a16:creationId xmlns:a16="http://schemas.microsoft.com/office/drawing/2014/main" id="{7A1BE392-631C-4E39-98F1-4AD92DC32E0E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619" name="AutoShape 1">
          <a:extLst>
            <a:ext uri="{FF2B5EF4-FFF2-40B4-BE49-F238E27FC236}">
              <a16:creationId xmlns:a16="http://schemas.microsoft.com/office/drawing/2014/main" id="{4C483315-C2A0-458B-8426-FE9E2B307625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620" name="AutoShape 1">
          <a:extLst>
            <a:ext uri="{FF2B5EF4-FFF2-40B4-BE49-F238E27FC236}">
              <a16:creationId xmlns:a16="http://schemas.microsoft.com/office/drawing/2014/main" id="{23028B7E-921D-4D51-967F-E70A8765D245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621" name="AutoShape 1">
          <a:extLst>
            <a:ext uri="{FF2B5EF4-FFF2-40B4-BE49-F238E27FC236}">
              <a16:creationId xmlns:a16="http://schemas.microsoft.com/office/drawing/2014/main" id="{9C580A7E-643C-4EB7-8AE1-A36D5457AF35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622" name="AutoShape 1">
          <a:extLst>
            <a:ext uri="{FF2B5EF4-FFF2-40B4-BE49-F238E27FC236}">
              <a16:creationId xmlns:a16="http://schemas.microsoft.com/office/drawing/2014/main" id="{C39ECAC4-E801-4F2C-840C-D6F8FE046905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623" name="AutoShape 1">
          <a:extLst>
            <a:ext uri="{FF2B5EF4-FFF2-40B4-BE49-F238E27FC236}">
              <a16:creationId xmlns:a16="http://schemas.microsoft.com/office/drawing/2014/main" id="{B77FDC8C-4092-460D-A56E-3A5BFF074258}"/>
            </a:ext>
            <a:ext uri="{147F2762-F138-4A5C-976F-8EAC2B608ADB}">
              <a16:predDERef xmlns:a16="http://schemas.microsoft.com/office/drawing/2014/main" pred="{A9C9C4DB-4B97-447C-9099-E87BCB3C537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624" name="AutoShape 1">
          <a:extLst>
            <a:ext uri="{FF2B5EF4-FFF2-40B4-BE49-F238E27FC236}">
              <a16:creationId xmlns:a16="http://schemas.microsoft.com/office/drawing/2014/main" id="{CC6FCC82-FED7-428D-9725-CA7526B8F795}"/>
            </a:ext>
            <a:ext uri="{147F2762-F138-4A5C-976F-8EAC2B608ADB}">
              <a16:predDERef xmlns:a16="http://schemas.microsoft.com/office/drawing/2014/main" pred="{CD89554D-BD76-42AD-819A-278AD445B86E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625" name="AutoShape 1">
          <a:extLst>
            <a:ext uri="{FF2B5EF4-FFF2-40B4-BE49-F238E27FC236}">
              <a16:creationId xmlns:a16="http://schemas.microsoft.com/office/drawing/2014/main" id="{BEBE1883-04CF-4F56-BA99-60F086CCACF6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626" name="AutoShape 1">
          <a:extLst>
            <a:ext uri="{FF2B5EF4-FFF2-40B4-BE49-F238E27FC236}">
              <a16:creationId xmlns:a16="http://schemas.microsoft.com/office/drawing/2014/main" id="{803785AA-698F-452C-A7C5-0A26B04A4F9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627" name="AutoShape 1">
          <a:extLst>
            <a:ext uri="{FF2B5EF4-FFF2-40B4-BE49-F238E27FC236}">
              <a16:creationId xmlns:a16="http://schemas.microsoft.com/office/drawing/2014/main" id="{9EE5E1BA-489A-466A-AD6E-9E0FB0CCC36F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628" name="AutoShape 1">
          <a:extLst>
            <a:ext uri="{FF2B5EF4-FFF2-40B4-BE49-F238E27FC236}">
              <a16:creationId xmlns:a16="http://schemas.microsoft.com/office/drawing/2014/main" id="{FA2FCC00-4917-4B83-82CF-CC55E1FBD8E9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629" name="AutoShape 1">
          <a:extLst>
            <a:ext uri="{FF2B5EF4-FFF2-40B4-BE49-F238E27FC236}">
              <a16:creationId xmlns:a16="http://schemas.microsoft.com/office/drawing/2014/main" id="{2DDBE5FE-022B-4055-B5CF-760A09459324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630" name="AutoShape 1">
          <a:extLst>
            <a:ext uri="{FF2B5EF4-FFF2-40B4-BE49-F238E27FC236}">
              <a16:creationId xmlns:a16="http://schemas.microsoft.com/office/drawing/2014/main" id="{E9761E16-18FC-41EE-B07F-A13C86EABC94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631" name="AutoShape 1">
          <a:extLst>
            <a:ext uri="{FF2B5EF4-FFF2-40B4-BE49-F238E27FC236}">
              <a16:creationId xmlns:a16="http://schemas.microsoft.com/office/drawing/2014/main" id="{51B5EE91-B2D7-4DB9-A64A-69CC49BA9B6E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632" name="AutoShape 1">
          <a:extLst>
            <a:ext uri="{FF2B5EF4-FFF2-40B4-BE49-F238E27FC236}">
              <a16:creationId xmlns:a16="http://schemas.microsoft.com/office/drawing/2014/main" id="{B9CE2793-7778-42D5-AF8B-C889F2FE8F2C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633" name="AutoShape 1">
          <a:extLst>
            <a:ext uri="{FF2B5EF4-FFF2-40B4-BE49-F238E27FC236}">
              <a16:creationId xmlns:a16="http://schemas.microsoft.com/office/drawing/2014/main" id="{62BC814B-F5A9-4166-83E4-D8FF5AC2AD4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634" name="AutoShape 1">
          <a:extLst>
            <a:ext uri="{FF2B5EF4-FFF2-40B4-BE49-F238E27FC236}">
              <a16:creationId xmlns:a16="http://schemas.microsoft.com/office/drawing/2014/main" id="{4F45FCA7-10E4-4F7A-B5D5-C0E358AD74EA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635" name="AutoShape 1">
          <a:extLst>
            <a:ext uri="{FF2B5EF4-FFF2-40B4-BE49-F238E27FC236}">
              <a16:creationId xmlns:a16="http://schemas.microsoft.com/office/drawing/2014/main" id="{3D93F3B7-0113-41CC-9431-DB694243A0E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636" name="AutoShape 1">
          <a:extLst>
            <a:ext uri="{FF2B5EF4-FFF2-40B4-BE49-F238E27FC236}">
              <a16:creationId xmlns:a16="http://schemas.microsoft.com/office/drawing/2014/main" id="{87DA3294-55A8-4819-BDEB-7D45A6424E8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637" name="AutoShape 1">
          <a:extLst>
            <a:ext uri="{FF2B5EF4-FFF2-40B4-BE49-F238E27FC236}">
              <a16:creationId xmlns:a16="http://schemas.microsoft.com/office/drawing/2014/main" id="{8F37EA6D-8F73-4C8B-B462-161449FDAFE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638" name="AutoShape 1">
          <a:extLst>
            <a:ext uri="{FF2B5EF4-FFF2-40B4-BE49-F238E27FC236}">
              <a16:creationId xmlns:a16="http://schemas.microsoft.com/office/drawing/2014/main" id="{B2A7EEFC-F4AF-4AC9-B6C0-64CF6AF1B011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639" name="AutoShape 1">
          <a:extLst>
            <a:ext uri="{FF2B5EF4-FFF2-40B4-BE49-F238E27FC236}">
              <a16:creationId xmlns:a16="http://schemas.microsoft.com/office/drawing/2014/main" id="{6913B2E9-9B1F-4C57-95D9-AFB747B51D7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640" name="AutoShape 1">
          <a:extLst>
            <a:ext uri="{FF2B5EF4-FFF2-40B4-BE49-F238E27FC236}">
              <a16:creationId xmlns:a16="http://schemas.microsoft.com/office/drawing/2014/main" id="{1C78BE89-7E2B-491A-8644-DB01486E456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641" name="AutoShape 1">
          <a:extLst>
            <a:ext uri="{FF2B5EF4-FFF2-40B4-BE49-F238E27FC236}">
              <a16:creationId xmlns:a16="http://schemas.microsoft.com/office/drawing/2014/main" id="{F067CEDC-1299-41A2-BB94-AE521939CF31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642" name="AutoShape 1">
          <a:extLst>
            <a:ext uri="{FF2B5EF4-FFF2-40B4-BE49-F238E27FC236}">
              <a16:creationId xmlns:a16="http://schemas.microsoft.com/office/drawing/2014/main" id="{C666ACD6-B801-4BAA-9049-BD7DE29732EA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643" name="AutoShape 1">
          <a:extLst>
            <a:ext uri="{FF2B5EF4-FFF2-40B4-BE49-F238E27FC236}">
              <a16:creationId xmlns:a16="http://schemas.microsoft.com/office/drawing/2014/main" id="{8A7EE8AE-3572-4954-8D84-61B57461AF5A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644" name="AutoShape 1">
          <a:extLst>
            <a:ext uri="{FF2B5EF4-FFF2-40B4-BE49-F238E27FC236}">
              <a16:creationId xmlns:a16="http://schemas.microsoft.com/office/drawing/2014/main" id="{7496336C-C031-4D79-B6BE-BF80246C76F8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645" name="AutoShape 1">
          <a:extLst>
            <a:ext uri="{FF2B5EF4-FFF2-40B4-BE49-F238E27FC236}">
              <a16:creationId xmlns:a16="http://schemas.microsoft.com/office/drawing/2014/main" id="{57C42BD1-BFC0-4985-A3E0-0B9C126DC1B7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646" name="AutoShape 1">
          <a:extLst>
            <a:ext uri="{FF2B5EF4-FFF2-40B4-BE49-F238E27FC236}">
              <a16:creationId xmlns:a16="http://schemas.microsoft.com/office/drawing/2014/main" id="{02D9126F-F3DA-435A-9D51-5FB5622B9EEA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647" name="AutoShape 1">
          <a:extLst>
            <a:ext uri="{FF2B5EF4-FFF2-40B4-BE49-F238E27FC236}">
              <a16:creationId xmlns:a16="http://schemas.microsoft.com/office/drawing/2014/main" id="{0FA81841-288F-4E03-AEE1-08B19AB35AB8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648" name="AutoShape 1">
          <a:extLst>
            <a:ext uri="{FF2B5EF4-FFF2-40B4-BE49-F238E27FC236}">
              <a16:creationId xmlns:a16="http://schemas.microsoft.com/office/drawing/2014/main" id="{8538C680-F7DB-4D13-A450-067F17084FCE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649" name="AutoShape 1">
          <a:extLst>
            <a:ext uri="{FF2B5EF4-FFF2-40B4-BE49-F238E27FC236}">
              <a16:creationId xmlns:a16="http://schemas.microsoft.com/office/drawing/2014/main" id="{A4550B80-02D2-48C4-9371-F1D6D96E7A9B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650" name="AutoShape 1">
          <a:extLst>
            <a:ext uri="{FF2B5EF4-FFF2-40B4-BE49-F238E27FC236}">
              <a16:creationId xmlns:a16="http://schemas.microsoft.com/office/drawing/2014/main" id="{444275B7-FB71-4D34-86EA-C23848C9480D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651" name="AutoShape 1">
          <a:extLst>
            <a:ext uri="{FF2B5EF4-FFF2-40B4-BE49-F238E27FC236}">
              <a16:creationId xmlns:a16="http://schemas.microsoft.com/office/drawing/2014/main" id="{F062BCAB-C76A-4E39-BF55-215F603615A2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652" name="AutoShape 1">
          <a:extLst>
            <a:ext uri="{FF2B5EF4-FFF2-40B4-BE49-F238E27FC236}">
              <a16:creationId xmlns:a16="http://schemas.microsoft.com/office/drawing/2014/main" id="{2CBE4CB2-7F27-4BA3-9AE5-F7C9ED85B35B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653" name="AutoShape 1">
          <a:extLst>
            <a:ext uri="{FF2B5EF4-FFF2-40B4-BE49-F238E27FC236}">
              <a16:creationId xmlns:a16="http://schemas.microsoft.com/office/drawing/2014/main" id="{FFCB313C-D3EE-4C11-A1E9-C1D3C4792BEA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654" name="AutoShape 1">
          <a:extLst>
            <a:ext uri="{FF2B5EF4-FFF2-40B4-BE49-F238E27FC236}">
              <a16:creationId xmlns:a16="http://schemas.microsoft.com/office/drawing/2014/main" id="{F842F553-1C2B-4240-9732-0AABA267AC54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655" name="AutoShape 1">
          <a:extLst>
            <a:ext uri="{FF2B5EF4-FFF2-40B4-BE49-F238E27FC236}">
              <a16:creationId xmlns:a16="http://schemas.microsoft.com/office/drawing/2014/main" id="{F92074CC-EF5F-499C-9E9D-36E824DD86BA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656" name="AutoShape 1">
          <a:extLst>
            <a:ext uri="{FF2B5EF4-FFF2-40B4-BE49-F238E27FC236}">
              <a16:creationId xmlns:a16="http://schemas.microsoft.com/office/drawing/2014/main" id="{701E8D58-1136-4101-9A7B-BA0EA843EBD5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657" name="AutoShape 1">
          <a:extLst>
            <a:ext uri="{FF2B5EF4-FFF2-40B4-BE49-F238E27FC236}">
              <a16:creationId xmlns:a16="http://schemas.microsoft.com/office/drawing/2014/main" id="{36A325E8-7E07-458D-AFAD-6BAC8B69E966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658" name="AutoShape 1">
          <a:extLst>
            <a:ext uri="{FF2B5EF4-FFF2-40B4-BE49-F238E27FC236}">
              <a16:creationId xmlns:a16="http://schemas.microsoft.com/office/drawing/2014/main" id="{9375E516-4D95-4DD3-A71A-159F04BD8430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659" name="AutoShape 1">
          <a:extLst>
            <a:ext uri="{FF2B5EF4-FFF2-40B4-BE49-F238E27FC236}">
              <a16:creationId xmlns:a16="http://schemas.microsoft.com/office/drawing/2014/main" id="{51BB8253-65C5-45F5-827A-D8623F162005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660" name="AutoShape 1">
          <a:extLst>
            <a:ext uri="{FF2B5EF4-FFF2-40B4-BE49-F238E27FC236}">
              <a16:creationId xmlns:a16="http://schemas.microsoft.com/office/drawing/2014/main" id="{AA37B77A-75CC-40A1-B56C-ABF42D69C477}"/>
            </a:ext>
            <a:ext uri="{147F2762-F138-4A5C-976F-8EAC2B608ADB}">
              <a16:predDERef xmlns:a16="http://schemas.microsoft.com/office/drawing/2014/main" pred="{A9C9C4DB-4B97-447C-9099-E87BCB3C537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661" name="AutoShape 1">
          <a:extLst>
            <a:ext uri="{FF2B5EF4-FFF2-40B4-BE49-F238E27FC236}">
              <a16:creationId xmlns:a16="http://schemas.microsoft.com/office/drawing/2014/main" id="{5FB4D28F-5B3F-45AB-9AC2-AA76DEE46210}"/>
            </a:ext>
            <a:ext uri="{147F2762-F138-4A5C-976F-8EAC2B608ADB}">
              <a16:predDERef xmlns:a16="http://schemas.microsoft.com/office/drawing/2014/main" pred="{CD89554D-BD76-42AD-819A-278AD445B86E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662" name="AutoShape 1">
          <a:extLst>
            <a:ext uri="{FF2B5EF4-FFF2-40B4-BE49-F238E27FC236}">
              <a16:creationId xmlns:a16="http://schemas.microsoft.com/office/drawing/2014/main" id="{9BE3EC01-C7FC-4A02-9B92-D31025D63F2B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663" name="AutoShape 1">
          <a:extLst>
            <a:ext uri="{FF2B5EF4-FFF2-40B4-BE49-F238E27FC236}">
              <a16:creationId xmlns:a16="http://schemas.microsoft.com/office/drawing/2014/main" id="{F3300F2C-476F-4ABF-8A26-E80FDFCF995B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664" name="AutoShape 1">
          <a:extLst>
            <a:ext uri="{FF2B5EF4-FFF2-40B4-BE49-F238E27FC236}">
              <a16:creationId xmlns:a16="http://schemas.microsoft.com/office/drawing/2014/main" id="{FFEAD913-6792-4BE1-AF3A-1BC54C091054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665" name="AutoShape 1">
          <a:extLst>
            <a:ext uri="{FF2B5EF4-FFF2-40B4-BE49-F238E27FC236}">
              <a16:creationId xmlns:a16="http://schemas.microsoft.com/office/drawing/2014/main" id="{F8B97E77-C1F4-4874-AC89-E15188910DA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666" name="AutoShape 1">
          <a:extLst>
            <a:ext uri="{FF2B5EF4-FFF2-40B4-BE49-F238E27FC236}">
              <a16:creationId xmlns:a16="http://schemas.microsoft.com/office/drawing/2014/main" id="{C1D6AA4C-677E-4648-B32F-D3A266E7698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667" name="AutoShape 1">
          <a:extLst>
            <a:ext uri="{FF2B5EF4-FFF2-40B4-BE49-F238E27FC236}">
              <a16:creationId xmlns:a16="http://schemas.microsoft.com/office/drawing/2014/main" id="{0C0FC1AB-7979-45E0-93EE-1924438E9D0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668" name="AutoShape 1">
          <a:extLst>
            <a:ext uri="{FF2B5EF4-FFF2-40B4-BE49-F238E27FC236}">
              <a16:creationId xmlns:a16="http://schemas.microsoft.com/office/drawing/2014/main" id="{F49924DA-348D-4DAB-ABA1-841DCE11FEA6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669" name="AutoShape 1">
          <a:extLst>
            <a:ext uri="{FF2B5EF4-FFF2-40B4-BE49-F238E27FC236}">
              <a16:creationId xmlns:a16="http://schemas.microsoft.com/office/drawing/2014/main" id="{BD5A061D-F094-4444-8793-BB686A559D5F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670" name="AutoShape 1">
          <a:extLst>
            <a:ext uri="{FF2B5EF4-FFF2-40B4-BE49-F238E27FC236}">
              <a16:creationId xmlns:a16="http://schemas.microsoft.com/office/drawing/2014/main" id="{BACA7774-79BA-41B3-A4AA-B40DB07E3B71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671" name="AutoShape 1">
          <a:extLst>
            <a:ext uri="{FF2B5EF4-FFF2-40B4-BE49-F238E27FC236}">
              <a16:creationId xmlns:a16="http://schemas.microsoft.com/office/drawing/2014/main" id="{1EADDAB2-4738-4C15-86BB-2E4D82C7972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672" name="AutoShape 1">
          <a:extLst>
            <a:ext uri="{FF2B5EF4-FFF2-40B4-BE49-F238E27FC236}">
              <a16:creationId xmlns:a16="http://schemas.microsoft.com/office/drawing/2014/main" id="{E5EC3D09-8961-466C-838C-86BE49AB3097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673" name="AutoShape 1">
          <a:extLst>
            <a:ext uri="{FF2B5EF4-FFF2-40B4-BE49-F238E27FC236}">
              <a16:creationId xmlns:a16="http://schemas.microsoft.com/office/drawing/2014/main" id="{2F156576-B657-46A9-8173-A039758D11E3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674" name="AutoShape 1">
          <a:extLst>
            <a:ext uri="{FF2B5EF4-FFF2-40B4-BE49-F238E27FC236}">
              <a16:creationId xmlns:a16="http://schemas.microsoft.com/office/drawing/2014/main" id="{1366EBEE-5C7D-4914-8B3D-FB5EAEC1D7D4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675" name="AutoShape 1">
          <a:extLst>
            <a:ext uri="{FF2B5EF4-FFF2-40B4-BE49-F238E27FC236}">
              <a16:creationId xmlns:a16="http://schemas.microsoft.com/office/drawing/2014/main" id="{5EE4BA47-8645-4DEB-8B0A-70B2B04DB11A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676" name="AutoShape 1">
          <a:extLst>
            <a:ext uri="{FF2B5EF4-FFF2-40B4-BE49-F238E27FC236}">
              <a16:creationId xmlns:a16="http://schemas.microsoft.com/office/drawing/2014/main" id="{8441DA4D-66EC-459E-A570-E57F2EA91A4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677" name="AutoShape 1">
          <a:extLst>
            <a:ext uri="{FF2B5EF4-FFF2-40B4-BE49-F238E27FC236}">
              <a16:creationId xmlns:a16="http://schemas.microsoft.com/office/drawing/2014/main" id="{DDA6A371-CF5B-405B-8414-2C0F7D724C4C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678" name="AutoShape 1">
          <a:extLst>
            <a:ext uri="{FF2B5EF4-FFF2-40B4-BE49-F238E27FC236}">
              <a16:creationId xmlns:a16="http://schemas.microsoft.com/office/drawing/2014/main" id="{B6F4A73A-3DF0-4194-A04D-117B1A9273D1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679" name="AutoShape 1">
          <a:extLst>
            <a:ext uri="{FF2B5EF4-FFF2-40B4-BE49-F238E27FC236}">
              <a16:creationId xmlns:a16="http://schemas.microsoft.com/office/drawing/2014/main" id="{330CF6B7-D02E-4F64-B402-AAFC7311BC5F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680" name="AutoShape 1">
          <a:extLst>
            <a:ext uri="{FF2B5EF4-FFF2-40B4-BE49-F238E27FC236}">
              <a16:creationId xmlns:a16="http://schemas.microsoft.com/office/drawing/2014/main" id="{031A153A-56BE-4C69-A285-DD5BEA90D834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681" name="AutoShape 1">
          <a:extLst>
            <a:ext uri="{FF2B5EF4-FFF2-40B4-BE49-F238E27FC236}">
              <a16:creationId xmlns:a16="http://schemas.microsoft.com/office/drawing/2014/main" id="{73DE8CB0-DD91-40FC-8FD2-A61BC825A8D9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682" name="AutoShape 1">
          <a:extLst>
            <a:ext uri="{FF2B5EF4-FFF2-40B4-BE49-F238E27FC236}">
              <a16:creationId xmlns:a16="http://schemas.microsoft.com/office/drawing/2014/main" id="{EF746709-87A5-488D-B2DB-CB88A5082BCF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683" name="AutoShape 1">
          <a:extLst>
            <a:ext uri="{FF2B5EF4-FFF2-40B4-BE49-F238E27FC236}">
              <a16:creationId xmlns:a16="http://schemas.microsoft.com/office/drawing/2014/main" id="{BF4EB028-0D61-4207-BA8E-442C5A115CF7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684" name="AutoShape 1">
          <a:extLst>
            <a:ext uri="{FF2B5EF4-FFF2-40B4-BE49-F238E27FC236}">
              <a16:creationId xmlns:a16="http://schemas.microsoft.com/office/drawing/2014/main" id="{4CAAD486-3324-4069-BC06-B91A8DCAA620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685" name="AutoShape 1">
          <a:extLst>
            <a:ext uri="{FF2B5EF4-FFF2-40B4-BE49-F238E27FC236}">
              <a16:creationId xmlns:a16="http://schemas.microsoft.com/office/drawing/2014/main" id="{C8587584-2E80-42B5-AE60-FAA4DD3E0784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686" name="AutoShape 1">
          <a:extLst>
            <a:ext uri="{FF2B5EF4-FFF2-40B4-BE49-F238E27FC236}">
              <a16:creationId xmlns:a16="http://schemas.microsoft.com/office/drawing/2014/main" id="{0C4ABFDC-723B-457E-9B47-DA2AD8F61032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687" name="AutoShape 1">
          <a:extLst>
            <a:ext uri="{FF2B5EF4-FFF2-40B4-BE49-F238E27FC236}">
              <a16:creationId xmlns:a16="http://schemas.microsoft.com/office/drawing/2014/main" id="{252FA261-21B4-4669-9FBD-011A75D44A35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688" name="AutoShape 1">
          <a:extLst>
            <a:ext uri="{FF2B5EF4-FFF2-40B4-BE49-F238E27FC236}">
              <a16:creationId xmlns:a16="http://schemas.microsoft.com/office/drawing/2014/main" id="{4B1C36F5-D21C-4613-A468-6F349D9A8859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689" name="AutoShape 1">
          <a:extLst>
            <a:ext uri="{FF2B5EF4-FFF2-40B4-BE49-F238E27FC236}">
              <a16:creationId xmlns:a16="http://schemas.microsoft.com/office/drawing/2014/main" id="{63E1E504-0E8E-4E12-ADC8-D422F9BD9682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690" name="AutoShape 1">
          <a:extLst>
            <a:ext uri="{FF2B5EF4-FFF2-40B4-BE49-F238E27FC236}">
              <a16:creationId xmlns:a16="http://schemas.microsoft.com/office/drawing/2014/main" id="{7A73350D-EE45-4F8A-8247-675F3155E74E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691" name="AutoShape 1">
          <a:extLst>
            <a:ext uri="{FF2B5EF4-FFF2-40B4-BE49-F238E27FC236}">
              <a16:creationId xmlns:a16="http://schemas.microsoft.com/office/drawing/2014/main" id="{F24C85D2-0FF7-4857-AC93-19A8318BA80E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692" name="AutoShape 1">
          <a:extLst>
            <a:ext uri="{FF2B5EF4-FFF2-40B4-BE49-F238E27FC236}">
              <a16:creationId xmlns:a16="http://schemas.microsoft.com/office/drawing/2014/main" id="{17DFE9E9-119D-4EFB-99FD-8E6CDDB54F0A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693" name="AutoShape 1">
          <a:extLst>
            <a:ext uri="{FF2B5EF4-FFF2-40B4-BE49-F238E27FC236}">
              <a16:creationId xmlns:a16="http://schemas.microsoft.com/office/drawing/2014/main" id="{2ECCA23F-3E69-4D78-A8C0-1A6EEFF0EEB9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694" name="AutoShape 1">
          <a:extLst>
            <a:ext uri="{FF2B5EF4-FFF2-40B4-BE49-F238E27FC236}">
              <a16:creationId xmlns:a16="http://schemas.microsoft.com/office/drawing/2014/main" id="{BE4AE768-4479-44C8-9079-92D144BC1DC1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695" name="AutoShape 1">
          <a:extLst>
            <a:ext uri="{FF2B5EF4-FFF2-40B4-BE49-F238E27FC236}">
              <a16:creationId xmlns:a16="http://schemas.microsoft.com/office/drawing/2014/main" id="{3D328DB6-4BA4-44C3-BED3-8A26798F2280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696" name="AutoShape 1">
          <a:extLst>
            <a:ext uri="{FF2B5EF4-FFF2-40B4-BE49-F238E27FC236}">
              <a16:creationId xmlns:a16="http://schemas.microsoft.com/office/drawing/2014/main" id="{A76B5ED3-A225-4836-BC25-A3B17778AA54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697" name="AutoShape 1">
          <a:extLst>
            <a:ext uri="{FF2B5EF4-FFF2-40B4-BE49-F238E27FC236}">
              <a16:creationId xmlns:a16="http://schemas.microsoft.com/office/drawing/2014/main" id="{6EFA1D8B-B321-42DC-A6D4-2FCD26941AD2}"/>
            </a:ext>
            <a:ext uri="{147F2762-F138-4A5C-976F-8EAC2B608ADB}">
              <a16:predDERef xmlns:a16="http://schemas.microsoft.com/office/drawing/2014/main" pred="{A9C9C4DB-4B97-447C-9099-E87BCB3C537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617</xdr:row>
      <xdr:rowOff>0</xdr:rowOff>
    </xdr:from>
    <xdr:ext cx="304800" cy="304800"/>
    <xdr:sp macro="" textlink="">
      <xdr:nvSpPr>
        <xdr:cNvPr id="1698" name="AutoShape 1">
          <a:extLst>
            <a:ext uri="{FF2B5EF4-FFF2-40B4-BE49-F238E27FC236}">
              <a16:creationId xmlns:a16="http://schemas.microsoft.com/office/drawing/2014/main" id="{DC745846-B883-400D-AF1E-E6326098C2F4}"/>
            </a:ext>
            <a:ext uri="{147F2762-F138-4A5C-976F-8EAC2B608ADB}">
              <a16:predDERef xmlns:a16="http://schemas.microsoft.com/office/drawing/2014/main" pred="{CD89554D-BD76-42AD-819A-278AD445B86E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7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646</xdr:row>
      <xdr:rowOff>0</xdr:rowOff>
    </xdr:from>
    <xdr:ext cx="304800" cy="304800"/>
    <xdr:sp macro="" textlink="">
      <xdr:nvSpPr>
        <xdr:cNvPr id="1699" name="AutoShape 1">
          <a:extLst>
            <a:ext uri="{FF2B5EF4-FFF2-40B4-BE49-F238E27FC236}">
              <a16:creationId xmlns:a16="http://schemas.microsoft.com/office/drawing/2014/main" id="{CEA1A601-70B7-4140-8D4C-36099CFB3C49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350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646</xdr:row>
      <xdr:rowOff>0</xdr:rowOff>
    </xdr:from>
    <xdr:ext cx="304800" cy="304800"/>
    <xdr:sp macro="" textlink="">
      <xdr:nvSpPr>
        <xdr:cNvPr id="1700" name="AutoShape 1">
          <a:extLst>
            <a:ext uri="{FF2B5EF4-FFF2-40B4-BE49-F238E27FC236}">
              <a16:creationId xmlns:a16="http://schemas.microsoft.com/office/drawing/2014/main" id="{B9839682-AEFD-4978-9442-D01654689A5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350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701" name="AutoShape 1">
          <a:extLst>
            <a:ext uri="{FF2B5EF4-FFF2-40B4-BE49-F238E27FC236}">
              <a16:creationId xmlns:a16="http://schemas.microsoft.com/office/drawing/2014/main" id="{98236023-6111-413E-A26A-B42EF54D67C9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702" name="AutoShape 1">
          <a:extLst>
            <a:ext uri="{FF2B5EF4-FFF2-40B4-BE49-F238E27FC236}">
              <a16:creationId xmlns:a16="http://schemas.microsoft.com/office/drawing/2014/main" id="{46969B09-26FC-4A88-9364-42F568C46F11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703" name="AutoShape 1">
          <a:extLst>
            <a:ext uri="{FF2B5EF4-FFF2-40B4-BE49-F238E27FC236}">
              <a16:creationId xmlns:a16="http://schemas.microsoft.com/office/drawing/2014/main" id="{F61D6447-5007-420A-BAFD-A2655B2B5B0F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704" name="AutoShape 1">
          <a:extLst>
            <a:ext uri="{FF2B5EF4-FFF2-40B4-BE49-F238E27FC236}">
              <a16:creationId xmlns:a16="http://schemas.microsoft.com/office/drawing/2014/main" id="{ACA70165-9E3E-402B-8BCE-515EE486363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705" name="AutoShape 1">
          <a:extLst>
            <a:ext uri="{FF2B5EF4-FFF2-40B4-BE49-F238E27FC236}">
              <a16:creationId xmlns:a16="http://schemas.microsoft.com/office/drawing/2014/main" id="{2BEAE199-B146-4BD4-9F9F-171D011A52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706" name="AutoShape 1">
          <a:extLst>
            <a:ext uri="{FF2B5EF4-FFF2-40B4-BE49-F238E27FC236}">
              <a16:creationId xmlns:a16="http://schemas.microsoft.com/office/drawing/2014/main" id="{D6885F6A-645C-4D56-881B-5B630D9F7B0C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707" name="AutoShape 1">
          <a:extLst>
            <a:ext uri="{FF2B5EF4-FFF2-40B4-BE49-F238E27FC236}">
              <a16:creationId xmlns:a16="http://schemas.microsoft.com/office/drawing/2014/main" id="{BCCBD21E-2289-4FAB-9D73-E16F7E7B074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708" name="AutoShape 1">
          <a:extLst>
            <a:ext uri="{FF2B5EF4-FFF2-40B4-BE49-F238E27FC236}">
              <a16:creationId xmlns:a16="http://schemas.microsoft.com/office/drawing/2014/main" id="{E9A20B29-B642-40CA-A287-C5F6823132EF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709" name="AutoShape 1">
          <a:extLst>
            <a:ext uri="{FF2B5EF4-FFF2-40B4-BE49-F238E27FC236}">
              <a16:creationId xmlns:a16="http://schemas.microsoft.com/office/drawing/2014/main" id="{CB7DD5F9-92C3-4850-8B30-B5DA497315AE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710" name="AutoShape 1">
          <a:extLst>
            <a:ext uri="{FF2B5EF4-FFF2-40B4-BE49-F238E27FC236}">
              <a16:creationId xmlns:a16="http://schemas.microsoft.com/office/drawing/2014/main" id="{45512614-27B1-4A73-BC15-00ACF980116B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711" name="AutoShape 1">
          <a:extLst>
            <a:ext uri="{FF2B5EF4-FFF2-40B4-BE49-F238E27FC236}">
              <a16:creationId xmlns:a16="http://schemas.microsoft.com/office/drawing/2014/main" id="{A0A9F35B-303C-4087-954D-105B792D6F76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712" name="AutoShape 1">
          <a:extLst>
            <a:ext uri="{FF2B5EF4-FFF2-40B4-BE49-F238E27FC236}">
              <a16:creationId xmlns:a16="http://schemas.microsoft.com/office/drawing/2014/main" id="{E552A6B4-A814-45C5-BC39-8CBF4A0E939A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713" name="AutoShape 1">
          <a:extLst>
            <a:ext uri="{FF2B5EF4-FFF2-40B4-BE49-F238E27FC236}">
              <a16:creationId xmlns:a16="http://schemas.microsoft.com/office/drawing/2014/main" id="{265C9B2E-9A7B-4780-BDDF-8186C48F19D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714" name="AutoShape 1">
          <a:extLst>
            <a:ext uri="{FF2B5EF4-FFF2-40B4-BE49-F238E27FC236}">
              <a16:creationId xmlns:a16="http://schemas.microsoft.com/office/drawing/2014/main" id="{2AC067BB-671D-48E8-9EEE-472B5F5776E3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715" name="AutoShape 1">
          <a:extLst>
            <a:ext uri="{FF2B5EF4-FFF2-40B4-BE49-F238E27FC236}">
              <a16:creationId xmlns:a16="http://schemas.microsoft.com/office/drawing/2014/main" id="{BD2529C5-7122-4836-8C3B-0EBD2EE835D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716" name="AutoShape 1">
          <a:extLst>
            <a:ext uri="{FF2B5EF4-FFF2-40B4-BE49-F238E27FC236}">
              <a16:creationId xmlns:a16="http://schemas.microsoft.com/office/drawing/2014/main" id="{E47D67AB-7C15-4BDE-BECF-755377A6CD91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717" name="AutoShape 1">
          <a:extLst>
            <a:ext uri="{FF2B5EF4-FFF2-40B4-BE49-F238E27FC236}">
              <a16:creationId xmlns:a16="http://schemas.microsoft.com/office/drawing/2014/main" id="{1640BCFB-D107-41F0-9006-0D2040EF878A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718" name="AutoShape 1">
          <a:extLst>
            <a:ext uri="{FF2B5EF4-FFF2-40B4-BE49-F238E27FC236}">
              <a16:creationId xmlns:a16="http://schemas.microsoft.com/office/drawing/2014/main" id="{A0967C41-E12C-4E17-AA04-DF59B12B971B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719" name="AutoShape 1">
          <a:extLst>
            <a:ext uri="{FF2B5EF4-FFF2-40B4-BE49-F238E27FC236}">
              <a16:creationId xmlns:a16="http://schemas.microsoft.com/office/drawing/2014/main" id="{2636343F-1DF2-487A-8E08-737F233453F7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720" name="AutoShape 1">
          <a:extLst>
            <a:ext uri="{FF2B5EF4-FFF2-40B4-BE49-F238E27FC236}">
              <a16:creationId xmlns:a16="http://schemas.microsoft.com/office/drawing/2014/main" id="{AB2B50AB-DC4C-447A-801E-4E06EE423920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721" name="AutoShape 1">
          <a:extLst>
            <a:ext uri="{FF2B5EF4-FFF2-40B4-BE49-F238E27FC236}">
              <a16:creationId xmlns:a16="http://schemas.microsoft.com/office/drawing/2014/main" id="{6261766E-0A36-4CB3-BB2B-B1D66109DF84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722" name="AutoShape 1">
          <a:extLst>
            <a:ext uri="{FF2B5EF4-FFF2-40B4-BE49-F238E27FC236}">
              <a16:creationId xmlns:a16="http://schemas.microsoft.com/office/drawing/2014/main" id="{EF6E78E0-FBC7-48BD-A9E3-5E9156F49533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723" name="AutoShape 1">
          <a:extLst>
            <a:ext uri="{FF2B5EF4-FFF2-40B4-BE49-F238E27FC236}">
              <a16:creationId xmlns:a16="http://schemas.microsoft.com/office/drawing/2014/main" id="{4842101B-C0FB-4088-939E-CBE7FEFB18C5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724" name="AutoShape 1">
          <a:extLst>
            <a:ext uri="{FF2B5EF4-FFF2-40B4-BE49-F238E27FC236}">
              <a16:creationId xmlns:a16="http://schemas.microsoft.com/office/drawing/2014/main" id="{80547902-636B-4ACB-A3A7-51A983688B07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725" name="AutoShape 1">
          <a:extLst>
            <a:ext uri="{FF2B5EF4-FFF2-40B4-BE49-F238E27FC236}">
              <a16:creationId xmlns:a16="http://schemas.microsoft.com/office/drawing/2014/main" id="{D52866B0-D147-4F8B-918B-53A0B4A236CF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726" name="AutoShape 1">
          <a:extLst>
            <a:ext uri="{FF2B5EF4-FFF2-40B4-BE49-F238E27FC236}">
              <a16:creationId xmlns:a16="http://schemas.microsoft.com/office/drawing/2014/main" id="{21A246FD-A595-435E-B727-904CFCA77EC7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727" name="AutoShape 1">
          <a:extLst>
            <a:ext uri="{FF2B5EF4-FFF2-40B4-BE49-F238E27FC236}">
              <a16:creationId xmlns:a16="http://schemas.microsoft.com/office/drawing/2014/main" id="{D7E0D15F-7096-4F02-8B3F-51574CEE6206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728" name="AutoShape 1">
          <a:extLst>
            <a:ext uri="{FF2B5EF4-FFF2-40B4-BE49-F238E27FC236}">
              <a16:creationId xmlns:a16="http://schemas.microsoft.com/office/drawing/2014/main" id="{B8C4D545-CCD6-4482-99BB-B74B73ACBE10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729" name="AutoShape 1">
          <a:extLst>
            <a:ext uri="{FF2B5EF4-FFF2-40B4-BE49-F238E27FC236}">
              <a16:creationId xmlns:a16="http://schemas.microsoft.com/office/drawing/2014/main" id="{CCD375F9-9876-41B0-B75F-A7CD4EE3B8A2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730" name="AutoShape 1">
          <a:extLst>
            <a:ext uri="{FF2B5EF4-FFF2-40B4-BE49-F238E27FC236}">
              <a16:creationId xmlns:a16="http://schemas.microsoft.com/office/drawing/2014/main" id="{652A4714-0195-4F74-8D30-A09A7F274230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731" name="AutoShape 1">
          <a:extLst>
            <a:ext uri="{FF2B5EF4-FFF2-40B4-BE49-F238E27FC236}">
              <a16:creationId xmlns:a16="http://schemas.microsoft.com/office/drawing/2014/main" id="{A12F4B24-68EF-4182-A023-0D45C9186D76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732" name="AutoShape 1">
          <a:extLst>
            <a:ext uri="{FF2B5EF4-FFF2-40B4-BE49-F238E27FC236}">
              <a16:creationId xmlns:a16="http://schemas.microsoft.com/office/drawing/2014/main" id="{7B8632B9-554A-4D66-8779-DF78922EC917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733" name="AutoShape 1">
          <a:extLst>
            <a:ext uri="{FF2B5EF4-FFF2-40B4-BE49-F238E27FC236}">
              <a16:creationId xmlns:a16="http://schemas.microsoft.com/office/drawing/2014/main" id="{12E4389F-9E6B-40BE-8DAA-528200A48F33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734" name="AutoShape 1">
          <a:extLst>
            <a:ext uri="{FF2B5EF4-FFF2-40B4-BE49-F238E27FC236}">
              <a16:creationId xmlns:a16="http://schemas.microsoft.com/office/drawing/2014/main" id="{704AB200-0483-4026-8C6B-6107EE801219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735" name="AutoShape 1">
          <a:extLst>
            <a:ext uri="{FF2B5EF4-FFF2-40B4-BE49-F238E27FC236}">
              <a16:creationId xmlns:a16="http://schemas.microsoft.com/office/drawing/2014/main" id="{EE1463D3-B675-41D4-952A-641A1291E14B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736" name="AutoShape 1">
          <a:extLst>
            <a:ext uri="{FF2B5EF4-FFF2-40B4-BE49-F238E27FC236}">
              <a16:creationId xmlns:a16="http://schemas.microsoft.com/office/drawing/2014/main" id="{3187F9ED-0C68-4FED-A9AB-9E06BCBE03CA}"/>
            </a:ext>
            <a:ext uri="{147F2762-F138-4A5C-976F-8EAC2B608ADB}">
              <a16:predDERef xmlns:a16="http://schemas.microsoft.com/office/drawing/2014/main" pred="{A9C9C4DB-4B97-447C-9099-E87BCB3C537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737" name="AutoShape 1">
          <a:extLst>
            <a:ext uri="{FF2B5EF4-FFF2-40B4-BE49-F238E27FC236}">
              <a16:creationId xmlns:a16="http://schemas.microsoft.com/office/drawing/2014/main" id="{B59968F4-68C7-457A-B3ED-84D0BF45700D}"/>
            </a:ext>
            <a:ext uri="{147F2762-F138-4A5C-976F-8EAC2B608ADB}">
              <a16:predDERef xmlns:a16="http://schemas.microsoft.com/office/drawing/2014/main" pred="{CD89554D-BD76-42AD-819A-278AD445B86E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738" name="AutoShape 1">
          <a:extLst>
            <a:ext uri="{FF2B5EF4-FFF2-40B4-BE49-F238E27FC236}">
              <a16:creationId xmlns:a16="http://schemas.microsoft.com/office/drawing/2014/main" id="{BAF36D26-F678-45A5-ABB5-00E7A12C61D1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739" name="AutoShape 1">
          <a:extLst>
            <a:ext uri="{FF2B5EF4-FFF2-40B4-BE49-F238E27FC236}">
              <a16:creationId xmlns:a16="http://schemas.microsoft.com/office/drawing/2014/main" id="{5D14124C-9384-4C8F-BC1C-D4A161A0CDD3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740" name="AutoShape 1">
          <a:extLst>
            <a:ext uri="{FF2B5EF4-FFF2-40B4-BE49-F238E27FC236}">
              <a16:creationId xmlns:a16="http://schemas.microsoft.com/office/drawing/2014/main" id="{7A852710-3D28-4479-921C-FE87134A51A4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741" name="AutoShape 1">
          <a:extLst>
            <a:ext uri="{FF2B5EF4-FFF2-40B4-BE49-F238E27FC236}">
              <a16:creationId xmlns:a16="http://schemas.microsoft.com/office/drawing/2014/main" id="{900A3CA2-4E5C-42C9-BFCE-103E0C471A16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742" name="AutoShape 1">
          <a:extLst>
            <a:ext uri="{FF2B5EF4-FFF2-40B4-BE49-F238E27FC236}">
              <a16:creationId xmlns:a16="http://schemas.microsoft.com/office/drawing/2014/main" id="{9548F91D-0BA8-4F42-9975-938AEB983183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743" name="AutoShape 1">
          <a:extLst>
            <a:ext uri="{FF2B5EF4-FFF2-40B4-BE49-F238E27FC236}">
              <a16:creationId xmlns:a16="http://schemas.microsoft.com/office/drawing/2014/main" id="{9EC3BDFF-7C1E-40BF-81CC-316865EDCBEB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744" name="AutoShape 1">
          <a:extLst>
            <a:ext uri="{FF2B5EF4-FFF2-40B4-BE49-F238E27FC236}">
              <a16:creationId xmlns:a16="http://schemas.microsoft.com/office/drawing/2014/main" id="{F9F5BEA8-C330-414F-82F0-8C707B7A4B3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745" name="AutoShape 1">
          <a:extLst>
            <a:ext uri="{FF2B5EF4-FFF2-40B4-BE49-F238E27FC236}">
              <a16:creationId xmlns:a16="http://schemas.microsoft.com/office/drawing/2014/main" id="{73AF82B4-B99C-4D84-B1E8-03AD54A76557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746" name="AutoShape 1">
          <a:extLst>
            <a:ext uri="{FF2B5EF4-FFF2-40B4-BE49-F238E27FC236}">
              <a16:creationId xmlns:a16="http://schemas.microsoft.com/office/drawing/2014/main" id="{299A1C25-FD03-4E45-B011-C38669DC5E81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747" name="AutoShape 1">
          <a:extLst>
            <a:ext uri="{FF2B5EF4-FFF2-40B4-BE49-F238E27FC236}">
              <a16:creationId xmlns:a16="http://schemas.microsoft.com/office/drawing/2014/main" id="{696B180D-EDF8-4BCB-A38F-8115052209F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748" name="AutoShape 1">
          <a:extLst>
            <a:ext uri="{FF2B5EF4-FFF2-40B4-BE49-F238E27FC236}">
              <a16:creationId xmlns:a16="http://schemas.microsoft.com/office/drawing/2014/main" id="{D137AC61-19E7-407E-A2D8-339A17A6F89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749" name="AutoShape 1">
          <a:extLst>
            <a:ext uri="{FF2B5EF4-FFF2-40B4-BE49-F238E27FC236}">
              <a16:creationId xmlns:a16="http://schemas.microsoft.com/office/drawing/2014/main" id="{7BDE37BA-B5FA-4E43-8D62-F44BAC1AD83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750" name="AutoShape 1">
          <a:extLst>
            <a:ext uri="{FF2B5EF4-FFF2-40B4-BE49-F238E27FC236}">
              <a16:creationId xmlns:a16="http://schemas.microsoft.com/office/drawing/2014/main" id="{05D1FA31-5F33-4EF2-BC87-0E3C5E3A20CB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751" name="AutoShape 1">
          <a:extLst>
            <a:ext uri="{FF2B5EF4-FFF2-40B4-BE49-F238E27FC236}">
              <a16:creationId xmlns:a16="http://schemas.microsoft.com/office/drawing/2014/main" id="{22E47C02-FF42-47D9-91A4-46B2336C4E4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752" name="AutoShape 1">
          <a:extLst>
            <a:ext uri="{FF2B5EF4-FFF2-40B4-BE49-F238E27FC236}">
              <a16:creationId xmlns:a16="http://schemas.microsoft.com/office/drawing/2014/main" id="{DA596FF4-4B9D-4A90-9AB8-D6839CA2840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753" name="AutoShape 1">
          <a:extLst>
            <a:ext uri="{FF2B5EF4-FFF2-40B4-BE49-F238E27FC236}">
              <a16:creationId xmlns:a16="http://schemas.microsoft.com/office/drawing/2014/main" id="{DDFFE073-BCCC-4F07-938B-A22EFE22F753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754" name="AutoShape 1">
          <a:extLst>
            <a:ext uri="{FF2B5EF4-FFF2-40B4-BE49-F238E27FC236}">
              <a16:creationId xmlns:a16="http://schemas.microsoft.com/office/drawing/2014/main" id="{AF34121C-2EE6-40C0-B182-44E905A465EC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755" name="AutoShape 1">
          <a:extLst>
            <a:ext uri="{FF2B5EF4-FFF2-40B4-BE49-F238E27FC236}">
              <a16:creationId xmlns:a16="http://schemas.microsoft.com/office/drawing/2014/main" id="{267E907F-E8BA-469A-8842-F3DE8F00CE1A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756" name="AutoShape 1">
          <a:extLst>
            <a:ext uri="{FF2B5EF4-FFF2-40B4-BE49-F238E27FC236}">
              <a16:creationId xmlns:a16="http://schemas.microsoft.com/office/drawing/2014/main" id="{A4787210-C502-41FF-8D94-9F6173A0F0EF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757" name="AutoShape 1">
          <a:extLst>
            <a:ext uri="{FF2B5EF4-FFF2-40B4-BE49-F238E27FC236}">
              <a16:creationId xmlns:a16="http://schemas.microsoft.com/office/drawing/2014/main" id="{9B07053F-FB65-4800-95F6-AAC53DE6E3C9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758" name="AutoShape 1">
          <a:extLst>
            <a:ext uri="{FF2B5EF4-FFF2-40B4-BE49-F238E27FC236}">
              <a16:creationId xmlns:a16="http://schemas.microsoft.com/office/drawing/2014/main" id="{0C67AAB7-BCF7-43C3-995D-CBE6FC854820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759" name="AutoShape 1">
          <a:extLst>
            <a:ext uri="{FF2B5EF4-FFF2-40B4-BE49-F238E27FC236}">
              <a16:creationId xmlns:a16="http://schemas.microsoft.com/office/drawing/2014/main" id="{F9EAFDBE-019C-4078-8B6F-D525353177F1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760" name="AutoShape 1">
          <a:extLst>
            <a:ext uri="{FF2B5EF4-FFF2-40B4-BE49-F238E27FC236}">
              <a16:creationId xmlns:a16="http://schemas.microsoft.com/office/drawing/2014/main" id="{7AE83CC1-E024-4610-B58A-B0C2CE37B1C8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761" name="AutoShape 1">
          <a:extLst>
            <a:ext uri="{FF2B5EF4-FFF2-40B4-BE49-F238E27FC236}">
              <a16:creationId xmlns:a16="http://schemas.microsoft.com/office/drawing/2014/main" id="{5E584886-0860-4670-B799-F1D8EFD85010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762" name="AutoShape 1">
          <a:extLst>
            <a:ext uri="{FF2B5EF4-FFF2-40B4-BE49-F238E27FC236}">
              <a16:creationId xmlns:a16="http://schemas.microsoft.com/office/drawing/2014/main" id="{CC4D471A-F565-4B85-A913-7CC2F5FA6CEB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763" name="AutoShape 1">
          <a:extLst>
            <a:ext uri="{FF2B5EF4-FFF2-40B4-BE49-F238E27FC236}">
              <a16:creationId xmlns:a16="http://schemas.microsoft.com/office/drawing/2014/main" id="{04746430-3842-411A-AFA7-CD1B26ED7AC7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764" name="AutoShape 1">
          <a:extLst>
            <a:ext uri="{FF2B5EF4-FFF2-40B4-BE49-F238E27FC236}">
              <a16:creationId xmlns:a16="http://schemas.microsoft.com/office/drawing/2014/main" id="{0C721950-5C7E-4463-918E-3002663B4595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765" name="AutoShape 1">
          <a:extLst>
            <a:ext uri="{FF2B5EF4-FFF2-40B4-BE49-F238E27FC236}">
              <a16:creationId xmlns:a16="http://schemas.microsoft.com/office/drawing/2014/main" id="{7C8C9A4F-31A4-4C8B-A861-58AD2DEA5A89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766" name="AutoShape 1">
          <a:extLst>
            <a:ext uri="{FF2B5EF4-FFF2-40B4-BE49-F238E27FC236}">
              <a16:creationId xmlns:a16="http://schemas.microsoft.com/office/drawing/2014/main" id="{13DA5C21-ABAD-42B4-9B0B-08E33244AFF8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767" name="AutoShape 1">
          <a:extLst>
            <a:ext uri="{FF2B5EF4-FFF2-40B4-BE49-F238E27FC236}">
              <a16:creationId xmlns:a16="http://schemas.microsoft.com/office/drawing/2014/main" id="{ADF12457-B5DC-40B5-9B63-D0EFB166C794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768" name="AutoShape 1">
          <a:extLst>
            <a:ext uri="{FF2B5EF4-FFF2-40B4-BE49-F238E27FC236}">
              <a16:creationId xmlns:a16="http://schemas.microsoft.com/office/drawing/2014/main" id="{CA3E931C-5EF7-4D48-A6A0-50DA912810EA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769" name="AutoShape 1">
          <a:extLst>
            <a:ext uri="{FF2B5EF4-FFF2-40B4-BE49-F238E27FC236}">
              <a16:creationId xmlns:a16="http://schemas.microsoft.com/office/drawing/2014/main" id="{E1E0BF87-B017-462E-A10B-66FE77A214BD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770" name="AutoShape 1">
          <a:extLst>
            <a:ext uri="{FF2B5EF4-FFF2-40B4-BE49-F238E27FC236}">
              <a16:creationId xmlns:a16="http://schemas.microsoft.com/office/drawing/2014/main" id="{76039594-0FCA-45FD-81CB-86CA857B9EE5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771" name="AutoShape 1">
          <a:extLst>
            <a:ext uri="{FF2B5EF4-FFF2-40B4-BE49-F238E27FC236}">
              <a16:creationId xmlns:a16="http://schemas.microsoft.com/office/drawing/2014/main" id="{298F984F-04B5-4AB0-8A5D-81AB44DEB5BB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772" name="AutoShape 1">
          <a:extLst>
            <a:ext uri="{FF2B5EF4-FFF2-40B4-BE49-F238E27FC236}">
              <a16:creationId xmlns:a16="http://schemas.microsoft.com/office/drawing/2014/main" id="{E823B326-8E20-42A4-8B9C-9ECBF4199869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773" name="AutoShape 1">
          <a:extLst>
            <a:ext uri="{FF2B5EF4-FFF2-40B4-BE49-F238E27FC236}">
              <a16:creationId xmlns:a16="http://schemas.microsoft.com/office/drawing/2014/main" id="{6EB22922-3877-4E15-B02F-3537D60E8AE8}"/>
            </a:ext>
            <a:ext uri="{147F2762-F138-4A5C-976F-8EAC2B608ADB}">
              <a16:predDERef xmlns:a16="http://schemas.microsoft.com/office/drawing/2014/main" pred="{A9C9C4DB-4B97-447C-9099-E87BCB3C537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774" name="AutoShape 1">
          <a:extLst>
            <a:ext uri="{FF2B5EF4-FFF2-40B4-BE49-F238E27FC236}">
              <a16:creationId xmlns:a16="http://schemas.microsoft.com/office/drawing/2014/main" id="{B2730CE6-5BD2-44F3-9A2B-524B16F0A506}"/>
            </a:ext>
            <a:ext uri="{147F2762-F138-4A5C-976F-8EAC2B608ADB}">
              <a16:predDERef xmlns:a16="http://schemas.microsoft.com/office/drawing/2014/main" pred="{CD89554D-BD76-42AD-819A-278AD445B86E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775" name="AutoShape 1">
          <a:extLst>
            <a:ext uri="{FF2B5EF4-FFF2-40B4-BE49-F238E27FC236}">
              <a16:creationId xmlns:a16="http://schemas.microsoft.com/office/drawing/2014/main" id="{A08E0888-7C42-4900-AE39-28663B143B87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776" name="AutoShape 1">
          <a:extLst>
            <a:ext uri="{FF2B5EF4-FFF2-40B4-BE49-F238E27FC236}">
              <a16:creationId xmlns:a16="http://schemas.microsoft.com/office/drawing/2014/main" id="{C0FA3C84-2A24-414C-A332-15AC07FADF3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777" name="AutoShape 1">
          <a:extLst>
            <a:ext uri="{FF2B5EF4-FFF2-40B4-BE49-F238E27FC236}">
              <a16:creationId xmlns:a16="http://schemas.microsoft.com/office/drawing/2014/main" id="{541B8DF4-373C-4E65-92CB-C4324F473581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778" name="AutoShape 1">
          <a:extLst>
            <a:ext uri="{FF2B5EF4-FFF2-40B4-BE49-F238E27FC236}">
              <a16:creationId xmlns:a16="http://schemas.microsoft.com/office/drawing/2014/main" id="{E7DC8B60-F56C-42F7-8A82-4BA7057ECD8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779" name="AutoShape 1">
          <a:extLst>
            <a:ext uri="{FF2B5EF4-FFF2-40B4-BE49-F238E27FC236}">
              <a16:creationId xmlns:a16="http://schemas.microsoft.com/office/drawing/2014/main" id="{1EA4A432-09D5-452C-9231-8D25B340F31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780" name="AutoShape 1">
          <a:extLst>
            <a:ext uri="{FF2B5EF4-FFF2-40B4-BE49-F238E27FC236}">
              <a16:creationId xmlns:a16="http://schemas.microsoft.com/office/drawing/2014/main" id="{ACA3A23C-C3C5-46BD-BF3B-393C7DBE332E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781" name="AutoShape 1">
          <a:extLst>
            <a:ext uri="{FF2B5EF4-FFF2-40B4-BE49-F238E27FC236}">
              <a16:creationId xmlns:a16="http://schemas.microsoft.com/office/drawing/2014/main" id="{92612FB2-F046-413B-BC27-5682B9A7E1A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782" name="AutoShape 1">
          <a:extLst>
            <a:ext uri="{FF2B5EF4-FFF2-40B4-BE49-F238E27FC236}">
              <a16:creationId xmlns:a16="http://schemas.microsoft.com/office/drawing/2014/main" id="{3921E5FA-70D3-4520-AADB-0A5E2AD4BE9B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783" name="AutoShape 1">
          <a:extLst>
            <a:ext uri="{FF2B5EF4-FFF2-40B4-BE49-F238E27FC236}">
              <a16:creationId xmlns:a16="http://schemas.microsoft.com/office/drawing/2014/main" id="{D826E72D-491B-4ACA-ADCB-559A5678ACD3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784" name="AutoShape 1">
          <a:extLst>
            <a:ext uri="{FF2B5EF4-FFF2-40B4-BE49-F238E27FC236}">
              <a16:creationId xmlns:a16="http://schemas.microsoft.com/office/drawing/2014/main" id="{F100630E-A265-4F5E-8EE9-178A7C674599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785" name="AutoShape 1">
          <a:extLst>
            <a:ext uri="{FF2B5EF4-FFF2-40B4-BE49-F238E27FC236}">
              <a16:creationId xmlns:a16="http://schemas.microsoft.com/office/drawing/2014/main" id="{01357774-2F90-4A23-8B4F-F7C3065ECA5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786" name="AutoShape 1">
          <a:extLst>
            <a:ext uri="{FF2B5EF4-FFF2-40B4-BE49-F238E27FC236}">
              <a16:creationId xmlns:a16="http://schemas.microsoft.com/office/drawing/2014/main" id="{763B310C-24A5-42CB-93D5-58A080D72D84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787" name="AutoShape 1">
          <a:extLst>
            <a:ext uri="{FF2B5EF4-FFF2-40B4-BE49-F238E27FC236}">
              <a16:creationId xmlns:a16="http://schemas.microsoft.com/office/drawing/2014/main" id="{553D5D3A-B8FE-46F8-8D14-2800C50F860A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788" name="AutoShape 1">
          <a:extLst>
            <a:ext uri="{FF2B5EF4-FFF2-40B4-BE49-F238E27FC236}">
              <a16:creationId xmlns:a16="http://schemas.microsoft.com/office/drawing/2014/main" id="{C493A562-17DA-41B5-9029-BF7A098B6E7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789" name="AutoShape 1">
          <a:extLst>
            <a:ext uri="{FF2B5EF4-FFF2-40B4-BE49-F238E27FC236}">
              <a16:creationId xmlns:a16="http://schemas.microsoft.com/office/drawing/2014/main" id="{A83FBD26-3CE2-43B1-9E27-8507471FA631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790" name="AutoShape 1">
          <a:extLst>
            <a:ext uri="{FF2B5EF4-FFF2-40B4-BE49-F238E27FC236}">
              <a16:creationId xmlns:a16="http://schemas.microsoft.com/office/drawing/2014/main" id="{E1099E0C-5306-47FC-A9ED-FE73B8E53C1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791" name="AutoShape 1">
          <a:extLst>
            <a:ext uri="{FF2B5EF4-FFF2-40B4-BE49-F238E27FC236}">
              <a16:creationId xmlns:a16="http://schemas.microsoft.com/office/drawing/2014/main" id="{452DE753-D60F-4DBB-9586-96149B0CA158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792" name="AutoShape 1">
          <a:extLst>
            <a:ext uri="{FF2B5EF4-FFF2-40B4-BE49-F238E27FC236}">
              <a16:creationId xmlns:a16="http://schemas.microsoft.com/office/drawing/2014/main" id="{5F3BA4BF-4570-458F-9C97-80248E319CF5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793" name="AutoShape 1">
          <a:extLst>
            <a:ext uri="{FF2B5EF4-FFF2-40B4-BE49-F238E27FC236}">
              <a16:creationId xmlns:a16="http://schemas.microsoft.com/office/drawing/2014/main" id="{AA583571-90A5-432F-9818-43F5E6E757AC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794" name="AutoShape 1">
          <a:extLst>
            <a:ext uri="{FF2B5EF4-FFF2-40B4-BE49-F238E27FC236}">
              <a16:creationId xmlns:a16="http://schemas.microsoft.com/office/drawing/2014/main" id="{97D6C8F2-3F1E-4E64-AA34-00B7EDFBAF12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795" name="AutoShape 1">
          <a:extLst>
            <a:ext uri="{FF2B5EF4-FFF2-40B4-BE49-F238E27FC236}">
              <a16:creationId xmlns:a16="http://schemas.microsoft.com/office/drawing/2014/main" id="{BB25FC95-542F-4A14-AC4F-47DE78FCA2CB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796" name="AutoShape 1">
          <a:extLst>
            <a:ext uri="{FF2B5EF4-FFF2-40B4-BE49-F238E27FC236}">
              <a16:creationId xmlns:a16="http://schemas.microsoft.com/office/drawing/2014/main" id="{BACBCBC1-4CBD-461E-B00C-5BF8497DCF2E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797" name="AutoShape 1">
          <a:extLst>
            <a:ext uri="{FF2B5EF4-FFF2-40B4-BE49-F238E27FC236}">
              <a16:creationId xmlns:a16="http://schemas.microsoft.com/office/drawing/2014/main" id="{140DE7C0-889F-4075-8CEB-97B36088DF5E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798" name="AutoShape 1">
          <a:extLst>
            <a:ext uri="{FF2B5EF4-FFF2-40B4-BE49-F238E27FC236}">
              <a16:creationId xmlns:a16="http://schemas.microsoft.com/office/drawing/2014/main" id="{0F73D97A-55A0-4023-B57A-A15F32F1B5F6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799" name="AutoShape 1">
          <a:extLst>
            <a:ext uri="{FF2B5EF4-FFF2-40B4-BE49-F238E27FC236}">
              <a16:creationId xmlns:a16="http://schemas.microsoft.com/office/drawing/2014/main" id="{F243E9D1-2A24-40D1-B98E-3DB66D316C0D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800" name="AutoShape 1">
          <a:extLst>
            <a:ext uri="{FF2B5EF4-FFF2-40B4-BE49-F238E27FC236}">
              <a16:creationId xmlns:a16="http://schemas.microsoft.com/office/drawing/2014/main" id="{444F06EA-FBE5-4541-B96B-0E245A104E67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801" name="AutoShape 1">
          <a:extLst>
            <a:ext uri="{FF2B5EF4-FFF2-40B4-BE49-F238E27FC236}">
              <a16:creationId xmlns:a16="http://schemas.microsoft.com/office/drawing/2014/main" id="{3DE9750D-959B-4E1E-832D-57B81A5E84A3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802" name="AutoShape 1">
          <a:extLst>
            <a:ext uri="{FF2B5EF4-FFF2-40B4-BE49-F238E27FC236}">
              <a16:creationId xmlns:a16="http://schemas.microsoft.com/office/drawing/2014/main" id="{8849211B-6FC2-4855-AE07-FF0BCE90C714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803" name="AutoShape 1">
          <a:extLst>
            <a:ext uri="{FF2B5EF4-FFF2-40B4-BE49-F238E27FC236}">
              <a16:creationId xmlns:a16="http://schemas.microsoft.com/office/drawing/2014/main" id="{7B927388-0E37-4513-A9EC-AB8D40A88244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804" name="AutoShape 1">
          <a:extLst>
            <a:ext uri="{FF2B5EF4-FFF2-40B4-BE49-F238E27FC236}">
              <a16:creationId xmlns:a16="http://schemas.microsoft.com/office/drawing/2014/main" id="{7CD12764-2B9F-4D87-A4B0-9B10AD7F0E5B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805" name="AutoShape 1">
          <a:extLst>
            <a:ext uri="{FF2B5EF4-FFF2-40B4-BE49-F238E27FC236}">
              <a16:creationId xmlns:a16="http://schemas.microsoft.com/office/drawing/2014/main" id="{EAF7C25D-1D4B-4A1F-8746-A57FF0C6D027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806" name="AutoShape 1">
          <a:extLst>
            <a:ext uri="{FF2B5EF4-FFF2-40B4-BE49-F238E27FC236}">
              <a16:creationId xmlns:a16="http://schemas.microsoft.com/office/drawing/2014/main" id="{0FEBCC18-FD8F-41D5-8196-FDE510A8BF73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807" name="AutoShape 1">
          <a:extLst>
            <a:ext uri="{FF2B5EF4-FFF2-40B4-BE49-F238E27FC236}">
              <a16:creationId xmlns:a16="http://schemas.microsoft.com/office/drawing/2014/main" id="{02514375-43A3-4C83-9892-0F88457066F2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808" name="AutoShape 1">
          <a:extLst>
            <a:ext uri="{FF2B5EF4-FFF2-40B4-BE49-F238E27FC236}">
              <a16:creationId xmlns:a16="http://schemas.microsoft.com/office/drawing/2014/main" id="{F1A104A4-1D22-4776-8E7A-6CC72B26925B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809" name="AutoShape 1">
          <a:extLst>
            <a:ext uri="{FF2B5EF4-FFF2-40B4-BE49-F238E27FC236}">
              <a16:creationId xmlns:a16="http://schemas.microsoft.com/office/drawing/2014/main" id="{C3BA8C65-7EDA-48EF-83F9-12BC2E0F0476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810" name="AutoShape 1">
          <a:extLst>
            <a:ext uri="{FF2B5EF4-FFF2-40B4-BE49-F238E27FC236}">
              <a16:creationId xmlns:a16="http://schemas.microsoft.com/office/drawing/2014/main" id="{D20B7338-3088-48AC-B6BB-B999F29F5CB8}"/>
            </a:ext>
            <a:ext uri="{147F2762-F138-4A5C-976F-8EAC2B608ADB}">
              <a16:predDERef xmlns:a16="http://schemas.microsoft.com/office/drawing/2014/main" pred="{A9C9C4DB-4B97-447C-9099-E87BCB3C537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811" name="AutoShape 1">
          <a:extLst>
            <a:ext uri="{FF2B5EF4-FFF2-40B4-BE49-F238E27FC236}">
              <a16:creationId xmlns:a16="http://schemas.microsoft.com/office/drawing/2014/main" id="{10CC4F05-C4E4-41A7-8FD4-EE42FFF85DEA}"/>
            </a:ext>
            <a:ext uri="{147F2762-F138-4A5C-976F-8EAC2B608ADB}">
              <a16:predDERef xmlns:a16="http://schemas.microsoft.com/office/drawing/2014/main" pred="{CD89554D-BD76-42AD-819A-278AD445B86E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812" name="AutoShape 1">
          <a:extLst>
            <a:ext uri="{FF2B5EF4-FFF2-40B4-BE49-F238E27FC236}">
              <a16:creationId xmlns:a16="http://schemas.microsoft.com/office/drawing/2014/main" id="{B2AEA1E0-D0DD-49B3-A638-9B4AEDB5B73E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813" name="AutoShape 1">
          <a:extLst>
            <a:ext uri="{FF2B5EF4-FFF2-40B4-BE49-F238E27FC236}">
              <a16:creationId xmlns:a16="http://schemas.microsoft.com/office/drawing/2014/main" id="{B6E8EB9D-8B30-4E18-B548-106A89D940E9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814" name="AutoShape 1">
          <a:extLst>
            <a:ext uri="{FF2B5EF4-FFF2-40B4-BE49-F238E27FC236}">
              <a16:creationId xmlns:a16="http://schemas.microsoft.com/office/drawing/2014/main" id="{C13D1CD7-35AA-4CBF-B118-AE1C8138333E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815" name="AutoShape 1">
          <a:extLst>
            <a:ext uri="{FF2B5EF4-FFF2-40B4-BE49-F238E27FC236}">
              <a16:creationId xmlns:a16="http://schemas.microsoft.com/office/drawing/2014/main" id="{99DC6B4E-720F-4E14-8DE9-1A998E5A2B3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816" name="AutoShape 1">
          <a:extLst>
            <a:ext uri="{FF2B5EF4-FFF2-40B4-BE49-F238E27FC236}">
              <a16:creationId xmlns:a16="http://schemas.microsoft.com/office/drawing/2014/main" id="{A494595A-F78B-48A8-8588-4BFB400ED32C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817" name="AutoShape 1">
          <a:extLst>
            <a:ext uri="{FF2B5EF4-FFF2-40B4-BE49-F238E27FC236}">
              <a16:creationId xmlns:a16="http://schemas.microsoft.com/office/drawing/2014/main" id="{FDC74162-0FD3-4A15-BF8F-B140B5B73614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818" name="AutoShape 1">
          <a:extLst>
            <a:ext uri="{FF2B5EF4-FFF2-40B4-BE49-F238E27FC236}">
              <a16:creationId xmlns:a16="http://schemas.microsoft.com/office/drawing/2014/main" id="{C8C9999B-F1C2-4802-94FF-791C68BE496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819" name="AutoShape 1">
          <a:extLst>
            <a:ext uri="{FF2B5EF4-FFF2-40B4-BE49-F238E27FC236}">
              <a16:creationId xmlns:a16="http://schemas.microsoft.com/office/drawing/2014/main" id="{D32892B5-0A51-4A51-AC49-08DFBD4D22F9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820" name="AutoShape 1">
          <a:extLst>
            <a:ext uri="{FF2B5EF4-FFF2-40B4-BE49-F238E27FC236}">
              <a16:creationId xmlns:a16="http://schemas.microsoft.com/office/drawing/2014/main" id="{D5725141-5B3F-4C37-844D-2E756EF33AA7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821" name="AutoShape 1">
          <a:extLst>
            <a:ext uri="{FF2B5EF4-FFF2-40B4-BE49-F238E27FC236}">
              <a16:creationId xmlns:a16="http://schemas.microsoft.com/office/drawing/2014/main" id="{67ED56F6-5B1A-40F3-A9C3-823BE5D87A0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822" name="AutoShape 1">
          <a:extLst>
            <a:ext uri="{FF2B5EF4-FFF2-40B4-BE49-F238E27FC236}">
              <a16:creationId xmlns:a16="http://schemas.microsoft.com/office/drawing/2014/main" id="{EC53375E-5BDC-4980-907B-FA49F7F71526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823" name="AutoShape 1">
          <a:extLst>
            <a:ext uri="{FF2B5EF4-FFF2-40B4-BE49-F238E27FC236}">
              <a16:creationId xmlns:a16="http://schemas.microsoft.com/office/drawing/2014/main" id="{93909ADC-6899-4814-9D88-67DC30E1711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824" name="AutoShape 1">
          <a:extLst>
            <a:ext uri="{FF2B5EF4-FFF2-40B4-BE49-F238E27FC236}">
              <a16:creationId xmlns:a16="http://schemas.microsoft.com/office/drawing/2014/main" id="{6085BFFD-731A-4C99-A39C-4FA5FFC6C926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825" name="AutoShape 1">
          <a:extLst>
            <a:ext uri="{FF2B5EF4-FFF2-40B4-BE49-F238E27FC236}">
              <a16:creationId xmlns:a16="http://schemas.microsoft.com/office/drawing/2014/main" id="{1666B807-BC0E-449E-AD87-00DD13B9FEC1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826" name="AutoShape 1">
          <a:extLst>
            <a:ext uri="{FF2B5EF4-FFF2-40B4-BE49-F238E27FC236}">
              <a16:creationId xmlns:a16="http://schemas.microsoft.com/office/drawing/2014/main" id="{6A585AE5-086A-4B7C-8035-4104A188C0AE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827" name="AutoShape 1">
          <a:extLst>
            <a:ext uri="{FF2B5EF4-FFF2-40B4-BE49-F238E27FC236}">
              <a16:creationId xmlns:a16="http://schemas.microsoft.com/office/drawing/2014/main" id="{DAED15FD-797A-4A5E-AAE0-5732820EA47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828" name="AutoShape 1">
          <a:extLst>
            <a:ext uri="{FF2B5EF4-FFF2-40B4-BE49-F238E27FC236}">
              <a16:creationId xmlns:a16="http://schemas.microsoft.com/office/drawing/2014/main" id="{FEF12268-318D-418D-9AC6-14B068442748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829" name="AutoShape 1">
          <a:extLst>
            <a:ext uri="{FF2B5EF4-FFF2-40B4-BE49-F238E27FC236}">
              <a16:creationId xmlns:a16="http://schemas.microsoft.com/office/drawing/2014/main" id="{FC04C69B-F071-441D-BDD0-606D47214F97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830" name="AutoShape 1">
          <a:extLst>
            <a:ext uri="{FF2B5EF4-FFF2-40B4-BE49-F238E27FC236}">
              <a16:creationId xmlns:a16="http://schemas.microsoft.com/office/drawing/2014/main" id="{116C87A3-A06F-45FB-8150-D9679A903886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831" name="AutoShape 1">
          <a:extLst>
            <a:ext uri="{FF2B5EF4-FFF2-40B4-BE49-F238E27FC236}">
              <a16:creationId xmlns:a16="http://schemas.microsoft.com/office/drawing/2014/main" id="{09EFB64A-79A0-45AE-8079-10F8F3E526BE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832" name="AutoShape 1">
          <a:extLst>
            <a:ext uri="{FF2B5EF4-FFF2-40B4-BE49-F238E27FC236}">
              <a16:creationId xmlns:a16="http://schemas.microsoft.com/office/drawing/2014/main" id="{FA85228C-782E-4001-8513-4765D311373C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833" name="AutoShape 1">
          <a:extLst>
            <a:ext uri="{FF2B5EF4-FFF2-40B4-BE49-F238E27FC236}">
              <a16:creationId xmlns:a16="http://schemas.microsoft.com/office/drawing/2014/main" id="{A7C1BA8F-80C6-4690-97E9-5535B85588F7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834" name="AutoShape 1">
          <a:extLst>
            <a:ext uri="{FF2B5EF4-FFF2-40B4-BE49-F238E27FC236}">
              <a16:creationId xmlns:a16="http://schemas.microsoft.com/office/drawing/2014/main" id="{50563DA7-F38C-48D5-B880-D283CF5A3025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835" name="AutoShape 1">
          <a:extLst>
            <a:ext uri="{FF2B5EF4-FFF2-40B4-BE49-F238E27FC236}">
              <a16:creationId xmlns:a16="http://schemas.microsoft.com/office/drawing/2014/main" id="{879FD276-68BC-4FB8-9267-98868FBB2D0E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836" name="AutoShape 1">
          <a:extLst>
            <a:ext uri="{FF2B5EF4-FFF2-40B4-BE49-F238E27FC236}">
              <a16:creationId xmlns:a16="http://schemas.microsoft.com/office/drawing/2014/main" id="{266E50E6-1863-41DD-89E9-343D8C658C4E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837" name="AutoShape 1">
          <a:extLst>
            <a:ext uri="{FF2B5EF4-FFF2-40B4-BE49-F238E27FC236}">
              <a16:creationId xmlns:a16="http://schemas.microsoft.com/office/drawing/2014/main" id="{E5278152-DDCC-4BF6-AB67-74DA807B7936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838" name="AutoShape 1">
          <a:extLst>
            <a:ext uri="{FF2B5EF4-FFF2-40B4-BE49-F238E27FC236}">
              <a16:creationId xmlns:a16="http://schemas.microsoft.com/office/drawing/2014/main" id="{BE4A44AB-2D3B-4085-88D8-6740A265AE74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839" name="AutoShape 1">
          <a:extLst>
            <a:ext uri="{FF2B5EF4-FFF2-40B4-BE49-F238E27FC236}">
              <a16:creationId xmlns:a16="http://schemas.microsoft.com/office/drawing/2014/main" id="{DCC97CFD-CE04-4AD6-A895-A5753D358605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840" name="AutoShape 1">
          <a:extLst>
            <a:ext uri="{FF2B5EF4-FFF2-40B4-BE49-F238E27FC236}">
              <a16:creationId xmlns:a16="http://schemas.microsoft.com/office/drawing/2014/main" id="{F174B058-BEF8-4476-B6CA-2AC9585CE72A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841" name="AutoShape 1">
          <a:extLst>
            <a:ext uri="{FF2B5EF4-FFF2-40B4-BE49-F238E27FC236}">
              <a16:creationId xmlns:a16="http://schemas.microsoft.com/office/drawing/2014/main" id="{E37A42CB-3B91-4C8B-862D-28DE93C77650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842" name="AutoShape 1">
          <a:extLst>
            <a:ext uri="{FF2B5EF4-FFF2-40B4-BE49-F238E27FC236}">
              <a16:creationId xmlns:a16="http://schemas.microsoft.com/office/drawing/2014/main" id="{B8E7DC55-696F-4C35-BDB5-B80850D38851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843" name="AutoShape 1">
          <a:extLst>
            <a:ext uri="{FF2B5EF4-FFF2-40B4-BE49-F238E27FC236}">
              <a16:creationId xmlns:a16="http://schemas.microsoft.com/office/drawing/2014/main" id="{4758015F-96DC-4C8E-8773-6F76A7959E00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844" name="AutoShape 1">
          <a:extLst>
            <a:ext uri="{FF2B5EF4-FFF2-40B4-BE49-F238E27FC236}">
              <a16:creationId xmlns:a16="http://schemas.microsoft.com/office/drawing/2014/main" id="{54766B4C-2959-4E82-AD7A-A1A64DE9950C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845" name="AutoShape 1">
          <a:extLst>
            <a:ext uri="{FF2B5EF4-FFF2-40B4-BE49-F238E27FC236}">
              <a16:creationId xmlns:a16="http://schemas.microsoft.com/office/drawing/2014/main" id="{CF6C41C8-D6DF-4446-B08D-2616D1A404FB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846" name="AutoShape 1">
          <a:extLst>
            <a:ext uri="{FF2B5EF4-FFF2-40B4-BE49-F238E27FC236}">
              <a16:creationId xmlns:a16="http://schemas.microsoft.com/office/drawing/2014/main" id="{50EF3510-DF44-4A01-BBDD-56972D82E473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847" name="AutoShape 1">
          <a:extLst>
            <a:ext uri="{FF2B5EF4-FFF2-40B4-BE49-F238E27FC236}">
              <a16:creationId xmlns:a16="http://schemas.microsoft.com/office/drawing/2014/main" id="{5ECC3F1D-48C1-4FF1-AB22-D36BF6A139EC}"/>
            </a:ext>
            <a:ext uri="{147F2762-F138-4A5C-976F-8EAC2B608ADB}">
              <a16:predDERef xmlns:a16="http://schemas.microsoft.com/office/drawing/2014/main" pred="{A9C9C4DB-4B97-447C-9099-E87BCB3C537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848" name="AutoShape 1">
          <a:extLst>
            <a:ext uri="{FF2B5EF4-FFF2-40B4-BE49-F238E27FC236}">
              <a16:creationId xmlns:a16="http://schemas.microsoft.com/office/drawing/2014/main" id="{459040A7-64BF-4F87-9645-CFA7A073EF97}"/>
            </a:ext>
            <a:ext uri="{147F2762-F138-4A5C-976F-8EAC2B608ADB}">
              <a16:predDERef xmlns:a16="http://schemas.microsoft.com/office/drawing/2014/main" pred="{CD89554D-BD76-42AD-819A-278AD445B86E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849" name="AutoShape 1">
          <a:extLst>
            <a:ext uri="{FF2B5EF4-FFF2-40B4-BE49-F238E27FC236}">
              <a16:creationId xmlns:a16="http://schemas.microsoft.com/office/drawing/2014/main" id="{0E5897B9-1D6B-4AFA-B5F8-CA785B0A5F9C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850" name="AutoShape 1">
          <a:extLst>
            <a:ext uri="{FF2B5EF4-FFF2-40B4-BE49-F238E27FC236}">
              <a16:creationId xmlns:a16="http://schemas.microsoft.com/office/drawing/2014/main" id="{68D7B800-35A8-4536-A9E7-79DBD5F38484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851" name="AutoShape 1">
          <a:extLst>
            <a:ext uri="{FF2B5EF4-FFF2-40B4-BE49-F238E27FC236}">
              <a16:creationId xmlns:a16="http://schemas.microsoft.com/office/drawing/2014/main" id="{9F6B6361-2E1B-4812-BF05-6897FF9AAF7C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852" name="AutoShape 1">
          <a:extLst>
            <a:ext uri="{FF2B5EF4-FFF2-40B4-BE49-F238E27FC236}">
              <a16:creationId xmlns:a16="http://schemas.microsoft.com/office/drawing/2014/main" id="{CF6F99DE-5433-4DC5-8DAA-84EDD579E156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853" name="AutoShape 1">
          <a:extLst>
            <a:ext uri="{FF2B5EF4-FFF2-40B4-BE49-F238E27FC236}">
              <a16:creationId xmlns:a16="http://schemas.microsoft.com/office/drawing/2014/main" id="{9A25E22A-BC5D-4360-A2B1-6D68D1BD798E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854" name="AutoShape 1">
          <a:extLst>
            <a:ext uri="{FF2B5EF4-FFF2-40B4-BE49-F238E27FC236}">
              <a16:creationId xmlns:a16="http://schemas.microsoft.com/office/drawing/2014/main" id="{6064882F-24A7-40D8-8F57-886F3664155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855" name="AutoShape 1">
          <a:extLst>
            <a:ext uri="{FF2B5EF4-FFF2-40B4-BE49-F238E27FC236}">
              <a16:creationId xmlns:a16="http://schemas.microsoft.com/office/drawing/2014/main" id="{757D3D9D-9345-46C5-AFDC-40B68EF23AB6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856" name="AutoShape 1">
          <a:extLst>
            <a:ext uri="{FF2B5EF4-FFF2-40B4-BE49-F238E27FC236}">
              <a16:creationId xmlns:a16="http://schemas.microsoft.com/office/drawing/2014/main" id="{5C23E2A7-BDE4-444A-92F1-D82C8EADF37B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857" name="AutoShape 1">
          <a:extLst>
            <a:ext uri="{FF2B5EF4-FFF2-40B4-BE49-F238E27FC236}">
              <a16:creationId xmlns:a16="http://schemas.microsoft.com/office/drawing/2014/main" id="{FDDBD74D-45D6-41EE-A7AB-83FC6347F30B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858" name="AutoShape 1">
          <a:extLst>
            <a:ext uri="{FF2B5EF4-FFF2-40B4-BE49-F238E27FC236}">
              <a16:creationId xmlns:a16="http://schemas.microsoft.com/office/drawing/2014/main" id="{4EAFD680-3B74-46A2-81C7-D2BD1BA968CA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859" name="AutoShape 1">
          <a:extLst>
            <a:ext uri="{FF2B5EF4-FFF2-40B4-BE49-F238E27FC236}">
              <a16:creationId xmlns:a16="http://schemas.microsoft.com/office/drawing/2014/main" id="{0C6615C6-853B-4A8A-9B23-DCAE6DD28A5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860" name="AutoShape 1">
          <a:extLst>
            <a:ext uri="{FF2B5EF4-FFF2-40B4-BE49-F238E27FC236}">
              <a16:creationId xmlns:a16="http://schemas.microsoft.com/office/drawing/2014/main" id="{0FB9CF42-3AB1-44FC-A12F-2FEEE81EB5C3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861" name="AutoShape 1">
          <a:extLst>
            <a:ext uri="{FF2B5EF4-FFF2-40B4-BE49-F238E27FC236}">
              <a16:creationId xmlns:a16="http://schemas.microsoft.com/office/drawing/2014/main" id="{62B66CCC-3EE8-4F11-BB29-80204406526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862" name="AutoShape 1">
          <a:extLst>
            <a:ext uri="{FF2B5EF4-FFF2-40B4-BE49-F238E27FC236}">
              <a16:creationId xmlns:a16="http://schemas.microsoft.com/office/drawing/2014/main" id="{C9519583-A53D-41C3-9BE7-81D9F0B0CA8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863" name="AutoShape 1">
          <a:extLst>
            <a:ext uri="{FF2B5EF4-FFF2-40B4-BE49-F238E27FC236}">
              <a16:creationId xmlns:a16="http://schemas.microsoft.com/office/drawing/2014/main" id="{9422AA29-ECA0-4BF1-9348-C03A9FEDB8B3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864" name="AutoShape 1">
          <a:extLst>
            <a:ext uri="{FF2B5EF4-FFF2-40B4-BE49-F238E27FC236}">
              <a16:creationId xmlns:a16="http://schemas.microsoft.com/office/drawing/2014/main" id="{A5BE90BD-83A1-438D-B31F-1DBAFB40CA64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865" name="AutoShape 1">
          <a:extLst>
            <a:ext uri="{FF2B5EF4-FFF2-40B4-BE49-F238E27FC236}">
              <a16:creationId xmlns:a16="http://schemas.microsoft.com/office/drawing/2014/main" id="{BBDD3254-A308-4CD2-AD2E-C52785267A06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866" name="AutoShape 1">
          <a:extLst>
            <a:ext uri="{FF2B5EF4-FFF2-40B4-BE49-F238E27FC236}">
              <a16:creationId xmlns:a16="http://schemas.microsoft.com/office/drawing/2014/main" id="{D996CE57-E242-4163-820D-A64FDF671594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867" name="AutoShape 1">
          <a:extLst>
            <a:ext uri="{FF2B5EF4-FFF2-40B4-BE49-F238E27FC236}">
              <a16:creationId xmlns:a16="http://schemas.microsoft.com/office/drawing/2014/main" id="{6C56F71E-713A-4773-8FDC-F597C44223D4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868" name="AutoShape 1">
          <a:extLst>
            <a:ext uri="{FF2B5EF4-FFF2-40B4-BE49-F238E27FC236}">
              <a16:creationId xmlns:a16="http://schemas.microsoft.com/office/drawing/2014/main" id="{58F49BC0-F531-4BBB-A4DB-CE98DF169BAB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869" name="AutoShape 1">
          <a:extLst>
            <a:ext uri="{FF2B5EF4-FFF2-40B4-BE49-F238E27FC236}">
              <a16:creationId xmlns:a16="http://schemas.microsoft.com/office/drawing/2014/main" id="{7282AD47-39DF-45E3-88D6-4BBA4DB67097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870" name="AutoShape 1">
          <a:extLst>
            <a:ext uri="{FF2B5EF4-FFF2-40B4-BE49-F238E27FC236}">
              <a16:creationId xmlns:a16="http://schemas.microsoft.com/office/drawing/2014/main" id="{904A658A-E411-48F9-AF4F-C8E38F0131B0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871" name="AutoShape 1">
          <a:extLst>
            <a:ext uri="{FF2B5EF4-FFF2-40B4-BE49-F238E27FC236}">
              <a16:creationId xmlns:a16="http://schemas.microsoft.com/office/drawing/2014/main" id="{AE62EAFD-E29E-4A6D-82C0-97B5007FC870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872" name="AutoShape 1">
          <a:extLst>
            <a:ext uri="{FF2B5EF4-FFF2-40B4-BE49-F238E27FC236}">
              <a16:creationId xmlns:a16="http://schemas.microsoft.com/office/drawing/2014/main" id="{B8B81B0B-402F-4A8B-8049-E35761BBE370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873" name="AutoShape 1">
          <a:extLst>
            <a:ext uri="{FF2B5EF4-FFF2-40B4-BE49-F238E27FC236}">
              <a16:creationId xmlns:a16="http://schemas.microsoft.com/office/drawing/2014/main" id="{4897953D-32AB-455F-A724-8E8191B69BC8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874" name="AutoShape 1">
          <a:extLst>
            <a:ext uri="{FF2B5EF4-FFF2-40B4-BE49-F238E27FC236}">
              <a16:creationId xmlns:a16="http://schemas.microsoft.com/office/drawing/2014/main" id="{BC46CDC8-AE49-4B94-8640-53552FC17325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875" name="AutoShape 1">
          <a:extLst>
            <a:ext uri="{FF2B5EF4-FFF2-40B4-BE49-F238E27FC236}">
              <a16:creationId xmlns:a16="http://schemas.microsoft.com/office/drawing/2014/main" id="{1ADA1DD9-A22B-4882-94A5-043102DA6B9A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876" name="AutoShape 1">
          <a:extLst>
            <a:ext uri="{FF2B5EF4-FFF2-40B4-BE49-F238E27FC236}">
              <a16:creationId xmlns:a16="http://schemas.microsoft.com/office/drawing/2014/main" id="{11E612D6-9AEB-4271-B1C5-D7747CE63C6A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877" name="AutoShape 1">
          <a:extLst>
            <a:ext uri="{FF2B5EF4-FFF2-40B4-BE49-F238E27FC236}">
              <a16:creationId xmlns:a16="http://schemas.microsoft.com/office/drawing/2014/main" id="{E0DB4345-255C-4F00-B46F-DA1859C7C202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878" name="AutoShape 1">
          <a:extLst>
            <a:ext uri="{FF2B5EF4-FFF2-40B4-BE49-F238E27FC236}">
              <a16:creationId xmlns:a16="http://schemas.microsoft.com/office/drawing/2014/main" id="{AD8198F0-C774-4CEF-8DA3-30A6C9A8D330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879" name="AutoShape 1">
          <a:extLst>
            <a:ext uri="{FF2B5EF4-FFF2-40B4-BE49-F238E27FC236}">
              <a16:creationId xmlns:a16="http://schemas.microsoft.com/office/drawing/2014/main" id="{0941A595-030F-45C9-B494-1B888450E7DA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880" name="AutoShape 1">
          <a:extLst>
            <a:ext uri="{FF2B5EF4-FFF2-40B4-BE49-F238E27FC236}">
              <a16:creationId xmlns:a16="http://schemas.microsoft.com/office/drawing/2014/main" id="{F362FD1D-5D56-41B1-B139-7AACF624EEAE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881" name="AutoShape 1">
          <a:extLst>
            <a:ext uri="{FF2B5EF4-FFF2-40B4-BE49-F238E27FC236}">
              <a16:creationId xmlns:a16="http://schemas.microsoft.com/office/drawing/2014/main" id="{BE9EF45F-3DE1-4BCF-A72C-B5E9D434111B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882" name="AutoShape 1">
          <a:extLst>
            <a:ext uri="{FF2B5EF4-FFF2-40B4-BE49-F238E27FC236}">
              <a16:creationId xmlns:a16="http://schemas.microsoft.com/office/drawing/2014/main" id="{B89489BA-CDDA-4C65-BB2D-051FEB5B3674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883" name="AutoShape 1">
          <a:extLst>
            <a:ext uri="{FF2B5EF4-FFF2-40B4-BE49-F238E27FC236}">
              <a16:creationId xmlns:a16="http://schemas.microsoft.com/office/drawing/2014/main" id="{893BD053-06CD-45E2-A633-7549F1D9A788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884" name="AutoShape 1">
          <a:extLst>
            <a:ext uri="{FF2B5EF4-FFF2-40B4-BE49-F238E27FC236}">
              <a16:creationId xmlns:a16="http://schemas.microsoft.com/office/drawing/2014/main" id="{99EB6325-98CB-4024-8B92-B66E66199CBA}"/>
            </a:ext>
            <a:ext uri="{147F2762-F138-4A5C-976F-8EAC2B608ADB}">
              <a16:predDERef xmlns:a16="http://schemas.microsoft.com/office/drawing/2014/main" pred="{A9C9C4DB-4B97-447C-9099-E87BCB3C537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885" name="AutoShape 1">
          <a:extLst>
            <a:ext uri="{FF2B5EF4-FFF2-40B4-BE49-F238E27FC236}">
              <a16:creationId xmlns:a16="http://schemas.microsoft.com/office/drawing/2014/main" id="{5FF98AFA-9ECC-4D79-B805-522527E481A5}"/>
            </a:ext>
            <a:ext uri="{147F2762-F138-4A5C-976F-8EAC2B608ADB}">
              <a16:predDERef xmlns:a16="http://schemas.microsoft.com/office/drawing/2014/main" pred="{CD89554D-BD76-42AD-819A-278AD445B86E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886" name="AutoShape 1">
          <a:extLst>
            <a:ext uri="{FF2B5EF4-FFF2-40B4-BE49-F238E27FC236}">
              <a16:creationId xmlns:a16="http://schemas.microsoft.com/office/drawing/2014/main" id="{0433D5DB-1200-4D3D-9BD6-55FBBFA9B32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887" name="AutoShape 1">
          <a:extLst>
            <a:ext uri="{FF2B5EF4-FFF2-40B4-BE49-F238E27FC236}">
              <a16:creationId xmlns:a16="http://schemas.microsoft.com/office/drawing/2014/main" id="{D4BB35C7-BB1E-472E-AFD0-D1562FBE2CF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888" name="AutoShape 1">
          <a:extLst>
            <a:ext uri="{FF2B5EF4-FFF2-40B4-BE49-F238E27FC236}">
              <a16:creationId xmlns:a16="http://schemas.microsoft.com/office/drawing/2014/main" id="{009698B3-B657-44A4-8588-91E58779305C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889" name="AutoShape 1">
          <a:extLst>
            <a:ext uri="{FF2B5EF4-FFF2-40B4-BE49-F238E27FC236}">
              <a16:creationId xmlns:a16="http://schemas.microsoft.com/office/drawing/2014/main" id="{FBB567BB-FF6E-4E5D-9FCD-2F16E95EFAF3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890" name="AutoShape 1">
          <a:extLst>
            <a:ext uri="{FF2B5EF4-FFF2-40B4-BE49-F238E27FC236}">
              <a16:creationId xmlns:a16="http://schemas.microsoft.com/office/drawing/2014/main" id="{F68CB293-133C-490C-8654-B3F029E6D017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891" name="AutoShape 1">
          <a:extLst>
            <a:ext uri="{FF2B5EF4-FFF2-40B4-BE49-F238E27FC236}">
              <a16:creationId xmlns:a16="http://schemas.microsoft.com/office/drawing/2014/main" id="{90CBB0C7-2A00-4AC7-88EA-5CB5CC5008AA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892" name="AutoShape 1">
          <a:extLst>
            <a:ext uri="{FF2B5EF4-FFF2-40B4-BE49-F238E27FC236}">
              <a16:creationId xmlns:a16="http://schemas.microsoft.com/office/drawing/2014/main" id="{330352D0-1AC4-4F4F-B6A5-1AA4BE83DEF3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893" name="AutoShape 1">
          <a:extLst>
            <a:ext uri="{FF2B5EF4-FFF2-40B4-BE49-F238E27FC236}">
              <a16:creationId xmlns:a16="http://schemas.microsoft.com/office/drawing/2014/main" id="{E2ABA23F-BCB2-43C7-92DD-800DD15C81C7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894" name="AutoShape 1">
          <a:extLst>
            <a:ext uri="{FF2B5EF4-FFF2-40B4-BE49-F238E27FC236}">
              <a16:creationId xmlns:a16="http://schemas.microsoft.com/office/drawing/2014/main" id="{015536A9-0F50-490E-B5FB-2D5EA5374DF9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895" name="AutoShape 1">
          <a:extLst>
            <a:ext uri="{FF2B5EF4-FFF2-40B4-BE49-F238E27FC236}">
              <a16:creationId xmlns:a16="http://schemas.microsoft.com/office/drawing/2014/main" id="{6A75A081-5A5C-4435-BE4C-EAB617A9494F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896" name="AutoShape 1">
          <a:extLst>
            <a:ext uri="{FF2B5EF4-FFF2-40B4-BE49-F238E27FC236}">
              <a16:creationId xmlns:a16="http://schemas.microsoft.com/office/drawing/2014/main" id="{C09F5ED3-384A-4E00-BEEF-83F11C6FF82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897" name="AutoShape 1">
          <a:extLst>
            <a:ext uri="{FF2B5EF4-FFF2-40B4-BE49-F238E27FC236}">
              <a16:creationId xmlns:a16="http://schemas.microsoft.com/office/drawing/2014/main" id="{5EBDB6BF-0638-4886-9969-6AA6148C91D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898" name="AutoShape 1">
          <a:extLst>
            <a:ext uri="{FF2B5EF4-FFF2-40B4-BE49-F238E27FC236}">
              <a16:creationId xmlns:a16="http://schemas.microsoft.com/office/drawing/2014/main" id="{1DEE46D9-5270-4F84-9F24-5AE79A57746F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899" name="AutoShape 1">
          <a:extLst>
            <a:ext uri="{FF2B5EF4-FFF2-40B4-BE49-F238E27FC236}">
              <a16:creationId xmlns:a16="http://schemas.microsoft.com/office/drawing/2014/main" id="{BB9C6747-1C81-4A6D-A595-CA7C8F08405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900" name="AutoShape 1">
          <a:extLst>
            <a:ext uri="{FF2B5EF4-FFF2-40B4-BE49-F238E27FC236}">
              <a16:creationId xmlns:a16="http://schemas.microsoft.com/office/drawing/2014/main" id="{D6543A62-943D-4415-832C-8391EBAD584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901" name="AutoShape 1">
          <a:extLst>
            <a:ext uri="{FF2B5EF4-FFF2-40B4-BE49-F238E27FC236}">
              <a16:creationId xmlns:a16="http://schemas.microsoft.com/office/drawing/2014/main" id="{2104CD68-FFCB-4749-9B8B-7F536B3D410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902" name="AutoShape 1">
          <a:extLst>
            <a:ext uri="{FF2B5EF4-FFF2-40B4-BE49-F238E27FC236}">
              <a16:creationId xmlns:a16="http://schemas.microsoft.com/office/drawing/2014/main" id="{2326C65E-CC22-49C2-A0D9-5A5E72CA05C6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903" name="AutoShape 1">
          <a:extLst>
            <a:ext uri="{FF2B5EF4-FFF2-40B4-BE49-F238E27FC236}">
              <a16:creationId xmlns:a16="http://schemas.microsoft.com/office/drawing/2014/main" id="{EA0FCD56-9105-43D9-9B69-86E5C1C39177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904" name="AutoShape 1">
          <a:extLst>
            <a:ext uri="{FF2B5EF4-FFF2-40B4-BE49-F238E27FC236}">
              <a16:creationId xmlns:a16="http://schemas.microsoft.com/office/drawing/2014/main" id="{C22FF0B7-76AA-4C2E-ABED-8BCC922B0CC0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905" name="AutoShape 1">
          <a:extLst>
            <a:ext uri="{FF2B5EF4-FFF2-40B4-BE49-F238E27FC236}">
              <a16:creationId xmlns:a16="http://schemas.microsoft.com/office/drawing/2014/main" id="{13BFC9B5-C85C-4DFF-9D78-57FADE9E1E8F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906" name="AutoShape 1">
          <a:extLst>
            <a:ext uri="{FF2B5EF4-FFF2-40B4-BE49-F238E27FC236}">
              <a16:creationId xmlns:a16="http://schemas.microsoft.com/office/drawing/2014/main" id="{A00C3C4F-EECC-4796-8AA6-BF96E3BF915B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907" name="AutoShape 1">
          <a:extLst>
            <a:ext uri="{FF2B5EF4-FFF2-40B4-BE49-F238E27FC236}">
              <a16:creationId xmlns:a16="http://schemas.microsoft.com/office/drawing/2014/main" id="{2ED69166-FD52-45C9-AE77-71B0ED612125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908" name="AutoShape 1">
          <a:extLst>
            <a:ext uri="{FF2B5EF4-FFF2-40B4-BE49-F238E27FC236}">
              <a16:creationId xmlns:a16="http://schemas.microsoft.com/office/drawing/2014/main" id="{9E52CA0E-53C0-49A1-91C4-C30B6D2F67C4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909" name="AutoShape 1">
          <a:extLst>
            <a:ext uri="{FF2B5EF4-FFF2-40B4-BE49-F238E27FC236}">
              <a16:creationId xmlns:a16="http://schemas.microsoft.com/office/drawing/2014/main" id="{3727A749-9B73-4C6E-8BF9-D29F575694B3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910" name="AutoShape 1">
          <a:extLst>
            <a:ext uri="{FF2B5EF4-FFF2-40B4-BE49-F238E27FC236}">
              <a16:creationId xmlns:a16="http://schemas.microsoft.com/office/drawing/2014/main" id="{C704F340-28A7-47B5-8667-172946516D68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911" name="AutoShape 1">
          <a:extLst>
            <a:ext uri="{FF2B5EF4-FFF2-40B4-BE49-F238E27FC236}">
              <a16:creationId xmlns:a16="http://schemas.microsoft.com/office/drawing/2014/main" id="{5A11B4AE-AB08-48A7-8519-CFB0585B5C8F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912" name="AutoShape 1">
          <a:extLst>
            <a:ext uri="{FF2B5EF4-FFF2-40B4-BE49-F238E27FC236}">
              <a16:creationId xmlns:a16="http://schemas.microsoft.com/office/drawing/2014/main" id="{88D4F77F-2C3A-471D-8CDC-1A63FF636B37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913" name="AutoShape 1">
          <a:extLst>
            <a:ext uri="{FF2B5EF4-FFF2-40B4-BE49-F238E27FC236}">
              <a16:creationId xmlns:a16="http://schemas.microsoft.com/office/drawing/2014/main" id="{12673E32-EC3C-4D02-A3C3-FE0B381FA7F5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914" name="AutoShape 1">
          <a:extLst>
            <a:ext uri="{FF2B5EF4-FFF2-40B4-BE49-F238E27FC236}">
              <a16:creationId xmlns:a16="http://schemas.microsoft.com/office/drawing/2014/main" id="{457F0FA8-2A4A-44D1-ABD1-F6557372E9E7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915" name="AutoShape 1">
          <a:extLst>
            <a:ext uri="{FF2B5EF4-FFF2-40B4-BE49-F238E27FC236}">
              <a16:creationId xmlns:a16="http://schemas.microsoft.com/office/drawing/2014/main" id="{81046012-3073-4179-90A4-CF191146F484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916" name="AutoShape 1">
          <a:extLst>
            <a:ext uri="{FF2B5EF4-FFF2-40B4-BE49-F238E27FC236}">
              <a16:creationId xmlns:a16="http://schemas.microsoft.com/office/drawing/2014/main" id="{602913DB-E6A6-478F-BF6F-19DA4F8C0440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917" name="AutoShape 1">
          <a:extLst>
            <a:ext uri="{FF2B5EF4-FFF2-40B4-BE49-F238E27FC236}">
              <a16:creationId xmlns:a16="http://schemas.microsoft.com/office/drawing/2014/main" id="{4F9B1D87-07FF-4E63-B5BC-18BBA24BD907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918" name="AutoShape 1">
          <a:extLst>
            <a:ext uri="{FF2B5EF4-FFF2-40B4-BE49-F238E27FC236}">
              <a16:creationId xmlns:a16="http://schemas.microsoft.com/office/drawing/2014/main" id="{17E55BCE-FBC3-49B8-A08C-382EF8A225AB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919" name="AutoShape 1">
          <a:extLst>
            <a:ext uri="{FF2B5EF4-FFF2-40B4-BE49-F238E27FC236}">
              <a16:creationId xmlns:a16="http://schemas.microsoft.com/office/drawing/2014/main" id="{DC9C3F50-9FD2-46C2-95E2-04A3B1214357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920" name="AutoShape 1">
          <a:extLst>
            <a:ext uri="{FF2B5EF4-FFF2-40B4-BE49-F238E27FC236}">
              <a16:creationId xmlns:a16="http://schemas.microsoft.com/office/drawing/2014/main" id="{A05F5F3F-4E4A-4BF7-936F-E50F05AC5D42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921" name="AutoShape 1">
          <a:extLst>
            <a:ext uri="{FF2B5EF4-FFF2-40B4-BE49-F238E27FC236}">
              <a16:creationId xmlns:a16="http://schemas.microsoft.com/office/drawing/2014/main" id="{C3DA575B-40D5-455A-A515-DCAFD7199581}"/>
            </a:ext>
            <a:ext uri="{147F2762-F138-4A5C-976F-8EAC2B608ADB}">
              <a16:predDERef xmlns:a16="http://schemas.microsoft.com/office/drawing/2014/main" pred="{A9C9C4DB-4B97-447C-9099-E87BCB3C537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922" name="AutoShape 1">
          <a:extLst>
            <a:ext uri="{FF2B5EF4-FFF2-40B4-BE49-F238E27FC236}">
              <a16:creationId xmlns:a16="http://schemas.microsoft.com/office/drawing/2014/main" id="{2B478F30-3AE5-4F0A-85C5-7F6BAAF6DE36}"/>
            </a:ext>
            <a:ext uri="{147F2762-F138-4A5C-976F-8EAC2B608ADB}">
              <a16:predDERef xmlns:a16="http://schemas.microsoft.com/office/drawing/2014/main" pred="{CD89554D-BD76-42AD-819A-278AD445B86E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923" name="AutoShape 1">
          <a:extLst>
            <a:ext uri="{FF2B5EF4-FFF2-40B4-BE49-F238E27FC236}">
              <a16:creationId xmlns:a16="http://schemas.microsoft.com/office/drawing/2014/main" id="{B9A945CF-C46C-4EE9-9090-62F7F8BF4E7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924" name="AutoShape 1">
          <a:extLst>
            <a:ext uri="{FF2B5EF4-FFF2-40B4-BE49-F238E27FC236}">
              <a16:creationId xmlns:a16="http://schemas.microsoft.com/office/drawing/2014/main" id="{8DCF13B9-7A6E-4F6E-B2C4-804EFDBE877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925" name="AutoShape 1">
          <a:extLst>
            <a:ext uri="{FF2B5EF4-FFF2-40B4-BE49-F238E27FC236}">
              <a16:creationId xmlns:a16="http://schemas.microsoft.com/office/drawing/2014/main" id="{47E13BB6-1BED-4C7D-8E34-913DFEAD452A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926" name="AutoShape 1">
          <a:extLst>
            <a:ext uri="{FF2B5EF4-FFF2-40B4-BE49-F238E27FC236}">
              <a16:creationId xmlns:a16="http://schemas.microsoft.com/office/drawing/2014/main" id="{2490908F-C359-4C91-A28B-24413A844131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927" name="AutoShape 1">
          <a:extLst>
            <a:ext uri="{FF2B5EF4-FFF2-40B4-BE49-F238E27FC236}">
              <a16:creationId xmlns:a16="http://schemas.microsoft.com/office/drawing/2014/main" id="{BA2F3241-C4E8-49CD-AC4B-EBAC478D400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928" name="AutoShape 1">
          <a:extLst>
            <a:ext uri="{FF2B5EF4-FFF2-40B4-BE49-F238E27FC236}">
              <a16:creationId xmlns:a16="http://schemas.microsoft.com/office/drawing/2014/main" id="{3198EFD7-7B2F-4FB1-A67F-4AFF89AD696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929" name="AutoShape 1">
          <a:extLst>
            <a:ext uri="{FF2B5EF4-FFF2-40B4-BE49-F238E27FC236}">
              <a16:creationId xmlns:a16="http://schemas.microsoft.com/office/drawing/2014/main" id="{CF55FB77-3182-4B55-8413-5C9854666DEC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930" name="AutoShape 1">
          <a:extLst>
            <a:ext uri="{FF2B5EF4-FFF2-40B4-BE49-F238E27FC236}">
              <a16:creationId xmlns:a16="http://schemas.microsoft.com/office/drawing/2014/main" id="{64E7C905-1890-486A-B6E1-869D7E5DAE3F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931" name="AutoShape 1">
          <a:extLst>
            <a:ext uri="{FF2B5EF4-FFF2-40B4-BE49-F238E27FC236}">
              <a16:creationId xmlns:a16="http://schemas.microsoft.com/office/drawing/2014/main" id="{C9D4E8F1-CA31-4A58-A743-7FB47A282FE9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932" name="AutoShape 1">
          <a:extLst>
            <a:ext uri="{FF2B5EF4-FFF2-40B4-BE49-F238E27FC236}">
              <a16:creationId xmlns:a16="http://schemas.microsoft.com/office/drawing/2014/main" id="{B13A1AC2-363E-47C8-8735-59423C2D0D6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933" name="AutoShape 1">
          <a:extLst>
            <a:ext uri="{FF2B5EF4-FFF2-40B4-BE49-F238E27FC236}">
              <a16:creationId xmlns:a16="http://schemas.microsoft.com/office/drawing/2014/main" id="{87D27F3A-B725-4E14-98D8-643E42C04596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934" name="AutoShape 1">
          <a:extLst>
            <a:ext uri="{FF2B5EF4-FFF2-40B4-BE49-F238E27FC236}">
              <a16:creationId xmlns:a16="http://schemas.microsoft.com/office/drawing/2014/main" id="{CCEB8E67-0035-426A-A3C6-5A10E71C72C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935" name="AutoShape 1">
          <a:extLst>
            <a:ext uri="{FF2B5EF4-FFF2-40B4-BE49-F238E27FC236}">
              <a16:creationId xmlns:a16="http://schemas.microsoft.com/office/drawing/2014/main" id="{25497379-3590-4BEF-9532-0763E4FB614F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936" name="AutoShape 1">
          <a:extLst>
            <a:ext uri="{FF2B5EF4-FFF2-40B4-BE49-F238E27FC236}">
              <a16:creationId xmlns:a16="http://schemas.microsoft.com/office/drawing/2014/main" id="{5C520977-39A6-4DB5-A92F-BFA28766BE31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937" name="AutoShape 1">
          <a:extLst>
            <a:ext uri="{FF2B5EF4-FFF2-40B4-BE49-F238E27FC236}">
              <a16:creationId xmlns:a16="http://schemas.microsoft.com/office/drawing/2014/main" id="{C84E1A89-22CD-400C-B670-C774887401B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938" name="AutoShape 1">
          <a:extLst>
            <a:ext uri="{FF2B5EF4-FFF2-40B4-BE49-F238E27FC236}">
              <a16:creationId xmlns:a16="http://schemas.microsoft.com/office/drawing/2014/main" id="{29178084-9C2A-4921-98BC-19C12F327FEA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939" name="AutoShape 1">
          <a:extLst>
            <a:ext uri="{FF2B5EF4-FFF2-40B4-BE49-F238E27FC236}">
              <a16:creationId xmlns:a16="http://schemas.microsoft.com/office/drawing/2014/main" id="{D4330AE9-19B0-432B-BE76-3931A40542D5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940" name="AutoShape 1">
          <a:extLst>
            <a:ext uri="{FF2B5EF4-FFF2-40B4-BE49-F238E27FC236}">
              <a16:creationId xmlns:a16="http://schemas.microsoft.com/office/drawing/2014/main" id="{0F60BC53-4283-4088-AF69-EAE063826413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941" name="AutoShape 1">
          <a:extLst>
            <a:ext uri="{FF2B5EF4-FFF2-40B4-BE49-F238E27FC236}">
              <a16:creationId xmlns:a16="http://schemas.microsoft.com/office/drawing/2014/main" id="{2132B558-4F21-46CB-A2B3-693C4D4F6485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942" name="AutoShape 1">
          <a:extLst>
            <a:ext uri="{FF2B5EF4-FFF2-40B4-BE49-F238E27FC236}">
              <a16:creationId xmlns:a16="http://schemas.microsoft.com/office/drawing/2014/main" id="{1DDBD77E-3FE6-4789-B65D-BE568A424FDE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943" name="AutoShape 1">
          <a:extLst>
            <a:ext uri="{FF2B5EF4-FFF2-40B4-BE49-F238E27FC236}">
              <a16:creationId xmlns:a16="http://schemas.microsoft.com/office/drawing/2014/main" id="{8B35D231-A276-4051-BD60-78DD7C1A7C60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944" name="AutoShape 1">
          <a:extLst>
            <a:ext uri="{FF2B5EF4-FFF2-40B4-BE49-F238E27FC236}">
              <a16:creationId xmlns:a16="http://schemas.microsoft.com/office/drawing/2014/main" id="{BF6A7718-B81A-4A9E-BD87-A1ABF26823EA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945" name="AutoShape 1">
          <a:extLst>
            <a:ext uri="{FF2B5EF4-FFF2-40B4-BE49-F238E27FC236}">
              <a16:creationId xmlns:a16="http://schemas.microsoft.com/office/drawing/2014/main" id="{E8B71BC2-ADB0-4E5A-A1D9-A991E6E15A79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946" name="AutoShape 1">
          <a:extLst>
            <a:ext uri="{FF2B5EF4-FFF2-40B4-BE49-F238E27FC236}">
              <a16:creationId xmlns:a16="http://schemas.microsoft.com/office/drawing/2014/main" id="{103ABD02-5EBB-409C-9D4F-51A6ED3051D6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947" name="AutoShape 1">
          <a:extLst>
            <a:ext uri="{FF2B5EF4-FFF2-40B4-BE49-F238E27FC236}">
              <a16:creationId xmlns:a16="http://schemas.microsoft.com/office/drawing/2014/main" id="{35C9B6FD-DB01-4C15-8251-08B0BDE56E8F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948" name="AutoShape 1">
          <a:extLst>
            <a:ext uri="{FF2B5EF4-FFF2-40B4-BE49-F238E27FC236}">
              <a16:creationId xmlns:a16="http://schemas.microsoft.com/office/drawing/2014/main" id="{C1221730-8EC6-4885-8A4B-49B73CDE66F2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949" name="AutoShape 1">
          <a:extLst>
            <a:ext uri="{FF2B5EF4-FFF2-40B4-BE49-F238E27FC236}">
              <a16:creationId xmlns:a16="http://schemas.microsoft.com/office/drawing/2014/main" id="{22B085F9-1C7B-449C-960F-9CF25611105E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950" name="AutoShape 1">
          <a:extLst>
            <a:ext uri="{FF2B5EF4-FFF2-40B4-BE49-F238E27FC236}">
              <a16:creationId xmlns:a16="http://schemas.microsoft.com/office/drawing/2014/main" id="{1BF6D858-C42E-4EEB-A4AA-02974E0FA3C0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951" name="AutoShape 1">
          <a:extLst>
            <a:ext uri="{FF2B5EF4-FFF2-40B4-BE49-F238E27FC236}">
              <a16:creationId xmlns:a16="http://schemas.microsoft.com/office/drawing/2014/main" id="{58FC21C5-5F47-40CA-A609-A3740CF93A16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952" name="AutoShape 1">
          <a:extLst>
            <a:ext uri="{FF2B5EF4-FFF2-40B4-BE49-F238E27FC236}">
              <a16:creationId xmlns:a16="http://schemas.microsoft.com/office/drawing/2014/main" id="{140833B4-DF41-4683-9E9B-06ADC3D9835A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953" name="AutoShape 1">
          <a:extLst>
            <a:ext uri="{FF2B5EF4-FFF2-40B4-BE49-F238E27FC236}">
              <a16:creationId xmlns:a16="http://schemas.microsoft.com/office/drawing/2014/main" id="{D98C150E-90B0-4132-B5CE-6126394685FE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954" name="AutoShape 1">
          <a:extLst>
            <a:ext uri="{FF2B5EF4-FFF2-40B4-BE49-F238E27FC236}">
              <a16:creationId xmlns:a16="http://schemas.microsoft.com/office/drawing/2014/main" id="{E77DCBBA-B3F4-41A2-9990-8A72EBDA1932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955" name="AutoShape 1">
          <a:extLst>
            <a:ext uri="{FF2B5EF4-FFF2-40B4-BE49-F238E27FC236}">
              <a16:creationId xmlns:a16="http://schemas.microsoft.com/office/drawing/2014/main" id="{0380DF65-02D0-441C-BAA8-3FC5D2E19407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956" name="AutoShape 1">
          <a:extLst>
            <a:ext uri="{FF2B5EF4-FFF2-40B4-BE49-F238E27FC236}">
              <a16:creationId xmlns:a16="http://schemas.microsoft.com/office/drawing/2014/main" id="{3165BB63-227E-41E9-804C-67521659B4B8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957" name="AutoShape 1">
          <a:extLst>
            <a:ext uri="{FF2B5EF4-FFF2-40B4-BE49-F238E27FC236}">
              <a16:creationId xmlns:a16="http://schemas.microsoft.com/office/drawing/2014/main" id="{43CCDE92-A173-4FC8-90A5-F14C1A7B3A41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958" name="AutoShape 1">
          <a:extLst>
            <a:ext uri="{FF2B5EF4-FFF2-40B4-BE49-F238E27FC236}">
              <a16:creationId xmlns:a16="http://schemas.microsoft.com/office/drawing/2014/main" id="{A6ADF02A-D2A3-44C2-B0FC-CF25B97430C8}"/>
            </a:ext>
            <a:ext uri="{147F2762-F138-4A5C-976F-8EAC2B608ADB}">
              <a16:predDERef xmlns:a16="http://schemas.microsoft.com/office/drawing/2014/main" pred="{A9C9C4DB-4B97-447C-9099-E87BCB3C537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959" name="AutoShape 1">
          <a:extLst>
            <a:ext uri="{FF2B5EF4-FFF2-40B4-BE49-F238E27FC236}">
              <a16:creationId xmlns:a16="http://schemas.microsoft.com/office/drawing/2014/main" id="{BFC75E0F-827C-4B16-A668-D288ECDA4C13}"/>
            </a:ext>
            <a:ext uri="{147F2762-F138-4A5C-976F-8EAC2B608ADB}">
              <a16:predDERef xmlns:a16="http://schemas.microsoft.com/office/drawing/2014/main" pred="{CD89554D-BD76-42AD-819A-278AD445B86E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960" name="AutoShape 1">
          <a:extLst>
            <a:ext uri="{FF2B5EF4-FFF2-40B4-BE49-F238E27FC236}">
              <a16:creationId xmlns:a16="http://schemas.microsoft.com/office/drawing/2014/main" id="{20A32A8D-47F0-48F7-A078-1096A08D0A6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961" name="AutoShape 1">
          <a:extLst>
            <a:ext uri="{FF2B5EF4-FFF2-40B4-BE49-F238E27FC236}">
              <a16:creationId xmlns:a16="http://schemas.microsoft.com/office/drawing/2014/main" id="{F46F9FB7-78C3-4CD7-B9AB-52379DAA827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962" name="AutoShape 1">
          <a:extLst>
            <a:ext uri="{FF2B5EF4-FFF2-40B4-BE49-F238E27FC236}">
              <a16:creationId xmlns:a16="http://schemas.microsoft.com/office/drawing/2014/main" id="{EDB1C30D-8F80-49EA-A95B-7AC2387CA5F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963" name="AutoShape 1">
          <a:extLst>
            <a:ext uri="{FF2B5EF4-FFF2-40B4-BE49-F238E27FC236}">
              <a16:creationId xmlns:a16="http://schemas.microsoft.com/office/drawing/2014/main" id="{3ACFFA2B-DA0F-4880-B8B1-1A888471755B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964" name="AutoShape 1">
          <a:extLst>
            <a:ext uri="{FF2B5EF4-FFF2-40B4-BE49-F238E27FC236}">
              <a16:creationId xmlns:a16="http://schemas.microsoft.com/office/drawing/2014/main" id="{0726A265-C5BF-4291-93BA-D4C4D5B410A1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965" name="AutoShape 1">
          <a:extLst>
            <a:ext uri="{FF2B5EF4-FFF2-40B4-BE49-F238E27FC236}">
              <a16:creationId xmlns:a16="http://schemas.microsoft.com/office/drawing/2014/main" id="{78CD21F5-8CEA-4D39-B476-DE1A83919B8F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966" name="AutoShape 1">
          <a:extLst>
            <a:ext uri="{FF2B5EF4-FFF2-40B4-BE49-F238E27FC236}">
              <a16:creationId xmlns:a16="http://schemas.microsoft.com/office/drawing/2014/main" id="{3D8F3A5C-D20C-4D0F-A60F-D0147CADCDAA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967" name="AutoShape 1">
          <a:extLst>
            <a:ext uri="{FF2B5EF4-FFF2-40B4-BE49-F238E27FC236}">
              <a16:creationId xmlns:a16="http://schemas.microsoft.com/office/drawing/2014/main" id="{23C5D7F2-E182-4882-A9D1-AB1E28AD374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968" name="AutoShape 1">
          <a:extLst>
            <a:ext uri="{FF2B5EF4-FFF2-40B4-BE49-F238E27FC236}">
              <a16:creationId xmlns:a16="http://schemas.microsoft.com/office/drawing/2014/main" id="{4C3A9AB4-16ED-4F0E-89E2-B2F057BED4E7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969" name="AutoShape 1">
          <a:extLst>
            <a:ext uri="{FF2B5EF4-FFF2-40B4-BE49-F238E27FC236}">
              <a16:creationId xmlns:a16="http://schemas.microsoft.com/office/drawing/2014/main" id="{EF04C4AD-6C22-45C7-AB9A-317CAA6D8B54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970" name="AutoShape 1">
          <a:extLst>
            <a:ext uri="{FF2B5EF4-FFF2-40B4-BE49-F238E27FC236}">
              <a16:creationId xmlns:a16="http://schemas.microsoft.com/office/drawing/2014/main" id="{EDA6AA0E-209B-4000-9352-38C0857FAA6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971" name="AutoShape 1">
          <a:extLst>
            <a:ext uri="{FF2B5EF4-FFF2-40B4-BE49-F238E27FC236}">
              <a16:creationId xmlns:a16="http://schemas.microsoft.com/office/drawing/2014/main" id="{1515F2A9-C004-4314-965F-ADD58488D01C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972" name="AutoShape 1">
          <a:extLst>
            <a:ext uri="{FF2B5EF4-FFF2-40B4-BE49-F238E27FC236}">
              <a16:creationId xmlns:a16="http://schemas.microsoft.com/office/drawing/2014/main" id="{A3FEAA13-A9AF-4C31-B7A4-F02EF79DEC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973" name="AutoShape 1">
          <a:extLst>
            <a:ext uri="{FF2B5EF4-FFF2-40B4-BE49-F238E27FC236}">
              <a16:creationId xmlns:a16="http://schemas.microsoft.com/office/drawing/2014/main" id="{EF911232-603F-4005-A4C6-2B579BB37FA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974" name="AutoShape 1">
          <a:extLst>
            <a:ext uri="{FF2B5EF4-FFF2-40B4-BE49-F238E27FC236}">
              <a16:creationId xmlns:a16="http://schemas.microsoft.com/office/drawing/2014/main" id="{400C5D97-2608-4E85-B3CF-FCA41C288A8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975" name="AutoShape 1">
          <a:extLst>
            <a:ext uri="{FF2B5EF4-FFF2-40B4-BE49-F238E27FC236}">
              <a16:creationId xmlns:a16="http://schemas.microsoft.com/office/drawing/2014/main" id="{4885F5D2-3488-48D6-8DC8-575CF45C1E1E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976" name="AutoShape 1">
          <a:extLst>
            <a:ext uri="{FF2B5EF4-FFF2-40B4-BE49-F238E27FC236}">
              <a16:creationId xmlns:a16="http://schemas.microsoft.com/office/drawing/2014/main" id="{4CF8BAFE-FB02-4FCD-A613-3CD4415201B4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977" name="AutoShape 1">
          <a:extLst>
            <a:ext uri="{FF2B5EF4-FFF2-40B4-BE49-F238E27FC236}">
              <a16:creationId xmlns:a16="http://schemas.microsoft.com/office/drawing/2014/main" id="{7AE7F9BF-1742-4B6E-B41B-6736AF44421F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978" name="AutoShape 1">
          <a:extLst>
            <a:ext uri="{FF2B5EF4-FFF2-40B4-BE49-F238E27FC236}">
              <a16:creationId xmlns:a16="http://schemas.microsoft.com/office/drawing/2014/main" id="{BD90444B-CA31-41E0-9DB9-189ECEF645BF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979" name="AutoShape 1">
          <a:extLst>
            <a:ext uri="{FF2B5EF4-FFF2-40B4-BE49-F238E27FC236}">
              <a16:creationId xmlns:a16="http://schemas.microsoft.com/office/drawing/2014/main" id="{9C87DB08-E1B6-4338-B06C-A47AC006CEDA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980" name="AutoShape 1">
          <a:extLst>
            <a:ext uri="{FF2B5EF4-FFF2-40B4-BE49-F238E27FC236}">
              <a16:creationId xmlns:a16="http://schemas.microsoft.com/office/drawing/2014/main" id="{B7E6EBA4-CD7C-46EB-A23A-C626E575F05A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981" name="AutoShape 1">
          <a:extLst>
            <a:ext uri="{FF2B5EF4-FFF2-40B4-BE49-F238E27FC236}">
              <a16:creationId xmlns:a16="http://schemas.microsoft.com/office/drawing/2014/main" id="{53DF57F6-7CE3-4550-BAEF-97F659E46729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982" name="AutoShape 1">
          <a:extLst>
            <a:ext uri="{FF2B5EF4-FFF2-40B4-BE49-F238E27FC236}">
              <a16:creationId xmlns:a16="http://schemas.microsoft.com/office/drawing/2014/main" id="{037B900B-536C-4407-B7A9-0B751A6843B5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983" name="AutoShape 1">
          <a:extLst>
            <a:ext uri="{FF2B5EF4-FFF2-40B4-BE49-F238E27FC236}">
              <a16:creationId xmlns:a16="http://schemas.microsoft.com/office/drawing/2014/main" id="{38058B2B-2B27-4F3D-9FCB-8281B7E88F2A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984" name="AutoShape 1">
          <a:extLst>
            <a:ext uri="{FF2B5EF4-FFF2-40B4-BE49-F238E27FC236}">
              <a16:creationId xmlns:a16="http://schemas.microsoft.com/office/drawing/2014/main" id="{FA19B2B0-01E8-4DCF-AB7B-F43F6C6AC8B7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985" name="AutoShape 1">
          <a:extLst>
            <a:ext uri="{FF2B5EF4-FFF2-40B4-BE49-F238E27FC236}">
              <a16:creationId xmlns:a16="http://schemas.microsoft.com/office/drawing/2014/main" id="{440D3D77-8B91-4D3C-A666-A9E4098A86D1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986" name="AutoShape 1">
          <a:extLst>
            <a:ext uri="{FF2B5EF4-FFF2-40B4-BE49-F238E27FC236}">
              <a16:creationId xmlns:a16="http://schemas.microsoft.com/office/drawing/2014/main" id="{ECBF872B-33A7-4854-B00B-8682004F20BE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987" name="AutoShape 1">
          <a:extLst>
            <a:ext uri="{FF2B5EF4-FFF2-40B4-BE49-F238E27FC236}">
              <a16:creationId xmlns:a16="http://schemas.microsoft.com/office/drawing/2014/main" id="{C198A8A9-9E5D-47C9-8028-CDAFF5C068DB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988" name="AutoShape 1">
          <a:extLst>
            <a:ext uri="{FF2B5EF4-FFF2-40B4-BE49-F238E27FC236}">
              <a16:creationId xmlns:a16="http://schemas.microsoft.com/office/drawing/2014/main" id="{E8E6951A-E443-49CA-80CF-62FCE9938260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989" name="AutoShape 1">
          <a:extLst>
            <a:ext uri="{FF2B5EF4-FFF2-40B4-BE49-F238E27FC236}">
              <a16:creationId xmlns:a16="http://schemas.microsoft.com/office/drawing/2014/main" id="{73625DA3-4646-4B1B-A78A-AB6C073CB9BF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990" name="AutoShape 1">
          <a:extLst>
            <a:ext uri="{FF2B5EF4-FFF2-40B4-BE49-F238E27FC236}">
              <a16:creationId xmlns:a16="http://schemas.microsoft.com/office/drawing/2014/main" id="{57CD89B6-5584-4E0E-B752-2646F4630C5D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991" name="AutoShape 1">
          <a:extLst>
            <a:ext uri="{FF2B5EF4-FFF2-40B4-BE49-F238E27FC236}">
              <a16:creationId xmlns:a16="http://schemas.microsoft.com/office/drawing/2014/main" id="{10857B43-6FFA-42C9-8F75-C2E04D3A90B1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992" name="AutoShape 1">
          <a:extLst>
            <a:ext uri="{FF2B5EF4-FFF2-40B4-BE49-F238E27FC236}">
              <a16:creationId xmlns:a16="http://schemas.microsoft.com/office/drawing/2014/main" id="{523FBD32-B658-4148-8A36-33612B278C4E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993" name="AutoShape 1">
          <a:extLst>
            <a:ext uri="{FF2B5EF4-FFF2-40B4-BE49-F238E27FC236}">
              <a16:creationId xmlns:a16="http://schemas.microsoft.com/office/drawing/2014/main" id="{4EA9F0EB-A8D8-45E9-BD40-203C870A87F6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994" name="AutoShape 1">
          <a:extLst>
            <a:ext uri="{FF2B5EF4-FFF2-40B4-BE49-F238E27FC236}">
              <a16:creationId xmlns:a16="http://schemas.microsoft.com/office/drawing/2014/main" id="{11A4AB9F-7459-4F89-947A-A66C9F33AC4C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995" name="AutoShape 1">
          <a:extLst>
            <a:ext uri="{FF2B5EF4-FFF2-40B4-BE49-F238E27FC236}">
              <a16:creationId xmlns:a16="http://schemas.microsoft.com/office/drawing/2014/main" id="{FC67ACBC-57DB-4CF0-8BE2-A59B23F5398A}"/>
            </a:ext>
            <a:ext uri="{147F2762-F138-4A5C-976F-8EAC2B608ADB}">
              <a16:predDERef xmlns:a16="http://schemas.microsoft.com/office/drawing/2014/main" pred="{A9C9C4DB-4B97-447C-9099-E87BCB3C537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996" name="AutoShape 1">
          <a:extLst>
            <a:ext uri="{FF2B5EF4-FFF2-40B4-BE49-F238E27FC236}">
              <a16:creationId xmlns:a16="http://schemas.microsoft.com/office/drawing/2014/main" id="{CF85BAA0-6F6C-40D0-B318-F33277763533}"/>
            </a:ext>
            <a:ext uri="{147F2762-F138-4A5C-976F-8EAC2B608ADB}">
              <a16:predDERef xmlns:a16="http://schemas.microsoft.com/office/drawing/2014/main" pred="{CD89554D-BD76-42AD-819A-278AD445B86E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997" name="AutoShape 1">
          <a:extLst>
            <a:ext uri="{FF2B5EF4-FFF2-40B4-BE49-F238E27FC236}">
              <a16:creationId xmlns:a16="http://schemas.microsoft.com/office/drawing/2014/main" id="{E8FAA605-5F90-48A0-8C10-28A6F89011B6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998" name="AutoShape 1">
          <a:extLst>
            <a:ext uri="{FF2B5EF4-FFF2-40B4-BE49-F238E27FC236}">
              <a16:creationId xmlns:a16="http://schemas.microsoft.com/office/drawing/2014/main" id="{A7A5F6C0-C8BB-454D-8C31-99B7D71079C3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1999" name="AutoShape 1">
          <a:extLst>
            <a:ext uri="{FF2B5EF4-FFF2-40B4-BE49-F238E27FC236}">
              <a16:creationId xmlns:a16="http://schemas.microsoft.com/office/drawing/2014/main" id="{C5C747B0-3CD7-4B49-95D6-28068CDF37DB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000" name="AutoShape 1">
          <a:extLst>
            <a:ext uri="{FF2B5EF4-FFF2-40B4-BE49-F238E27FC236}">
              <a16:creationId xmlns:a16="http://schemas.microsoft.com/office/drawing/2014/main" id="{D0E191FE-A0A8-4322-BC33-FD0D1D270A81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001" name="AutoShape 1">
          <a:extLst>
            <a:ext uri="{FF2B5EF4-FFF2-40B4-BE49-F238E27FC236}">
              <a16:creationId xmlns:a16="http://schemas.microsoft.com/office/drawing/2014/main" id="{4EFE2254-F4A5-41E6-83F5-524C3327A9AA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002" name="AutoShape 1">
          <a:extLst>
            <a:ext uri="{FF2B5EF4-FFF2-40B4-BE49-F238E27FC236}">
              <a16:creationId xmlns:a16="http://schemas.microsoft.com/office/drawing/2014/main" id="{E4C4A300-5116-424C-8F0E-BB4FCBE0AB01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003" name="AutoShape 1">
          <a:extLst>
            <a:ext uri="{FF2B5EF4-FFF2-40B4-BE49-F238E27FC236}">
              <a16:creationId xmlns:a16="http://schemas.microsoft.com/office/drawing/2014/main" id="{6CC1BA72-35D1-4951-94D8-398668F594EB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004" name="AutoShape 1">
          <a:extLst>
            <a:ext uri="{FF2B5EF4-FFF2-40B4-BE49-F238E27FC236}">
              <a16:creationId xmlns:a16="http://schemas.microsoft.com/office/drawing/2014/main" id="{DD54CAB3-9D06-4308-A177-781DE52167FA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005" name="AutoShape 1">
          <a:extLst>
            <a:ext uri="{FF2B5EF4-FFF2-40B4-BE49-F238E27FC236}">
              <a16:creationId xmlns:a16="http://schemas.microsoft.com/office/drawing/2014/main" id="{4EF66924-6DCD-47C0-B3AD-2C5B0B49070F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006" name="AutoShape 1">
          <a:extLst>
            <a:ext uri="{FF2B5EF4-FFF2-40B4-BE49-F238E27FC236}">
              <a16:creationId xmlns:a16="http://schemas.microsoft.com/office/drawing/2014/main" id="{84870050-E46A-47BB-BF93-B47D4898B5FF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007" name="AutoShape 1">
          <a:extLst>
            <a:ext uri="{FF2B5EF4-FFF2-40B4-BE49-F238E27FC236}">
              <a16:creationId xmlns:a16="http://schemas.microsoft.com/office/drawing/2014/main" id="{769D0ABE-9A24-4617-A1E3-A611D9659CE4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008" name="AutoShape 1">
          <a:extLst>
            <a:ext uri="{FF2B5EF4-FFF2-40B4-BE49-F238E27FC236}">
              <a16:creationId xmlns:a16="http://schemas.microsoft.com/office/drawing/2014/main" id="{6E3B9430-249A-4994-837F-91B73E2CD659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009" name="AutoShape 1">
          <a:extLst>
            <a:ext uri="{FF2B5EF4-FFF2-40B4-BE49-F238E27FC236}">
              <a16:creationId xmlns:a16="http://schemas.microsoft.com/office/drawing/2014/main" id="{D1A4B092-DA12-49A3-9C5C-1718BC5D64CB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010" name="AutoShape 1">
          <a:extLst>
            <a:ext uri="{FF2B5EF4-FFF2-40B4-BE49-F238E27FC236}">
              <a16:creationId xmlns:a16="http://schemas.microsoft.com/office/drawing/2014/main" id="{9EDC5307-36F6-478F-B243-36D78240787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011" name="AutoShape 1">
          <a:extLst>
            <a:ext uri="{FF2B5EF4-FFF2-40B4-BE49-F238E27FC236}">
              <a16:creationId xmlns:a16="http://schemas.microsoft.com/office/drawing/2014/main" id="{30FD3229-DE1F-4135-A2F3-9621462316B7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012" name="AutoShape 1">
          <a:extLst>
            <a:ext uri="{FF2B5EF4-FFF2-40B4-BE49-F238E27FC236}">
              <a16:creationId xmlns:a16="http://schemas.microsoft.com/office/drawing/2014/main" id="{AFB6C8B8-74C8-49AC-B729-0A680D82E1A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013" name="AutoShape 1">
          <a:extLst>
            <a:ext uri="{FF2B5EF4-FFF2-40B4-BE49-F238E27FC236}">
              <a16:creationId xmlns:a16="http://schemas.microsoft.com/office/drawing/2014/main" id="{84FB411D-5870-4191-A5FE-9E69DEF02EAC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014" name="AutoShape 1">
          <a:extLst>
            <a:ext uri="{FF2B5EF4-FFF2-40B4-BE49-F238E27FC236}">
              <a16:creationId xmlns:a16="http://schemas.microsoft.com/office/drawing/2014/main" id="{21898D2C-ABA9-4A71-B82F-1B93E22F7247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015" name="AutoShape 1">
          <a:extLst>
            <a:ext uri="{FF2B5EF4-FFF2-40B4-BE49-F238E27FC236}">
              <a16:creationId xmlns:a16="http://schemas.microsoft.com/office/drawing/2014/main" id="{B7E7BEB7-FE30-40B1-8237-7B3B6FB1415C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016" name="AutoShape 1">
          <a:extLst>
            <a:ext uri="{FF2B5EF4-FFF2-40B4-BE49-F238E27FC236}">
              <a16:creationId xmlns:a16="http://schemas.microsoft.com/office/drawing/2014/main" id="{CB867DD8-937B-4ED6-8A5F-8EA5C51BA2E7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017" name="AutoShape 1">
          <a:extLst>
            <a:ext uri="{FF2B5EF4-FFF2-40B4-BE49-F238E27FC236}">
              <a16:creationId xmlns:a16="http://schemas.microsoft.com/office/drawing/2014/main" id="{0B575A82-8680-41A1-821A-7CA81DAE1140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018" name="AutoShape 1">
          <a:extLst>
            <a:ext uri="{FF2B5EF4-FFF2-40B4-BE49-F238E27FC236}">
              <a16:creationId xmlns:a16="http://schemas.microsoft.com/office/drawing/2014/main" id="{079CE366-EB7A-427C-9204-2D84FA5B3CB0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019" name="AutoShape 1">
          <a:extLst>
            <a:ext uri="{FF2B5EF4-FFF2-40B4-BE49-F238E27FC236}">
              <a16:creationId xmlns:a16="http://schemas.microsoft.com/office/drawing/2014/main" id="{F57F738F-1AE2-4D64-8020-EBB1C05CFC11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020" name="AutoShape 1">
          <a:extLst>
            <a:ext uri="{FF2B5EF4-FFF2-40B4-BE49-F238E27FC236}">
              <a16:creationId xmlns:a16="http://schemas.microsoft.com/office/drawing/2014/main" id="{5B7F4546-0523-4538-866B-588DEFFB8179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021" name="AutoShape 1">
          <a:extLst>
            <a:ext uri="{FF2B5EF4-FFF2-40B4-BE49-F238E27FC236}">
              <a16:creationId xmlns:a16="http://schemas.microsoft.com/office/drawing/2014/main" id="{72C1C671-0831-4C00-A671-48725DD5B78B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022" name="AutoShape 1">
          <a:extLst>
            <a:ext uri="{FF2B5EF4-FFF2-40B4-BE49-F238E27FC236}">
              <a16:creationId xmlns:a16="http://schemas.microsoft.com/office/drawing/2014/main" id="{CDBB3B2B-EA25-4FE1-B47C-180C2925A802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023" name="AutoShape 1">
          <a:extLst>
            <a:ext uri="{FF2B5EF4-FFF2-40B4-BE49-F238E27FC236}">
              <a16:creationId xmlns:a16="http://schemas.microsoft.com/office/drawing/2014/main" id="{88DE459B-BCAC-49A2-AFEB-8E7AEE2C5D93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024" name="AutoShape 1">
          <a:extLst>
            <a:ext uri="{FF2B5EF4-FFF2-40B4-BE49-F238E27FC236}">
              <a16:creationId xmlns:a16="http://schemas.microsoft.com/office/drawing/2014/main" id="{17C8E8D2-EC79-456E-90E1-06B15907B209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025" name="AutoShape 1">
          <a:extLst>
            <a:ext uri="{FF2B5EF4-FFF2-40B4-BE49-F238E27FC236}">
              <a16:creationId xmlns:a16="http://schemas.microsoft.com/office/drawing/2014/main" id="{840EAD22-2D1D-4207-848D-E99812ECB36B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026" name="AutoShape 1">
          <a:extLst>
            <a:ext uri="{FF2B5EF4-FFF2-40B4-BE49-F238E27FC236}">
              <a16:creationId xmlns:a16="http://schemas.microsoft.com/office/drawing/2014/main" id="{EA4E2FCA-6787-4653-9AE8-9BEB4C1FE47A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027" name="AutoShape 1">
          <a:extLst>
            <a:ext uri="{FF2B5EF4-FFF2-40B4-BE49-F238E27FC236}">
              <a16:creationId xmlns:a16="http://schemas.microsoft.com/office/drawing/2014/main" id="{08BB3925-548B-4957-BA9F-92FF34FECBD9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028" name="AutoShape 1">
          <a:extLst>
            <a:ext uri="{FF2B5EF4-FFF2-40B4-BE49-F238E27FC236}">
              <a16:creationId xmlns:a16="http://schemas.microsoft.com/office/drawing/2014/main" id="{69491F2B-016A-4408-AED9-1735C591FEB9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029" name="AutoShape 1">
          <a:extLst>
            <a:ext uri="{FF2B5EF4-FFF2-40B4-BE49-F238E27FC236}">
              <a16:creationId xmlns:a16="http://schemas.microsoft.com/office/drawing/2014/main" id="{4B739CD9-2F65-4C36-97C9-878C450E3712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030" name="AutoShape 1">
          <a:extLst>
            <a:ext uri="{FF2B5EF4-FFF2-40B4-BE49-F238E27FC236}">
              <a16:creationId xmlns:a16="http://schemas.microsoft.com/office/drawing/2014/main" id="{96CE126D-5706-42B5-B8DF-F86935F7DC18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031" name="AutoShape 1">
          <a:extLst>
            <a:ext uri="{FF2B5EF4-FFF2-40B4-BE49-F238E27FC236}">
              <a16:creationId xmlns:a16="http://schemas.microsoft.com/office/drawing/2014/main" id="{05D3342F-6EA3-423A-A593-A90290E9C19E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032" name="AutoShape 1">
          <a:extLst>
            <a:ext uri="{FF2B5EF4-FFF2-40B4-BE49-F238E27FC236}">
              <a16:creationId xmlns:a16="http://schemas.microsoft.com/office/drawing/2014/main" id="{8C23F5EA-648C-4B7B-AC3D-EFC86E80027E}"/>
            </a:ext>
            <a:ext uri="{147F2762-F138-4A5C-976F-8EAC2B608ADB}">
              <a16:predDERef xmlns:a16="http://schemas.microsoft.com/office/drawing/2014/main" pred="{A9C9C4DB-4B97-447C-9099-E87BCB3C537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033" name="AutoShape 1">
          <a:extLst>
            <a:ext uri="{FF2B5EF4-FFF2-40B4-BE49-F238E27FC236}">
              <a16:creationId xmlns:a16="http://schemas.microsoft.com/office/drawing/2014/main" id="{24F5943B-92FB-4A37-B5E3-B8197D50E048}"/>
            </a:ext>
            <a:ext uri="{147F2762-F138-4A5C-976F-8EAC2B608ADB}">
              <a16:predDERef xmlns:a16="http://schemas.microsoft.com/office/drawing/2014/main" pred="{CD89554D-BD76-42AD-819A-278AD445B86E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034" name="AutoShape 1">
          <a:extLst>
            <a:ext uri="{FF2B5EF4-FFF2-40B4-BE49-F238E27FC236}">
              <a16:creationId xmlns:a16="http://schemas.microsoft.com/office/drawing/2014/main" id="{2082F55A-3871-4D71-838A-31E4CFD28F5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035" name="AutoShape 1">
          <a:extLst>
            <a:ext uri="{FF2B5EF4-FFF2-40B4-BE49-F238E27FC236}">
              <a16:creationId xmlns:a16="http://schemas.microsoft.com/office/drawing/2014/main" id="{6A193DD3-BE47-4393-88EA-80ACE1F32393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036" name="AutoShape 1">
          <a:extLst>
            <a:ext uri="{FF2B5EF4-FFF2-40B4-BE49-F238E27FC236}">
              <a16:creationId xmlns:a16="http://schemas.microsoft.com/office/drawing/2014/main" id="{8EC92B90-188B-41EC-85BA-13658F1DA00B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037" name="AutoShape 1">
          <a:extLst>
            <a:ext uri="{FF2B5EF4-FFF2-40B4-BE49-F238E27FC236}">
              <a16:creationId xmlns:a16="http://schemas.microsoft.com/office/drawing/2014/main" id="{D4AA0B16-F64A-44BA-B6E8-8054C8C30A46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038" name="AutoShape 1">
          <a:extLst>
            <a:ext uri="{FF2B5EF4-FFF2-40B4-BE49-F238E27FC236}">
              <a16:creationId xmlns:a16="http://schemas.microsoft.com/office/drawing/2014/main" id="{01B46F27-930A-4CFF-8134-D4BC6DEDC1E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039" name="AutoShape 1">
          <a:extLst>
            <a:ext uri="{FF2B5EF4-FFF2-40B4-BE49-F238E27FC236}">
              <a16:creationId xmlns:a16="http://schemas.microsoft.com/office/drawing/2014/main" id="{940217DE-3565-4001-98BB-B325A7F2AF8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040" name="AutoShape 1">
          <a:extLst>
            <a:ext uri="{FF2B5EF4-FFF2-40B4-BE49-F238E27FC236}">
              <a16:creationId xmlns:a16="http://schemas.microsoft.com/office/drawing/2014/main" id="{9428CD16-C92D-4F21-A761-54106764AE9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041" name="AutoShape 1">
          <a:extLst>
            <a:ext uri="{FF2B5EF4-FFF2-40B4-BE49-F238E27FC236}">
              <a16:creationId xmlns:a16="http://schemas.microsoft.com/office/drawing/2014/main" id="{71015F6E-F89E-4C17-8A4C-87045C12E89A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042" name="AutoShape 1">
          <a:extLst>
            <a:ext uri="{FF2B5EF4-FFF2-40B4-BE49-F238E27FC236}">
              <a16:creationId xmlns:a16="http://schemas.microsoft.com/office/drawing/2014/main" id="{72D9A129-5BEE-4FE6-9D7B-0434D6D3BC03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043" name="AutoShape 1">
          <a:extLst>
            <a:ext uri="{FF2B5EF4-FFF2-40B4-BE49-F238E27FC236}">
              <a16:creationId xmlns:a16="http://schemas.microsoft.com/office/drawing/2014/main" id="{CA526B4A-F015-44FF-B6B2-6F6C0997FAC9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044" name="AutoShape 1">
          <a:extLst>
            <a:ext uri="{FF2B5EF4-FFF2-40B4-BE49-F238E27FC236}">
              <a16:creationId xmlns:a16="http://schemas.microsoft.com/office/drawing/2014/main" id="{25535CB2-F4D5-47A4-966B-91174AEA5D81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045" name="AutoShape 1">
          <a:extLst>
            <a:ext uri="{FF2B5EF4-FFF2-40B4-BE49-F238E27FC236}">
              <a16:creationId xmlns:a16="http://schemas.microsoft.com/office/drawing/2014/main" id="{34119E38-0ED0-4A22-8FBD-BD19D1F22119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046" name="AutoShape 1">
          <a:extLst>
            <a:ext uri="{FF2B5EF4-FFF2-40B4-BE49-F238E27FC236}">
              <a16:creationId xmlns:a16="http://schemas.microsoft.com/office/drawing/2014/main" id="{49FD946D-5C51-4F8A-BFAF-ABE47C4989F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047" name="AutoShape 1">
          <a:extLst>
            <a:ext uri="{FF2B5EF4-FFF2-40B4-BE49-F238E27FC236}">
              <a16:creationId xmlns:a16="http://schemas.microsoft.com/office/drawing/2014/main" id="{3808B194-289A-4A8F-B6FF-CC05A84FEFBA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048" name="AutoShape 1">
          <a:extLst>
            <a:ext uri="{FF2B5EF4-FFF2-40B4-BE49-F238E27FC236}">
              <a16:creationId xmlns:a16="http://schemas.microsoft.com/office/drawing/2014/main" id="{A0A30CD5-4299-43F3-A92E-2162CE38F0A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049" name="AutoShape 1">
          <a:extLst>
            <a:ext uri="{FF2B5EF4-FFF2-40B4-BE49-F238E27FC236}">
              <a16:creationId xmlns:a16="http://schemas.microsoft.com/office/drawing/2014/main" id="{C31F4213-CF66-488E-A190-0F9ABD3DEBD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050" name="AutoShape 1">
          <a:extLst>
            <a:ext uri="{FF2B5EF4-FFF2-40B4-BE49-F238E27FC236}">
              <a16:creationId xmlns:a16="http://schemas.microsoft.com/office/drawing/2014/main" id="{4392CE43-8491-4950-B242-67EC6C59098C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051" name="AutoShape 1">
          <a:extLst>
            <a:ext uri="{FF2B5EF4-FFF2-40B4-BE49-F238E27FC236}">
              <a16:creationId xmlns:a16="http://schemas.microsoft.com/office/drawing/2014/main" id="{51EBCEAD-5064-4B93-8B59-B8D3F873247C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052" name="AutoShape 1">
          <a:extLst>
            <a:ext uri="{FF2B5EF4-FFF2-40B4-BE49-F238E27FC236}">
              <a16:creationId xmlns:a16="http://schemas.microsoft.com/office/drawing/2014/main" id="{208961ED-A623-43AB-87E2-91A214FC62A8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053" name="AutoShape 1">
          <a:extLst>
            <a:ext uri="{FF2B5EF4-FFF2-40B4-BE49-F238E27FC236}">
              <a16:creationId xmlns:a16="http://schemas.microsoft.com/office/drawing/2014/main" id="{AF4FC61F-5E34-4C5E-8E78-C5F0C117324B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054" name="AutoShape 1">
          <a:extLst>
            <a:ext uri="{FF2B5EF4-FFF2-40B4-BE49-F238E27FC236}">
              <a16:creationId xmlns:a16="http://schemas.microsoft.com/office/drawing/2014/main" id="{4678F9D3-4186-4CCB-8E1D-157D1C130084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055" name="AutoShape 1">
          <a:extLst>
            <a:ext uri="{FF2B5EF4-FFF2-40B4-BE49-F238E27FC236}">
              <a16:creationId xmlns:a16="http://schemas.microsoft.com/office/drawing/2014/main" id="{6DC22CE9-6C2C-42DF-97A2-1C1B52A020A2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056" name="AutoShape 1">
          <a:extLst>
            <a:ext uri="{FF2B5EF4-FFF2-40B4-BE49-F238E27FC236}">
              <a16:creationId xmlns:a16="http://schemas.microsoft.com/office/drawing/2014/main" id="{071F58C4-F1F0-4E67-8DE9-2BF620B73A7E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057" name="AutoShape 1">
          <a:extLst>
            <a:ext uri="{FF2B5EF4-FFF2-40B4-BE49-F238E27FC236}">
              <a16:creationId xmlns:a16="http://schemas.microsoft.com/office/drawing/2014/main" id="{E8A7836F-B7DC-4D36-97CE-B2DCBC6CE793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058" name="AutoShape 1">
          <a:extLst>
            <a:ext uri="{FF2B5EF4-FFF2-40B4-BE49-F238E27FC236}">
              <a16:creationId xmlns:a16="http://schemas.microsoft.com/office/drawing/2014/main" id="{CFE0AA54-FB0F-4263-A273-D96EEC0B2F82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059" name="AutoShape 1">
          <a:extLst>
            <a:ext uri="{FF2B5EF4-FFF2-40B4-BE49-F238E27FC236}">
              <a16:creationId xmlns:a16="http://schemas.microsoft.com/office/drawing/2014/main" id="{5D8A4B9D-9A0F-4698-835C-B2FC8FBFCABB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060" name="AutoShape 1">
          <a:extLst>
            <a:ext uri="{FF2B5EF4-FFF2-40B4-BE49-F238E27FC236}">
              <a16:creationId xmlns:a16="http://schemas.microsoft.com/office/drawing/2014/main" id="{433E1C54-B5AA-416F-9FD3-767EF5C11834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061" name="AutoShape 1">
          <a:extLst>
            <a:ext uri="{FF2B5EF4-FFF2-40B4-BE49-F238E27FC236}">
              <a16:creationId xmlns:a16="http://schemas.microsoft.com/office/drawing/2014/main" id="{0844A1C5-B476-41EA-90C8-BE2F6DE00DD4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062" name="AutoShape 1">
          <a:extLst>
            <a:ext uri="{FF2B5EF4-FFF2-40B4-BE49-F238E27FC236}">
              <a16:creationId xmlns:a16="http://schemas.microsoft.com/office/drawing/2014/main" id="{492143EE-65F2-41FD-95C2-9506CE796204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063" name="AutoShape 1">
          <a:extLst>
            <a:ext uri="{FF2B5EF4-FFF2-40B4-BE49-F238E27FC236}">
              <a16:creationId xmlns:a16="http://schemas.microsoft.com/office/drawing/2014/main" id="{CFFF2464-AD6E-4B84-ADFC-40B9C9A24077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064" name="AutoShape 1">
          <a:extLst>
            <a:ext uri="{FF2B5EF4-FFF2-40B4-BE49-F238E27FC236}">
              <a16:creationId xmlns:a16="http://schemas.microsoft.com/office/drawing/2014/main" id="{6460F847-8A93-4E3C-9990-CFA37DD160DA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065" name="AutoShape 1">
          <a:extLst>
            <a:ext uri="{FF2B5EF4-FFF2-40B4-BE49-F238E27FC236}">
              <a16:creationId xmlns:a16="http://schemas.microsoft.com/office/drawing/2014/main" id="{FF3968B6-C6D6-4C11-A501-F768A7570478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066" name="AutoShape 1">
          <a:extLst>
            <a:ext uri="{FF2B5EF4-FFF2-40B4-BE49-F238E27FC236}">
              <a16:creationId xmlns:a16="http://schemas.microsoft.com/office/drawing/2014/main" id="{D68D09F6-5FF3-444E-B2F1-64D8CC1C81B4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067" name="AutoShape 1">
          <a:extLst>
            <a:ext uri="{FF2B5EF4-FFF2-40B4-BE49-F238E27FC236}">
              <a16:creationId xmlns:a16="http://schemas.microsoft.com/office/drawing/2014/main" id="{BFEA258F-3ECD-4D30-A2C3-539255AFABC1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068" name="AutoShape 1">
          <a:extLst>
            <a:ext uri="{FF2B5EF4-FFF2-40B4-BE49-F238E27FC236}">
              <a16:creationId xmlns:a16="http://schemas.microsoft.com/office/drawing/2014/main" id="{9AA8FC79-1874-4443-B059-52791C193E41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069" name="AutoShape 1">
          <a:extLst>
            <a:ext uri="{FF2B5EF4-FFF2-40B4-BE49-F238E27FC236}">
              <a16:creationId xmlns:a16="http://schemas.microsoft.com/office/drawing/2014/main" id="{71FCDE09-8AEF-40B8-9594-2278A4FCE3B5}"/>
            </a:ext>
            <a:ext uri="{147F2762-F138-4A5C-976F-8EAC2B608ADB}">
              <a16:predDERef xmlns:a16="http://schemas.microsoft.com/office/drawing/2014/main" pred="{A9C9C4DB-4B97-447C-9099-E87BCB3C537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070" name="AutoShape 1">
          <a:extLst>
            <a:ext uri="{FF2B5EF4-FFF2-40B4-BE49-F238E27FC236}">
              <a16:creationId xmlns:a16="http://schemas.microsoft.com/office/drawing/2014/main" id="{F8C44A68-15EE-4C37-95EC-98F7E255E6A4}"/>
            </a:ext>
            <a:ext uri="{147F2762-F138-4A5C-976F-8EAC2B608ADB}">
              <a16:predDERef xmlns:a16="http://schemas.microsoft.com/office/drawing/2014/main" pred="{CD89554D-BD76-42AD-819A-278AD445B86E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071" name="AutoShape 1">
          <a:extLst>
            <a:ext uri="{FF2B5EF4-FFF2-40B4-BE49-F238E27FC236}">
              <a16:creationId xmlns:a16="http://schemas.microsoft.com/office/drawing/2014/main" id="{69DBAF51-E8A8-48A7-96D6-0DEDE30FCA7C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072" name="AutoShape 1">
          <a:extLst>
            <a:ext uri="{FF2B5EF4-FFF2-40B4-BE49-F238E27FC236}">
              <a16:creationId xmlns:a16="http://schemas.microsoft.com/office/drawing/2014/main" id="{E10F8DDE-BB9C-49FC-97B4-5B09E9350041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073" name="AutoShape 1">
          <a:extLst>
            <a:ext uri="{FF2B5EF4-FFF2-40B4-BE49-F238E27FC236}">
              <a16:creationId xmlns:a16="http://schemas.microsoft.com/office/drawing/2014/main" id="{68F9E707-B6A0-4399-B1CE-5C6E341436FA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074" name="AutoShape 1">
          <a:extLst>
            <a:ext uri="{FF2B5EF4-FFF2-40B4-BE49-F238E27FC236}">
              <a16:creationId xmlns:a16="http://schemas.microsoft.com/office/drawing/2014/main" id="{E973314C-C581-4FCF-9F78-DD91C32B45C4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075" name="AutoShape 1">
          <a:extLst>
            <a:ext uri="{FF2B5EF4-FFF2-40B4-BE49-F238E27FC236}">
              <a16:creationId xmlns:a16="http://schemas.microsoft.com/office/drawing/2014/main" id="{E1264122-1F2E-43B2-B448-18DE0BA6A784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076" name="AutoShape 1">
          <a:extLst>
            <a:ext uri="{FF2B5EF4-FFF2-40B4-BE49-F238E27FC236}">
              <a16:creationId xmlns:a16="http://schemas.microsoft.com/office/drawing/2014/main" id="{0FC0800C-A336-4011-82E7-4124E80695EE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077" name="AutoShape 1">
          <a:extLst>
            <a:ext uri="{FF2B5EF4-FFF2-40B4-BE49-F238E27FC236}">
              <a16:creationId xmlns:a16="http://schemas.microsoft.com/office/drawing/2014/main" id="{66669B64-37EB-401D-871D-D1F4E23F2984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078" name="AutoShape 1">
          <a:extLst>
            <a:ext uri="{FF2B5EF4-FFF2-40B4-BE49-F238E27FC236}">
              <a16:creationId xmlns:a16="http://schemas.microsoft.com/office/drawing/2014/main" id="{74C8A758-CFCC-43DB-A7A8-47DBF88DA83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079" name="AutoShape 1">
          <a:extLst>
            <a:ext uri="{FF2B5EF4-FFF2-40B4-BE49-F238E27FC236}">
              <a16:creationId xmlns:a16="http://schemas.microsoft.com/office/drawing/2014/main" id="{E1694E04-BBE2-4513-A632-6E4ECDA37BB3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080" name="AutoShape 1">
          <a:extLst>
            <a:ext uri="{FF2B5EF4-FFF2-40B4-BE49-F238E27FC236}">
              <a16:creationId xmlns:a16="http://schemas.microsoft.com/office/drawing/2014/main" id="{68154B9E-4207-4A13-91EA-36D45260E189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081" name="AutoShape 1">
          <a:extLst>
            <a:ext uri="{FF2B5EF4-FFF2-40B4-BE49-F238E27FC236}">
              <a16:creationId xmlns:a16="http://schemas.microsoft.com/office/drawing/2014/main" id="{14E45172-AAA3-48C8-B53F-156533E6D90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082" name="AutoShape 1">
          <a:extLst>
            <a:ext uri="{FF2B5EF4-FFF2-40B4-BE49-F238E27FC236}">
              <a16:creationId xmlns:a16="http://schemas.microsoft.com/office/drawing/2014/main" id="{E98D9B64-A556-4BBB-BAE8-239B11D6769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083" name="AutoShape 1">
          <a:extLst>
            <a:ext uri="{FF2B5EF4-FFF2-40B4-BE49-F238E27FC236}">
              <a16:creationId xmlns:a16="http://schemas.microsoft.com/office/drawing/2014/main" id="{FBE52F2A-AC82-440F-A7AA-D4D0803D789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084" name="AutoShape 1">
          <a:extLst>
            <a:ext uri="{FF2B5EF4-FFF2-40B4-BE49-F238E27FC236}">
              <a16:creationId xmlns:a16="http://schemas.microsoft.com/office/drawing/2014/main" id="{52ADD10B-E0AB-4F21-9E3D-F5912230613A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085" name="AutoShape 1">
          <a:extLst>
            <a:ext uri="{FF2B5EF4-FFF2-40B4-BE49-F238E27FC236}">
              <a16:creationId xmlns:a16="http://schemas.microsoft.com/office/drawing/2014/main" id="{0015E1D5-9200-4C65-9CE0-D8B3F7AA77A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086" name="AutoShape 1">
          <a:extLst>
            <a:ext uri="{FF2B5EF4-FFF2-40B4-BE49-F238E27FC236}">
              <a16:creationId xmlns:a16="http://schemas.microsoft.com/office/drawing/2014/main" id="{32A163AC-D272-49D7-A32D-0C493D3B2DCA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087" name="AutoShape 1">
          <a:extLst>
            <a:ext uri="{FF2B5EF4-FFF2-40B4-BE49-F238E27FC236}">
              <a16:creationId xmlns:a16="http://schemas.microsoft.com/office/drawing/2014/main" id="{30D45D5D-97C7-4D67-9A23-D1E0BAB07005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088" name="AutoShape 1">
          <a:extLst>
            <a:ext uri="{FF2B5EF4-FFF2-40B4-BE49-F238E27FC236}">
              <a16:creationId xmlns:a16="http://schemas.microsoft.com/office/drawing/2014/main" id="{FC090529-4E8D-47B1-95B3-ABA350648BB4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089" name="AutoShape 1">
          <a:extLst>
            <a:ext uri="{FF2B5EF4-FFF2-40B4-BE49-F238E27FC236}">
              <a16:creationId xmlns:a16="http://schemas.microsoft.com/office/drawing/2014/main" id="{ECFE2A1B-91FC-4DE5-B818-FC19FC47FC58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090" name="AutoShape 1">
          <a:extLst>
            <a:ext uri="{FF2B5EF4-FFF2-40B4-BE49-F238E27FC236}">
              <a16:creationId xmlns:a16="http://schemas.microsoft.com/office/drawing/2014/main" id="{BB8AC612-F089-41EB-A7F9-057AE527791A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091" name="AutoShape 1">
          <a:extLst>
            <a:ext uri="{FF2B5EF4-FFF2-40B4-BE49-F238E27FC236}">
              <a16:creationId xmlns:a16="http://schemas.microsoft.com/office/drawing/2014/main" id="{CEC90BEF-487B-492A-B519-D7BF1D9BD5D3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092" name="AutoShape 1">
          <a:extLst>
            <a:ext uri="{FF2B5EF4-FFF2-40B4-BE49-F238E27FC236}">
              <a16:creationId xmlns:a16="http://schemas.microsoft.com/office/drawing/2014/main" id="{5FC916FF-778D-4EA4-8A17-E12617FFC4BD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093" name="AutoShape 1">
          <a:extLst>
            <a:ext uri="{FF2B5EF4-FFF2-40B4-BE49-F238E27FC236}">
              <a16:creationId xmlns:a16="http://schemas.microsoft.com/office/drawing/2014/main" id="{527049ED-0F1C-4F15-8EBA-75A6A1112851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094" name="AutoShape 1">
          <a:extLst>
            <a:ext uri="{FF2B5EF4-FFF2-40B4-BE49-F238E27FC236}">
              <a16:creationId xmlns:a16="http://schemas.microsoft.com/office/drawing/2014/main" id="{21EE3B5D-E55A-4977-8C67-95D7F2BF4023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095" name="AutoShape 1">
          <a:extLst>
            <a:ext uri="{FF2B5EF4-FFF2-40B4-BE49-F238E27FC236}">
              <a16:creationId xmlns:a16="http://schemas.microsoft.com/office/drawing/2014/main" id="{D8495F20-5513-4B2D-AAE5-DE2F3F1B7382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096" name="AutoShape 1">
          <a:extLst>
            <a:ext uri="{FF2B5EF4-FFF2-40B4-BE49-F238E27FC236}">
              <a16:creationId xmlns:a16="http://schemas.microsoft.com/office/drawing/2014/main" id="{2AF9A246-FEFD-4B82-875A-A3D6A02F7A48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097" name="AutoShape 1">
          <a:extLst>
            <a:ext uri="{FF2B5EF4-FFF2-40B4-BE49-F238E27FC236}">
              <a16:creationId xmlns:a16="http://schemas.microsoft.com/office/drawing/2014/main" id="{E722B891-7B61-425F-B3E2-93147421F0DF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098" name="AutoShape 1">
          <a:extLst>
            <a:ext uri="{FF2B5EF4-FFF2-40B4-BE49-F238E27FC236}">
              <a16:creationId xmlns:a16="http://schemas.microsoft.com/office/drawing/2014/main" id="{A15F5DDA-E0AD-42D8-84B0-AC52729F35A0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099" name="AutoShape 1">
          <a:extLst>
            <a:ext uri="{FF2B5EF4-FFF2-40B4-BE49-F238E27FC236}">
              <a16:creationId xmlns:a16="http://schemas.microsoft.com/office/drawing/2014/main" id="{9AEEDD5C-4F9B-4C7A-9B0E-2E77A2C4F23F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100" name="AutoShape 1">
          <a:extLst>
            <a:ext uri="{FF2B5EF4-FFF2-40B4-BE49-F238E27FC236}">
              <a16:creationId xmlns:a16="http://schemas.microsoft.com/office/drawing/2014/main" id="{6E377400-3F78-4E17-9E54-C456950ED069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101" name="AutoShape 1">
          <a:extLst>
            <a:ext uri="{FF2B5EF4-FFF2-40B4-BE49-F238E27FC236}">
              <a16:creationId xmlns:a16="http://schemas.microsoft.com/office/drawing/2014/main" id="{EDB9F4CD-EBFD-49FD-BDEA-1250BDF90EE5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102" name="AutoShape 1">
          <a:extLst>
            <a:ext uri="{FF2B5EF4-FFF2-40B4-BE49-F238E27FC236}">
              <a16:creationId xmlns:a16="http://schemas.microsoft.com/office/drawing/2014/main" id="{97C4AFD3-8CCA-40D4-8890-CB694EA3ABD1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103" name="AutoShape 1">
          <a:extLst>
            <a:ext uri="{FF2B5EF4-FFF2-40B4-BE49-F238E27FC236}">
              <a16:creationId xmlns:a16="http://schemas.microsoft.com/office/drawing/2014/main" id="{1D9CCD0F-E180-4D53-AD39-AAFFDD2B9296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104" name="AutoShape 1">
          <a:extLst>
            <a:ext uri="{FF2B5EF4-FFF2-40B4-BE49-F238E27FC236}">
              <a16:creationId xmlns:a16="http://schemas.microsoft.com/office/drawing/2014/main" id="{FEDD15A4-B397-44EC-AAEC-276D10727DC4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105" name="AutoShape 1">
          <a:extLst>
            <a:ext uri="{FF2B5EF4-FFF2-40B4-BE49-F238E27FC236}">
              <a16:creationId xmlns:a16="http://schemas.microsoft.com/office/drawing/2014/main" id="{3D151639-7748-4F9B-9D69-51CE2832349D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106" name="AutoShape 1">
          <a:extLst>
            <a:ext uri="{FF2B5EF4-FFF2-40B4-BE49-F238E27FC236}">
              <a16:creationId xmlns:a16="http://schemas.microsoft.com/office/drawing/2014/main" id="{01BC26EC-226F-44A9-942E-41C3681F443B}"/>
            </a:ext>
            <a:ext uri="{147F2762-F138-4A5C-976F-8EAC2B608ADB}">
              <a16:predDERef xmlns:a16="http://schemas.microsoft.com/office/drawing/2014/main" pred="{A9C9C4DB-4B97-447C-9099-E87BCB3C537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107" name="AutoShape 1">
          <a:extLst>
            <a:ext uri="{FF2B5EF4-FFF2-40B4-BE49-F238E27FC236}">
              <a16:creationId xmlns:a16="http://schemas.microsoft.com/office/drawing/2014/main" id="{DBE777DB-4E33-497E-B7D0-1AE7F77DAF1D}"/>
            </a:ext>
            <a:ext uri="{147F2762-F138-4A5C-976F-8EAC2B608ADB}">
              <a16:predDERef xmlns:a16="http://schemas.microsoft.com/office/drawing/2014/main" pred="{CD89554D-BD76-42AD-819A-278AD445B86E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108" name="AutoShape 1">
          <a:extLst>
            <a:ext uri="{FF2B5EF4-FFF2-40B4-BE49-F238E27FC236}">
              <a16:creationId xmlns:a16="http://schemas.microsoft.com/office/drawing/2014/main" id="{C93D350B-6940-4926-AF0A-F4ADC3C91DAE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109" name="AutoShape 1">
          <a:extLst>
            <a:ext uri="{FF2B5EF4-FFF2-40B4-BE49-F238E27FC236}">
              <a16:creationId xmlns:a16="http://schemas.microsoft.com/office/drawing/2014/main" id="{F20AB860-6D7A-4005-8B8D-D4A769A25B1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110" name="AutoShape 1">
          <a:extLst>
            <a:ext uri="{FF2B5EF4-FFF2-40B4-BE49-F238E27FC236}">
              <a16:creationId xmlns:a16="http://schemas.microsoft.com/office/drawing/2014/main" id="{2C95F4B8-1E6B-4AED-B2FF-91B2D1AB7099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111" name="AutoShape 1">
          <a:extLst>
            <a:ext uri="{FF2B5EF4-FFF2-40B4-BE49-F238E27FC236}">
              <a16:creationId xmlns:a16="http://schemas.microsoft.com/office/drawing/2014/main" id="{93A64105-CB67-4DCC-86A9-E3C7B2C8213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112" name="AutoShape 1">
          <a:extLst>
            <a:ext uri="{FF2B5EF4-FFF2-40B4-BE49-F238E27FC236}">
              <a16:creationId xmlns:a16="http://schemas.microsoft.com/office/drawing/2014/main" id="{D2C0987B-1812-4999-BCDF-29A965C62C0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113" name="AutoShape 1">
          <a:extLst>
            <a:ext uri="{FF2B5EF4-FFF2-40B4-BE49-F238E27FC236}">
              <a16:creationId xmlns:a16="http://schemas.microsoft.com/office/drawing/2014/main" id="{070C002E-5AB0-445E-B613-CF093149AD9C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114" name="AutoShape 1">
          <a:extLst>
            <a:ext uri="{FF2B5EF4-FFF2-40B4-BE49-F238E27FC236}">
              <a16:creationId xmlns:a16="http://schemas.microsoft.com/office/drawing/2014/main" id="{E3E2F5B7-799A-4463-A85F-7E166695B67E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115" name="AutoShape 1">
          <a:extLst>
            <a:ext uri="{FF2B5EF4-FFF2-40B4-BE49-F238E27FC236}">
              <a16:creationId xmlns:a16="http://schemas.microsoft.com/office/drawing/2014/main" id="{73AB6836-66D2-4A8A-93E5-BE9C3268BC3B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116" name="AutoShape 1">
          <a:extLst>
            <a:ext uri="{FF2B5EF4-FFF2-40B4-BE49-F238E27FC236}">
              <a16:creationId xmlns:a16="http://schemas.microsoft.com/office/drawing/2014/main" id="{CB47180F-DFDA-404D-92DF-E61B2518E2D6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117" name="AutoShape 1">
          <a:extLst>
            <a:ext uri="{FF2B5EF4-FFF2-40B4-BE49-F238E27FC236}">
              <a16:creationId xmlns:a16="http://schemas.microsoft.com/office/drawing/2014/main" id="{6B2AEB75-89C7-4BC7-A349-6B246003B284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118" name="AutoShape 1">
          <a:extLst>
            <a:ext uri="{FF2B5EF4-FFF2-40B4-BE49-F238E27FC236}">
              <a16:creationId xmlns:a16="http://schemas.microsoft.com/office/drawing/2014/main" id="{C09C08BC-4D31-401A-BB7C-5BB70D3E1586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119" name="AutoShape 1">
          <a:extLst>
            <a:ext uri="{FF2B5EF4-FFF2-40B4-BE49-F238E27FC236}">
              <a16:creationId xmlns:a16="http://schemas.microsoft.com/office/drawing/2014/main" id="{75FC8931-81E7-44B4-8C2C-834A927EEE03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120" name="AutoShape 1">
          <a:extLst>
            <a:ext uri="{FF2B5EF4-FFF2-40B4-BE49-F238E27FC236}">
              <a16:creationId xmlns:a16="http://schemas.microsoft.com/office/drawing/2014/main" id="{980B2880-7AE1-4BDB-9AF6-46B8DCFE4A03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121" name="AutoShape 1">
          <a:extLst>
            <a:ext uri="{FF2B5EF4-FFF2-40B4-BE49-F238E27FC236}">
              <a16:creationId xmlns:a16="http://schemas.microsoft.com/office/drawing/2014/main" id="{D065C166-291D-4D98-9C8F-5EFB6CB710B1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122" name="AutoShape 1">
          <a:extLst>
            <a:ext uri="{FF2B5EF4-FFF2-40B4-BE49-F238E27FC236}">
              <a16:creationId xmlns:a16="http://schemas.microsoft.com/office/drawing/2014/main" id="{F4AE53C6-BBEF-48F5-AA5E-6C5C4472CC57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123" name="AutoShape 1">
          <a:extLst>
            <a:ext uri="{FF2B5EF4-FFF2-40B4-BE49-F238E27FC236}">
              <a16:creationId xmlns:a16="http://schemas.microsoft.com/office/drawing/2014/main" id="{D84575E3-601A-4C88-A79E-01A54D9DE85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124" name="AutoShape 1">
          <a:extLst>
            <a:ext uri="{FF2B5EF4-FFF2-40B4-BE49-F238E27FC236}">
              <a16:creationId xmlns:a16="http://schemas.microsoft.com/office/drawing/2014/main" id="{698F723E-4614-4264-B291-A47E802C86EF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125" name="AutoShape 1">
          <a:extLst>
            <a:ext uri="{FF2B5EF4-FFF2-40B4-BE49-F238E27FC236}">
              <a16:creationId xmlns:a16="http://schemas.microsoft.com/office/drawing/2014/main" id="{8E64911E-B332-412F-A992-6166E5E23931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126" name="AutoShape 1">
          <a:extLst>
            <a:ext uri="{FF2B5EF4-FFF2-40B4-BE49-F238E27FC236}">
              <a16:creationId xmlns:a16="http://schemas.microsoft.com/office/drawing/2014/main" id="{175E49F5-7F96-4C87-AA78-4C6429D58902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127" name="AutoShape 1">
          <a:extLst>
            <a:ext uri="{FF2B5EF4-FFF2-40B4-BE49-F238E27FC236}">
              <a16:creationId xmlns:a16="http://schemas.microsoft.com/office/drawing/2014/main" id="{F0ACD8DE-880A-47CA-9E0F-D465FAD5ACCB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128" name="AutoShape 1">
          <a:extLst>
            <a:ext uri="{FF2B5EF4-FFF2-40B4-BE49-F238E27FC236}">
              <a16:creationId xmlns:a16="http://schemas.microsoft.com/office/drawing/2014/main" id="{3F3A82AC-2AAF-4224-89B1-4C33C18C25CB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129" name="AutoShape 1">
          <a:extLst>
            <a:ext uri="{FF2B5EF4-FFF2-40B4-BE49-F238E27FC236}">
              <a16:creationId xmlns:a16="http://schemas.microsoft.com/office/drawing/2014/main" id="{3EF46952-11F6-434A-97FB-2C68752E7BE4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130" name="AutoShape 1">
          <a:extLst>
            <a:ext uri="{FF2B5EF4-FFF2-40B4-BE49-F238E27FC236}">
              <a16:creationId xmlns:a16="http://schemas.microsoft.com/office/drawing/2014/main" id="{CAB8EECE-F9D2-4890-B6CE-4CF4F18C6DB6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131" name="AutoShape 1">
          <a:extLst>
            <a:ext uri="{FF2B5EF4-FFF2-40B4-BE49-F238E27FC236}">
              <a16:creationId xmlns:a16="http://schemas.microsoft.com/office/drawing/2014/main" id="{F3513A87-8773-4E4E-BCE0-B6E0A144E7BD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132" name="AutoShape 1">
          <a:extLst>
            <a:ext uri="{FF2B5EF4-FFF2-40B4-BE49-F238E27FC236}">
              <a16:creationId xmlns:a16="http://schemas.microsoft.com/office/drawing/2014/main" id="{48B8EF7E-4E9A-4CFA-8FAF-850CD6F9C1A0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133" name="AutoShape 1">
          <a:extLst>
            <a:ext uri="{FF2B5EF4-FFF2-40B4-BE49-F238E27FC236}">
              <a16:creationId xmlns:a16="http://schemas.microsoft.com/office/drawing/2014/main" id="{CD81DE74-78BA-4F71-B01D-D2CA7A552907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134" name="AutoShape 1">
          <a:extLst>
            <a:ext uri="{FF2B5EF4-FFF2-40B4-BE49-F238E27FC236}">
              <a16:creationId xmlns:a16="http://schemas.microsoft.com/office/drawing/2014/main" id="{DF8B3A88-2D98-4A79-A2BD-FF0D5E160B03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135" name="AutoShape 1">
          <a:extLst>
            <a:ext uri="{FF2B5EF4-FFF2-40B4-BE49-F238E27FC236}">
              <a16:creationId xmlns:a16="http://schemas.microsoft.com/office/drawing/2014/main" id="{888E1207-9457-4E69-8A80-C4A407AC93C5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136" name="AutoShape 1">
          <a:extLst>
            <a:ext uri="{FF2B5EF4-FFF2-40B4-BE49-F238E27FC236}">
              <a16:creationId xmlns:a16="http://schemas.microsoft.com/office/drawing/2014/main" id="{353CDEF7-1A61-410F-9067-16DCD696E9C1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137" name="AutoShape 1">
          <a:extLst>
            <a:ext uri="{FF2B5EF4-FFF2-40B4-BE49-F238E27FC236}">
              <a16:creationId xmlns:a16="http://schemas.microsoft.com/office/drawing/2014/main" id="{6CEEEFAC-BF0C-4844-9D8C-AB6BCD7D9B49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138" name="AutoShape 1">
          <a:extLst>
            <a:ext uri="{FF2B5EF4-FFF2-40B4-BE49-F238E27FC236}">
              <a16:creationId xmlns:a16="http://schemas.microsoft.com/office/drawing/2014/main" id="{09906E50-EB30-4698-91C0-2A95BAE8890F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139" name="AutoShape 1">
          <a:extLst>
            <a:ext uri="{FF2B5EF4-FFF2-40B4-BE49-F238E27FC236}">
              <a16:creationId xmlns:a16="http://schemas.microsoft.com/office/drawing/2014/main" id="{F93E24E0-7250-4D4A-94DD-46347BD22709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140" name="AutoShape 1">
          <a:extLst>
            <a:ext uri="{FF2B5EF4-FFF2-40B4-BE49-F238E27FC236}">
              <a16:creationId xmlns:a16="http://schemas.microsoft.com/office/drawing/2014/main" id="{E8D95009-9B80-4DBF-8815-4E85020CC341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141" name="AutoShape 1">
          <a:extLst>
            <a:ext uri="{FF2B5EF4-FFF2-40B4-BE49-F238E27FC236}">
              <a16:creationId xmlns:a16="http://schemas.microsoft.com/office/drawing/2014/main" id="{CE359E86-2FAC-459F-BD44-7E2006D82E2D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142" name="AutoShape 1">
          <a:extLst>
            <a:ext uri="{FF2B5EF4-FFF2-40B4-BE49-F238E27FC236}">
              <a16:creationId xmlns:a16="http://schemas.microsoft.com/office/drawing/2014/main" id="{802FC12E-5BF5-499A-8E1A-C2E6E0CE5242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143" name="AutoShape 1">
          <a:extLst>
            <a:ext uri="{FF2B5EF4-FFF2-40B4-BE49-F238E27FC236}">
              <a16:creationId xmlns:a16="http://schemas.microsoft.com/office/drawing/2014/main" id="{7B0D836E-2DF9-4125-8487-876685F9926A}"/>
            </a:ext>
            <a:ext uri="{147F2762-F138-4A5C-976F-8EAC2B608ADB}">
              <a16:predDERef xmlns:a16="http://schemas.microsoft.com/office/drawing/2014/main" pred="{A9C9C4DB-4B97-447C-9099-E87BCB3C537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144" name="AutoShape 1">
          <a:extLst>
            <a:ext uri="{FF2B5EF4-FFF2-40B4-BE49-F238E27FC236}">
              <a16:creationId xmlns:a16="http://schemas.microsoft.com/office/drawing/2014/main" id="{C8DF6473-0283-4453-926E-24202539DECD}"/>
            </a:ext>
            <a:ext uri="{147F2762-F138-4A5C-976F-8EAC2B608ADB}">
              <a16:predDERef xmlns:a16="http://schemas.microsoft.com/office/drawing/2014/main" pred="{CD89554D-BD76-42AD-819A-278AD445B86E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145" name="AutoShape 1">
          <a:extLst>
            <a:ext uri="{FF2B5EF4-FFF2-40B4-BE49-F238E27FC236}">
              <a16:creationId xmlns:a16="http://schemas.microsoft.com/office/drawing/2014/main" id="{BC64DAD3-8AF5-41F6-83C8-E43BB12F028E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146" name="AutoShape 1">
          <a:extLst>
            <a:ext uri="{FF2B5EF4-FFF2-40B4-BE49-F238E27FC236}">
              <a16:creationId xmlns:a16="http://schemas.microsoft.com/office/drawing/2014/main" id="{EB69A286-0338-423A-8287-B43DC7EDEA43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147" name="AutoShape 1">
          <a:extLst>
            <a:ext uri="{FF2B5EF4-FFF2-40B4-BE49-F238E27FC236}">
              <a16:creationId xmlns:a16="http://schemas.microsoft.com/office/drawing/2014/main" id="{F7A29B35-67B3-4ADB-8135-D46E63DF352C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148" name="AutoShape 1">
          <a:extLst>
            <a:ext uri="{FF2B5EF4-FFF2-40B4-BE49-F238E27FC236}">
              <a16:creationId xmlns:a16="http://schemas.microsoft.com/office/drawing/2014/main" id="{8B0F08EF-F0E9-4BF6-AED3-587DFB2F1103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149" name="AutoShape 1">
          <a:extLst>
            <a:ext uri="{FF2B5EF4-FFF2-40B4-BE49-F238E27FC236}">
              <a16:creationId xmlns:a16="http://schemas.microsoft.com/office/drawing/2014/main" id="{5A1C6A8E-F006-4B46-838D-4F76CE640D79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150" name="AutoShape 1">
          <a:extLst>
            <a:ext uri="{FF2B5EF4-FFF2-40B4-BE49-F238E27FC236}">
              <a16:creationId xmlns:a16="http://schemas.microsoft.com/office/drawing/2014/main" id="{9E1B877D-0684-40E4-ADF9-7E426BC806DB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151" name="AutoShape 1">
          <a:extLst>
            <a:ext uri="{FF2B5EF4-FFF2-40B4-BE49-F238E27FC236}">
              <a16:creationId xmlns:a16="http://schemas.microsoft.com/office/drawing/2014/main" id="{6D10C3D0-AF97-4F74-B230-34320A13CE9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152" name="AutoShape 1">
          <a:extLst>
            <a:ext uri="{FF2B5EF4-FFF2-40B4-BE49-F238E27FC236}">
              <a16:creationId xmlns:a16="http://schemas.microsoft.com/office/drawing/2014/main" id="{A8326F0F-1443-4A98-A64D-2B847D881C8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153" name="AutoShape 1">
          <a:extLst>
            <a:ext uri="{FF2B5EF4-FFF2-40B4-BE49-F238E27FC236}">
              <a16:creationId xmlns:a16="http://schemas.microsoft.com/office/drawing/2014/main" id="{6296F5F9-0EEC-40C5-9835-B58EF3E9F76B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154" name="AutoShape 1">
          <a:extLst>
            <a:ext uri="{FF2B5EF4-FFF2-40B4-BE49-F238E27FC236}">
              <a16:creationId xmlns:a16="http://schemas.microsoft.com/office/drawing/2014/main" id="{AF961024-2C7D-4A11-9BA0-BED4A9502B0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155" name="AutoShape 1">
          <a:extLst>
            <a:ext uri="{FF2B5EF4-FFF2-40B4-BE49-F238E27FC236}">
              <a16:creationId xmlns:a16="http://schemas.microsoft.com/office/drawing/2014/main" id="{76423546-7F48-44D5-A97B-30A7B5CDF539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156" name="AutoShape 1">
          <a:extLst>
            <a:ext uri="{FF2B5EF4-FFF2-40B4-BE49-F238E27FC236}">
              <a16:creationId xmlns:a16="http://schemas.microsoft.com/office/drawing/2014/main" id="{F0D2667A-93FC-419D-8CAD-F021DAEB863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157" name="AutoShape 1">
          <a:extLst>
            <a:ext uri="{FF2B5EF4-FFF2-40B4-BE49-F238E27FC236}">
              <a16:creationId xmlns:a16="http://schemas.microsoft.com/office/drawing/2014/main" id="{96B0D51E-5B35-443D-88BD-8CBEC4E5DD6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158" name="AutoShape 1">
          <a:extLst>
            <a:ext uri="{FF2B5EF4-FFF2-40B4-BE49-F238E27FC236}">
              <a16:creationId xmlns:a16="http://schemas.microsoft.com/office/drawing/2014/main" id="{D05D1E7C-CD3B-41BD-9DF8-348B4365A30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159" name="AutoShape 1">
          <a:extLst>
            <a:ext uri="{FF2B5EF4-FFF2-40B4-BE49-F238E27FC236}">
              <a16:creationId xmlns:a16="http://schemas.microsoft.com/office/drawing/2014/main" id="{4B3722ED-CA36-4EEE-87D3-B92436744F1E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160" name="AutoShape 1">
          <a:extLst>
            <a:ext uri="{FF2B5EF4-FFF2-40B4-BE49-F238E27FC236}">
              <a16:creationId xmlns:a16="http://schemas.microsoft.com/office/drawing/2014/main" id="{46CF641A-FA04-4A9C-A309-BE18828FCF17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161" name="AutoShape 1">
          <a:extLst>
            <a:ext uri="{FF2B5EF4-FFF2-40B4-BE49-F238E27FC236}">
              <a16:creationId xmlns:a16="http://schemas.microsoft.com/office/drawing/2014/main" id="{20EB7B18-6960-402D-A2B8-31EA179BF787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162" name="AutoShape 1">
          <a:extLst>
            <a:ext uri="{FF2B5EF4-FFF2-40B4-BE49-F238E27FC236}">
              <a16:creationId xmlns:a16="http://schemas.microsoft.com/office/drawing/2014/main" id="{1F2BA0FA-2331-4C1A-AF77-9959E05961C6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163" name="AutoShape 1">
          <a:extLst>
            <a:ext uri="{FF2B5EF4-FFF2-40B4-BE49-F238E27FC236}">
              <a16:creationId xmlns:a16="http://schemas.microsoft.com/office/drawing/2014/main" id="{33B24377-A835-40B4-9F42-774D76158E38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164" name="AutoShape 1">
          <a:extLst>
            <a:ext uri="{FF2B5EF4-FFF2-40B4-BE49-F238E27FC236}">
              <a16:creationId xmlns:a16="http://schemas.microsoft.com/office/drawing/2014/main" id="{1C0C5FF2-506F-4671-8DCB-0FE72BD208CF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165" name="AutoShape 1">
          <a:extLst>
            <a:ext uri="{FF2B5EF4-FFF2-40B4-BE49-F238E27FC236}">
              <a16:creationId xmlns:a16="http://schemas.microsoft.com/office/drawing/2014/main" id="{C3933BBF-4CE0-4BD6-9386-C12AFA1FAC9F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166" name="AutoShape 1">
          <a:extLst>
            <a:ext uri="{FF2B5EF4-FFF2-40B4-BE49-F238E27FC236}">
              <a16:creationId xmlns:a16="http://schemas.microsoft.com/office/drawing/2014/main" id="{DEB50F22-6A8A-43E0-89A6-AB98C9D42ADC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167" name="AutoShape 1">
          <a:extLst>
            <a:ext uri="{FF2B5EF4-FFF2-40B4-BE49-F238E27FC236}">
              <a16:creationId xmlns:a16="http://schemas.microsoft.com/office/drawing/2014/main" id="{FD8F994E-7D9B-48B3-B9C6-0D8267E219B1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168" name="AutoShape 1">
          <a:extLst>
            <a:ext uri="{FF2B5EF4-FFF2-40B4-BE49-F238E27FC236}">
              <a16:creationId xmlns:a16="http://schemas.microsoft.com/office/drawing/2014/main" id="{86776718-E989-4714-84BB-299B29E82CF1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169" name="AutoShape 1">
          <a:extLst>
            <a:ext uri="{FF2B5EF4-FFF2-40B4-BE49-F238E27FC236}">
              <a16:creationId xmlns:a16="http://schemas.microsoft.com/office/drawing/2014/main" id="{EEACFC65-5D44-4845-B868-C96876B4F196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170" name="AutoShape 1">
          <a:extLst>
            <a:ext uri="{FF2B5EF4-FFF2-40B4-BE49-F238E27FC236}">
              <a16:creationId xmlns:a16="http://schemas.microsoft.com/office/drawing/2014/main" id="{0FB941F5-DAFE-4719-8707-3FAAE109535C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171" name="AutoShape 1">
          <a:extLst>
            <a:ext uri="{FF2B5EF4-FFF2-40B4-BE49-F238E27FC236}">
              <a16:creationId xmlns:a16="http://schemas.microsoft.com/office/drawing/2014/main" id="{BE1D822E-B6AC-4482-998A-1F20D825F821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172" name="AutoShape 1">
          <a:extLst>
            <a:ext uri="{FF2B5EF4-FFF2-40B4-BE49-F238E27FC236}">
              <a16:creationId xmlns:a16="http://schemas.microsoft.com/office/drawing/2014/main" id="{C0CB65E8-9AF8-4E36-ADA4-6FA2F15CBD81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173" name="AutoShape 1">
          <a:extLst>
            <a:ext uri="{FF2B5EF4-FFF2-40B4-BE49-F238E27FC236}">
              <a16:creationId xmlns:a16="http://schemas.microsoft.com/office/drawing/2014/main" id="{FB2F0868-0DC8-457F-A5F3-2AD154346E2C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174" name="AutoShape 1">
          <a:extLst>
            <a:ext uri="{FF2B5EF4-FFF2-40B4-BE49-F238E27FC236}">
              <a16:creationId xmlns:a16="http://schemas.microsoft.com/office/drawing/2014/main" id="{54255215-CE5C-4068-9F92-3971AFEDE0FC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175" name="AutoShape 1">
          <a:extLst>
            <a:ext uri="{FF2B5EF4-FFF2-40B4-BE49-F238E27FC236}">
              <a16:creationId xmlns:a16="http://schemas.microsoft.com/office/drawing/2014/main" id="{7CC4FBCE-82E4-4DBA-9DAC-6D40A205D471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176" name="AutoShape 1">
          <a:extLst>
            <a:ext uri="{FF2B5EF4-FFF2-40B4-BE49-F238E27FC236}">
              <a16:creationId xmlns:a16="http://schemas.microsoft.com/office/drawing/2014/main" id="{49BECF50-2D5F-4ED2-945B-A1D032281077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177" name="AutoShape 1">
          <a:extLst>
            <a:ext uri="{FF2B5EF4-FFF2-40B4-BE49-F238E27FC236}">
              <a16:creationId xmlns:a16="http://schemas.microsoft.com/office/drawing/2014/main" id="{86979F3A-4E5E-492C-A998-D2EC356C1501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178" name="AutoShape 1">
          <a:extLst>
            <a:ext uri="{FF2B5EF4-FFF2-40B4-BE49-F238E27FC236}">
              <a16:creationId xmlns:a16="http://schemas.microsoft.com/office/drawing/2014/main" id="{25FB8229-5416-4170-8A0D-295D0C7003D4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179" name="AutoShape 1">
          <a:extLst>
            <a:ext uri="{FF2B5EF4-FFF2-40B4-BE49-F238E27FC236}">
              <a16:creationId xmlns:a16="http://schemas.microsoft.com/office/drawing/2014/main" id="{A76E05F1-10E5-4093-8BF2-6F1A0769177D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180" name="AutoShape 1">
          <a:extLst>
            <a:ext uri="{FF2B5EF4-FFF2-40B4-BE49-F238E27FC236}">
              <a16:creationId xmlns:a16="http://schemas.microsoft.com/office/drawing/2014/main" id="{EE2149A1-BE7F-4440-B0FC-936F919FF5FD}"/>
            </a:ext>
            <a:ext uri="{147F2762-F138-4A5C-976F-8EAC2B608ADB}">
              <a16:predDERef xmlns:a16="http://schemas.microsoft.com/office/drawing/2014/main" pred="{A9C9C4DB-4B97-447C-9099-E87BCB3C537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181" name="AutoShape 1">
          <a:extLst>
            <a:ext uri="{FF2B5EF4-FFF2-40B4-BE49-F238E27FC236}">
              <a16:creationId xmlns:a16="http://schemas.microsoft.com/office/drawing/2014/main" id="{3B61E620-1A38-4BD9-B1D3-93012FBC2481}"/>
            </a:ext>
            <a:ext uri="{147F2762-F138-4A5C-976F-8EAC2B608ADB}">
              <a16:predDERef xmlns:a16="http://schemas.microsoft.com/office/drawing/2014/main" pred="{CD89554D-BD76-42AD-819A-278AD445B86E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182" name="AutoShape 1">
          <a:extLst>
            <a:ext uri="{FF2B5EF4-FFF2-40B4-BE49-F238E27FC236}">
              <a16:creationId xmlns:a16="http://schemas.microsoft.com/office/drawing/2014/main" id="{D5B7081D-E800-4C18-84D5-E074913087A7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183" name="AutoShape 1">
          <a:extLst>
            <a:ext uri="{FF2B5EF4-FFF2-40B4-BE49-F238E27FC236}">
              <a16:creationId xmlns:a16="http://schemas.microsoft.com/office/drawing/2014/main" id="{135FAA52-106E-43CD-870E-191C6691D5A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184" name="AutoShape 1">
          <a:extLst>
            <a:ext uri="{FF2B5EF4-FFF2-40B4-BE49-F238E27FC236}">
              <a16:creationId xmlns:a16="http://schemas.microsoft.com/office/drawing/2014/main" id="{2E8DD4B0-A376-4005-960E-C24A9A72816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185" name="AutoShape 1">
          <a:extLst>
            <a:ext uri="{FF2B5EF4-FFF2-40B4-BE49-F238E27FC236}">
              <a16:creationId xmlns:a16="http://schemas.microsoft.com/office/drawing/2014/main" id="{AB49DD9C-11DE-4F6A-9589-D05D92F6807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186" name="AutoShape 1">
          <a:extLst>
            <a:ext uri="{FF2B5EF4-FFF2-40B4-BE49-F238E27FC236}">
              <a16:creationId xmlns:a16="http://schemas.microsoft.com/office/drawing/2014/main" id="{89C0D1BE-84C8-4BEF-930B-BCE897B25F4E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187" name="AutoShape 1">
          <a:extLst>
            <a:ext uri="{FF2B5EF4-FFF2-40B4-BE49-F238E27FC236}">
              <a16:creationId xmlns:a16="http://schemas.microsoft.com/office/drawing/2014/main" id="{B9526E64-A3E1-4C20-A183-A4D9ADBD28EB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188" name="AutoShape 1">
          <a:extLst>
            <a:ext uri="{FF2B5EF4-FFF2-40B4-BE49-F238E27FC236}">
              <a16:creationId xmlns:a16="http://schemas.microsoft.com/office/drawing/2014/main" id="{C3CD85BA-9431-4B62-8E80-A1A919911BCF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189" name="AutoShape 1">
          <a:extLst>
            <a:ext uri="{FF2B5EF4-FFF2-40B4-BE49-F238E27FC236}">
              <a16:creationId xmlns:a16="http://schemas.microsoft.com/office/drawing/2014/main" id="{125C1090-6BB6-4875-978D-5C33AB695331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190" name="AutoShape 1">
          <a:extLst>
            <a:ext uri="{FF2B5EF4-FFF2-40B4-BE49-F238E27FC236}">
              <a16:creationId xmlns:a16="http://schemas.microsoft.com/office/drawing/2014/main" id="{88823821-DE7B-4270-8731-A237A4D11793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191" name="AutoShape 1">
          <a:extLst>
            <a:ext uri="{FF2B5EF4-FFF2-40B4-BE49-F238E27FC236}">
              <a16:creationId xmlns:a16="http://schemas.microsoft.com/office/drawing/2014/main" id="{D56CA143-5D0E-4319-A789-D4BEA784FD84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192" name="AutoShape 1">
          <a:extLst>
            <a:ext uri="{FF2B5EF4-FFF2-40B4-BE49-F238E27FC236}">
              <a16:creationId xmlns:a16="http://schemas.microsoft.com/office/drawing/2014/main" id="{E439CA24-B9CD-464A-94DE-9CE2972BAB97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193" name="AutoShape 1">
          <a:extLst>
            <a:ext uri="{FF2B5EF4-FFF2-40B4-BE49-F238E27FC236}">
              <a16:creationId xmlns:a16="http://schemas.microsoft.com/office/drawing/2014/main" id="{5DD2016B-9367-4E91-AA4B-C138E105F7EB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194" name="AutoShape 1">
          <a:extLst>
            <a:ext uri="{FF2B5EF4-FFF2-40B4-BE49-F238E27FC236}">
              <a16:creationId xmlns:a16="http://schemas.microsoft.com/office/drawing/2014/main" id="{47953989-EF41-4968-A986-C048EA0FDF43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195" name="AutoShape 1">
          <a:extLst>
            <a:ext uri="{FF2B5EF4-FFF2-40B4-BE49-F238E27FC236}">
              <a16:creationId xmlns:a16="http://schemas.microsoft.com/office/drawing/2014/main" id="{D454575D-2222-488B-892C-3DFD208298AE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196" name="AutoShape 1">
          <a:extLst>
            <a:ext uri="{FF2B5EF4-FFF2-40B4-BE49-F238E27FC236}">
              <a16:creationId xmlns:a16="http://schemas.microsoft.com/office/drawing/2014/main" id="{E19F1DCA-14F9-4AAF-B2F3-A9EF6293924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197" name="AutoShape 1">
          <a:extLst>
            <a:ext uri="{FF2B5EF4-FFF2-40B4-BE49-F238E27FC236}">
              <a16:creationId xmlns:a16="http://schemas.microsoft.com/office/drawing/2014/main" id="{3C0CF15B-5F3F-4BAA-A9EB-677848141AC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198" name="AutoShape 1">
          <a:extLst>
            <a:ext uri="{FF2B5EF4-FFF2-40B4-BE49-F238E27FC236}">
              <a16:creationId xmlns:a16="http://schemas.microsoft.com/office/drawing/2014/main" id="{DC6FEF8B-B58E-4DDC-BBB4-AAE4D76C963A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199" name="AutoShape 1">
          <a:extLst>
            <a:ext uri="{FF2B5EF4-FFF2-40B4-BE49-F238E27FC236}">
              <a16:creationId xmlns:a16="http://schemas.microsoft.com/office/drawing/2014/main" id="{AAA0824F-1B0A-42C5-BF6D-C760C9B32F2B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200" name="AutoShape 1">
          <a:extLst>
            <a:ext uri="{FF2B5EF4-FFF2-40B4-BE49-F238E27FC236}">
              <a16:creationId xmlns:a16="http://schemas.microsoft.com/office/drawing/2014/main" id="{A3F8BE2F-0C86-4556-9639-0C5B0DF131A2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201" name="AutoShape 1">
          <a:extLst>
            <a:ext uri="{FF2B5EF4-FFF2-40B4-BE49-F238E27FC236}">
              <a16:creationId xmlns:a16="http://schemas.microsoft.com/office/drawing/2014/main" id="{0D242F4B-B715-4B3B-AD63-3EB987A479F0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202" name="AutoShape 1">
          <a:extLst>
            <a:ext uri="{FF2B5EF4-FFF2-40B4-BE49-F238E27FC236}">
              <a16:creationId xmlns:a16="http://schemas.microsoft.com/office/drawing/2014/main" id="{BEE6414E-3595-42B0-A228-E183EE75DB75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203" name="AutoShape 1">
          <a:extLst>
            <a:ext uri="{FF2B5EF4-FFF2-40B4-BE49-F238E27FC236}">
              <a16:creationId xmlns:a16="http://schemas.microsoft.com/office/drawing/2014/main" id="{061BA720-74A0-414B-AFE3-6DA8FE1E4DB4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204" name="AutoShape 1">
          <a:extLst>
            <a:ext uri="{FF2B5EF4-FFF2-40B4-BE49-F238E27FC236}">
              <a16:creationId xmlns:a16="http://schemas.microsoft.com/office/drawing/2014/main" id="{D1313301-F93A-4E0B-AF3A-E80E7AD74185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205" name="AutoShape 1">
          <a:extLst>
            <a:ext uri="{FF2B5EF4-FFF2-40B4-BE49-F238E27FC236}">
              <a16:creationId xmlns:a16="http://schemas.microsoft.com/office/drawing/2014/main" id="{3AF68E90-71D8-4412-8C4F-8FB5D831E7C5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206" name="AutoShape 1">
          <a:extLst>
            <a:ext uri="{FF2B5EF4-FFF2-40B4-BE49-F238E27FC236}">
              <a16:creationId xmlns:a16="http://schemas.microsoft.com/office/drawing/2014/main" id="{8CD21C94-5042-4910-B04B-DEF6C86FBF47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207" name="AutoShape 1">
          <a:extLst>
            <a:ext uri="{FF2B5EF4-FFF2-40B4-BE49-F238E27FC236}">
              <a16:creationId xmlns:a16="http://schemas.microsoft.com/office/drawing/2014/main" id="{7B6DCD7D-8196-41DF-92AF-F1ACBE6B262E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208" name="AutoShape 1">
          <a:extLst>
            <a:ext uri="{FF2B5EF4-FFF2-40B4-BE49-F238E27FC236}">
              <a16:creationId xmlns:a16="http://schemas.microsoft.com/office/drawing/2014/main" id="{8FA6A902-34E4-4383-BF80-7B29275F611E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209" name="AutoShape 1">
          <a:extLst>
            <a:ext uri="{FF2B5EF4-FFF2-40B4-BE49-F238E27FC236}">
              <a16:creationId xmlns:a16="http://schemas.microsoft.com/office/drawing/2014/main" id="{C8175D29-3E32-474A-8B75-E3E87BBE84CE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210" name="AutoShape 1">
          <a:extLst>
            <a:ext uri="{FF2B5EF4-FFF2-40B4-BE49-F238E27FC236}">
              <a16:creationId xmlns:a16="http://schemas.microsoft.com/office/drawing/2014/main" id="{03C8273E-2358-48F0-9585-B7854AEE84E7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211" name="AutoShape 1">
          <a:extLst>
            <a:ext uri="{FF2B5EF4-FFF2-40B4-BE49-F238E27FC236}">
              <a16:creationId xmlns:a16="http://schemas.microsoft.com/office/drawing/2014/main" id="{27A14B68-4F82-455E-89C1-905807C728C7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212" name="AutoShape 1">
          <a:extLst>
            <a:ext uri="{FF2B5EF4-FFF2-40B4-BE49-F238E27FC236}">
              <a16:creationId xmlns:a16="http://schemas.microsoft.com/office/drawing/2014/main" id="{42559031-9DA3-4E5E-91A7-B8AA8017F83A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213" name="AutoShape 1">
          <a:extLst>
            <a:ext uri="{FF2B5EF4-FFF2-40B4-BE49-F238E27FC236}">
              <a16:creationId xmlns:a16="http://schemas.microsoft.com/office/drawing/2014/main" id="{4228C2A8-9747-40CC-A187-19CBEA389E5D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214" name="AutoShape 1">
          <a:extLst>
            <a:ext uri="{FF2B5EF4-FFF2-40B4-BE49-F238E27FC236}">
              <a16:creationId xmlns:a16="http://schemas.microsoft.com/office/drawing/2014/main" id="{1A3D16BC-91A6-4A32-93A9-AF39D9F23565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215" name="AutoShape 1">
          <a:extLst>
            <a:ext uri="{FF2B5EF4-FFF2-40B4-BE49-F238E27FC236}">
              <a16:creationId xmlns:a16="http://schemas.microsoft.com/office/drawing/2014/main" id="{E86E0F00-C34A-4FA5-A73F-3EA2E5CFEAD9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216" name="AutoShape 1">
          <a:extLst>
            <a:ext uri="{FF2B5EF4-FFF2-40B4-BE49-F238E27FC236}">
              <a16:creationId xmlns:a16="http://schemas.microsoft.com/office/drawing/2014/main" id="{568BD5B9-5278-408F-8F02-D302C7D85A89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217" name="AutoShape 1">
          <a:extLst>
            <a:ext uri="{FF2B5EF4-FFF2-40B4-BE49-F238E27FC236}">
              <a16:creationId xmlns:a16="http://schemas.microsoft.com/office/drawing/2014/main" id="{F5B0D497-8131-45FB-B152-EF638B4B12D0}"/>
            </a:ext>
            <a:ext uri="{147F2762-F138-4A5C-976F-8EAC2B608ADB}">
              <a16:predDERef xmlns:a16="http://schemas.microsoft.com/office/drawing/2014/main" pred="{A9C9C4DB-4B97-447C-9099-E87BCB3C537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655</xdr:row>
      <xdr:rowOff>0</xdr:rowOff>
    </xdr:from>
    <xdr:ext cx="304800" cy="304800"/>
    <xdr:sp macro="" textlink="">
      <xdr:nvSpPr>
        <xdr:cNvPr id="2218" name="AutoShape 1">
          <a:extLst>
            <a:ext uri="{FF2B5EF4-FFF2-40B4-BE49-F238E27FC236}">
              <a16:creationId xmlns:a16="http://schemas.microsoft.com/office/drawing/2014/main" id="{DFE47852-AB7E-4032-852A-8D765805B2D7}"/>
            </a:ext>
            <a:ext uri="{147F2762-F138-4A5C-976F-8EAC2B608ADB}">
              <a16:predDERef xmlns:a16="http://schemas.microsoft.com/office/drawing/2014/main" pred="{CD89554D-BD76-42AD-819A-278AD445B86E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52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686</xdr:row>
      <xdr:rowOff>0</xdr:rowOff>
    </xdr:from>
    <xdr:ext cx="304800" cy="304800"/>
    <xdr:sp macro="" textlink="">
      <xdr:nvSpPr>
        <xdr:cNvPr id="2219" name="AutoShape 1">
          <a:extLst>
            <a:ext uri="{FF2B5EF4-FFF2-40B4-BE49-F238E27FC236}">
              <a16:creationId xmlns:a16="http://schemas.microsoft.com/office/drawing/2014/main" id="{2A6FBCD0-D299-41A6-867E-57AA9155182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115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686</xdr:row>
      <xdr:rowOff>0</xdr:rowOff>
    </xdr:from>
    <xdr:ext cx="304800" cy="304800"/>
    <xdr:sp macro="" textlink="">
      <xdr:nvSpPr>
        <xdr:cNvPr id="2220" name="AutoShape 1">
          <a:extLst>
            <a:ext uri="{FF2B5EF4-FFF2-40B4-BE49-F238E27FC236}">
              <a16:creationId xmlns:a16="http://schemas.microsoft.com/office/drawing/2014/main" id="{E5596DC8-8536-405A-96F3-F29C8E09D56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115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696</xdr:row>
      <xdr:rowOff>0</xdr:rowOff>
    </xdr:from>
    <xdr:ext cx="304800" cy="304800"/>
    <xdr:sp macro="" textlink="">
      <xdr:nvSpPr>
        <xdr:cNvPr id="2221" name="AutoShape 1">
          <a:extLst>
            <a:ext uri="{FF2B5EF4-FFF2-40B4-BE49-F238E27FC236}">
              <a16:creationId xmlns:a16="http://schemas.microsoft.com/office/drawing/2014/main" id="{C87FAAA0-4168-4FE7-8456-D75332701FB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30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696</xdr:row>
      <xdr:rowOff>0</xdr:rowOff>
    </xdr:from>
    <xdr:ext cx="304800" cy="304800"/>
    <xdr:sp macro="" textlink="">
      <xdr:nvSpPr>
        <xdr:cNvPr id="2222" name="AutoShape 1">
          <a:extLst>
            <a:ext uri="{FF2B5EF4-FFF2-40B4-BE49-F238E27FC236}">
              <a16:creationId xmlns:a16="http://schemas.microsoft.com/office/drawing/2014/main" id="{3CAD3D7C-4FF9-4D50-A9EA-3161577221DB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30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696</xdr:row>
      <xdr:rowOff>0</xdr:rowOff>
    </xdr:from>
    <xdr:ext cx="304800" cy="304800"/>
    <xdr:sp macro="" textlink="">
      <xdr:nvSpPr>
        <xdr:cNvPr id="2223" name="AutoShape 1">
          <a:extLst>
            <a:ext uri="{FF2B5EF4-FFF2-40B4-BE49-F238E27FC236}">
              <a16:creationId xmlns:a16="http://schemas.microsoft.com/office/drawing/2014/main" id="{00EF5C1E-055C-401A-9F17-5768A9F1C7A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30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696</xdr:row>
      <xdr:rowOff>0</xdr:rowOff>
    </xdr:from>
    <xdr:ext cx="304800" cy="304800"/>
    <xdr:sp macro="" textlink="">
      <xdr:nvSpPr>
        <xdr:cNvPr id="2224" name="AutoShape 1">
          <a:extLst>
            <a:ext uri="{FF2B5EF4-FFF2-40B4-BE49-F238E27FC236}">
              <a16:creationId xmlns:a16="http://schemas.microsoft.com/office/drawing/2014/main" id="{19A61930-58CA-44DE-8E04-9F04C898CA3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30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696</xdr:row>
      <xdr:rowOff>0</xdr:rowOff>
    </xdr:from>
    <xdr:ext cx="304800" cy="304800"/>
    <xdr:sp macro="" textlink="">
      <xdr:nvSpPr>
        <xdr:cNvPr id="2225" name="AutoShape 1">
          <a:extLst>
            <a:ext uri="{FF2B5EF4-FFF2-40B4-BE49-F238E27FC236}">
              <a16:creationId xmlns:a16="http://schemas.microsoft.com/office/drawing/2014/main" id="{8B263DD2-62A2-4280-934E-6F3CFBE38853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30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696</xdr:row>
      <xdr:rowOff>0</xdr:rowOff>
    </xdr:from>
    <xdr:ext cx="304800" cy="304800"/>
    <xdr:sp macro="" textlink="">
      <xdr:nvSpPr>
        <xdr:cNvPr id="2226" name="AutoShape 1">
          <a:extLst>
            <a:ext uri="{FF2B5EF4-FFF2-40B4-BE49-F238E27FC236}">
              <a16:creationId xmlns:a16="http://schemas.microsoft.com/office/drawing/2014/main" id="{E947C537-C066-4592-ACAA-F59D936BAB0B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30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696</xdr:row>
      <xdr:rowOff>0</xdr:rowOff>
    </xdr:from>
    <xdr:ext cx="304800" cy="304800"/>
    <xdr:sp macro="" textlink="">
      <xdr:nvSpPr>
        <xdr:cNvPr id="2227" name="AutoShape 1">
          <a:extLst>
            <a:ext uri="{FF2B5EF4-FFF2-40B4-BE49-F238E27FC236}">
              <a16:creationId xmlns:a16="http://schemas.microsoft.com/office/drawing/2014/main" id="{F6D446DD-4B5B-4B1F-89CA-C2DB79C47CD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30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696</xdr:row>
      <xdr:rowOff>0</xdr:rowOff>
    </xdr:from>
    <xdr:ext cx="304800" cy="304800"/>
    <xdr:sp macro="" textlink="">
      <xdr:nvSpPr>
        <xdr:cNvPr id="2228" name="AutoShape 1">
          <a:extLst>
            <a:ext uri="{FF2B5EF4-FFF2-40B4-BE49-F238E27FC236}">
              <a16:creationId xmlns:a16="http://schemas.microsoft.com/office/drawing/2014/main" id="{B164BB6E-8CA5-4B97-B400-2F39623F0077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30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696</xdr:row>
      <xdr:rowOff>0</xdr:rowOff>
    </xdr:from>
    <xdr:ext cx="304800" cy="304800"/>
    <xdr:sp macro="" textlink="">
      <xdr:nvSpPr>
        <xdr:cNvPr id="2229" name="AutoShape 1">
          <a:extLst>
            <a:ext uri="{FF2B5EF4-FFF2-40B4-BE49-F238E27FC236}">
              <a16:creationId xmlns:a16="http://schemas.microsoft.com/office/drawing/2014/main" id="{40FCE963-8CFA-48FF-9821-3A3E59773E3B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30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696</xdr:row>
      <xdr:rowOff>0</xdr:rowOff>
    </xdr:from>
    <xdr:ext cx="304800" cy="304800"/>
    <xdr:sp macro="" textlink="">
      <xdr:nvSpPr>
        <xdr:cNvPr id="2230" name="AutoShape 1">
          <a:extLst>
            <a:ext uri="{FF2B5EF4-FFF2-40B4-BE49-F238E27FC236}">
              <a16:creationId xmlns:a16="http://schemas.microsoft.com/office/drawing/2014/main" id="{83B06353-5599-4EFF-942C-51A4F04CB60C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30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696</xdr:row>
      <xdr:rowOff>0</xdr:rowOff>
    </xdr:from>
    <xdr:ext cx="304800" cy="304800"/>
    <xdr:sp macro="" textlink="">
      <xdr:nvSpPr>
        <xdr:cNvPr id="2231" name="AutoShape 1">
          <a:extLst>
            <a:ext uri="{FF2B5EF4-FFF2-40B4-BE49-F238E27FC236}">
              <a16:creationId xmlns:a16="http://schemas.microsoft.com/office/drawing/2014/main" id="{20B2ABBC-0742-41D5-A965-4D4CF345712E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30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696</xdr:row>
      <xdr:rowOff>0</xdr:rowOff>
    </xdr:from>
    <xdr:ext cx="304800" cy="304800"/>
    <xdr:sp macro="" textlink="">
      <xdr:nvSpPr>
        <xdr:cNvPr id="2232" name="AutoShape 1">
          <a:extLst>
            <a:ext uri="{FF2B5EF4-FFF2-40B4-BE49-F238E27FC236}">
              <a16:creationId xmlns:a16="http://schemas.microsoft.com/office/drawing/2014/main" id="{F0C8131B-B716-4FBD-8BF3-E91EFB60F70B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30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696</xdr:row>
      <xdr:rowOff>0</xdr:rowOff>
    </xdr:from>
    <xdr:ext cx="304800" cy="304800"/>
    <xdr:sp macro="" textlink="">
      <xdr:nvSpPr>
        <xdr:cNvPr id="2233" name="AutoShape 1">
          <a:extLst>
            <a:ext uri="{FF2B5EF4-FFF2-40B4-BE49-F238E27FC236}">
              <a16:creationId xmlns:a16="http://schemas.microsoft.com/office/drawing/2014/main" id="{2743FD65-03AE-4D52-9940-E225C2A0F56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30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696</xdr:row>
      <xdr:rowOff>0</xdr:rowOff>
    </xdr:from>
    <xdr:ext cx="304800" cy="304800"/>
    <xdr:sp macro="" textlink="">
      <xdr:nvSpPr>
        <xdr:cNvPr id="2234" name="AutoShape 1">
          <a:extLst>
            <a:ext uri="{FF2B5EF4-FFF2-40B4-BE49-F238E27FC236}">
              <a16:creationId xmlns:a16="http://schemas.microsoft.com/office/drawing/2014/main" id="{FCA111B5-35E2-4A88-ADF6-B8620FEC9A46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30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696</xdr:row>
      <xdr:rowOff>0</xdr:rowOff>
    </xdr:from>
    <xdr:ext cx="304800" cy="304800"/>
    <xdr:sp macro="" textlink="">
      <xdr:nvSpPr>
        <xdr:cNvPr id="2235" name="AutoShape 1">
          <a:extLst>
            <a:ext uri="{FF2B5EF4-FFF2-40B4-BE49-F238E27FC236}">
              <a16:creationId xmlns:a16="http://schemas.microsoft.com/office/drawing/2014/main" id="{880A496D-250D-40EF-9C44-9D70155AEF7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30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696</xdr:row>
      <xdr:rowOff>0</xdr:rowOff>
    </xdr:from>
    <xdr:ext cx="304800" cy="304800"/>
    <xdr:sp macro="" textlink="">
      <xdr:nvSpPr>
        <xdr:cNvPr id="2236" name="AutoShape 1">
          <a:extLst>
            <a:ext uri="{FF2B5EF4-FFF2-40B4-BE49-F238E27FC236}">
              <a16:creationId xmlns:a16="http://schemas.microsoft.com/office/drawing/2014/main" id="{C5934E0A-42B3-441B-9DE1-B4858C2E7583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30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696</xdr:row>
      <xdr:rowOff>0</xdr:rowOff>
    </xdr:from>
    <xdr:ext cx="304800" cy="304800"/>
    <xdr:sp macro="" textlink="">
      <xdr:nvSpPr>
        <xdr:cNvPr id="2237" name="AutoShape 1">
          <a:extLst>
            <a:ext uri="{FF2B5EF4-FFF2-40B4-BE49-F238E27FC236}">
              <a16:creationId xmlns:a16="http://schemas.microsoft.com/office/drawing/2014/main" id="{6F40AACE-E6C9-4DD2-95AA-A0A641C1CE7F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30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696</xdr:row>
      <xdr:rowOff>0</xdr:rowOff>
    </xdr:from>
    <xdr:ext cx="304800" cy="304800"/>
    <xdr:sp macro="" textlink="">
      <xdr:nvSpPr>
        <xdr:cNvPr id="2238" name="AutoShape 1">
          <a:extLst>
            <a:ext uri="{FF2B5EF4-FFF2-40B4-BE49-F238E27FC236}">
              <a16:creationId xmlns:a16="http://schemas.microsoft.com/office/drawing/2014/main" id="{CA3B046F-3E4F-4D8F-BDEA-DC6D2D67418E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30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696</xdr:row>
      <xdr:rowOff>0</xdr:rowOff>
    </xdr:from>
    <xdr:ext cx="304800" cy="304800"/>
    <xdr:sp macro="" textlink="">
      <xdr:nvSpPr>
        <xdr:cNvPr id="2239" name="AutoShape 1">
          <a:extLst>
            <a:ext uri="{FF2B5EF4-FFF2-40B4-BE49-F238E27FC236}">
              <a16:creationId xmlns:a16="http://schemas.microsoft.com/office/drawing/2014/main" id="{386A1441-CC66-4467-BA36-D31EC0D79F0C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30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696</xdr:row>
      <xdr:rowOff>0</xdr:rowOff>
    </xdr:from>
    <xdr:ext cx="304800" cy="304800"/>
    <xdr:sp macro="" textlink="">
      <xdr:nvSpPr>
        <xdr:cNvPr id="2240" name="AutoShape 1">
          <a:extLst>
            <a:ext uri="{FF2B5EF4-FFF2-40B4-BE49-F238E27FC236}">
              <a16:creationId xmlns:a16="http://schemas.microsoft.com/office/drawing/2014/main" id="{8E0EA6BB-F6BA-47FE-9765-D75B5B3839EE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30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696</xdr:row>
      <xdr:rowOff>0</xdr:rowOff>
    </xdr:from>
    <xdr:ext cx="304800" cy="304800"/>
    <xdr:sp macro="" textlink="">
      <xdr:nvSpPr>
        <xdr:cNvPr id="2241" name="AutoShape 1">
          <a:extLst>
            <a:ext uri="{FF2B5EF4-FFF2-40B4-BE49-F238E27FC236}">
              <a16:creationId xmlns:a16="http://schemas.microsoft.com/office/drawing/2014/main" id="{47F604D7-6C19-40C6-A7EA-6FA0BF4C1FC1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30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696</xdr:row>
      <xdr:rowOff>0</xdr:rowOff>
    </xdr:from>
    <xdr:ext cx="304800" cy="304800"/>
    <xdr:sp macro="" textlink="">
      <xdr:nvSpPr>
        <xdr:cNvPr id="2242" name="AutoShape 1">
          <a:extLst>
            <a:ext uri="{FF2B5EF4-FFF2-40B4-BE49-F238E27FC236}">
              <a16:creationId xmlns:a16="http://schemas.microsoft.com/office/drawing/2014/main" id="{6561081D-3F4A-4573-822E-CD6C790F3A50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30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696</xdr:row>
      <xdr:rowOff>0</xdr:rowOff>
    </xdr:from>
    <xdr:ext cx="304800" cy="304800"/>
    <xdr:sp macro="" textlink="">
      <xdr:nvSpPr>
        <xdr:cNvPr id="2243" name="AutoShape 1">
          <a:extLst>
            <a:ext uri="{FF2B5EF4-FFF2-40B4-BE49-F238E27FC236}">
              <a16:creationId xmlns:a16="http://schemas.microsoft.com/office/drawing/2014/main" id="{CBC0B0BC-7E0C-4BE9-B74C-DAE6CF1667F4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30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696</xdr:row>
      <xdr:rowOff>0</xdr:rowOff>
    </xdr:from>
    <xdr:ext cx="304800" cy="304800"/>
    <xdr:sp macro="" textlink="">
      <xdr:nvSpPr>
        <xdr:cNvPr id="2244" name="AutoShape 1">
          <a:extLst>
            <a:ext uri="{FF2B5EF4-FFF2-40B4-BE49-F238E27FC236}">
              <a16:creationId xmlns:a16="http://schemas.microsoft.com/office/drawing/2014/main" id="{DF606C7E-C7B5-433E-B018-57FDFDDA75F6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30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696</xdr:row>
      <xdr:rowOff>0</xdr:rowOff>
    </xdr:from>
    <xdr:ext cx="304800" cy="304800"/>
    <xdr:sp macro="" textlink="">
      <xdr:nvSpPr>
        <xdr:cNvPr id="2245" name="AutoShape 1">
          <a:extLst>
            <a:ext uri="{FF2B5EF4-FFF2-40B4-BE49-F238E27FC236}">
              <a16:creationId xmlns:a16="http://schemas.microsoft.com/office/drawing/2014/main" id="{B72ED353-9B60-4803-8749-C92F744E0B8B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30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696</xdr:row>
      <xdr:rowOff>0</xdr:rowOff>
    </xdr:from>
    <xdr:ext cx="304800" cy="304800"/>
    <xdr:sp macro="" textlink="">
      <xdr:nvSpPr>
        <xdr:cNvPr id="2246" name="AutoShape 1">
          <a:extLst>
            <a:ext uri="{FF2B5EF4-FFF2-40B4-BE49-F238E27FC236}">
              <a16:creationId xmlns:a16="http://schemas.microsoft.com/office/drawing/2014/main" id="{977249E0-A40F-4611-8B77-727AE1D7F688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30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696</xdr:row>
      <xdr:rowOff>0</xdr:rowOff>
    </xdr:from>
    <xdr:ext cx="304800" cy="304800"/>
    <xdr:sp macro="" textlink="">
      <xdr:nvSpPr>
        <xdr:cNvPr id="2247" name="AutoShape 1">
          <a:extLst>
            <a:ext uri="{FF2B5EF4-FFF2-40B4-BE49-F238E27FC236}">
              <a16:creationId xmlns:a16="http://schemas.microsoft.com/office/drawing/2014/main" id="{A8257252-262F-457C-83E7-23B115BF4A95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30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696</xdr:row>
      <xdr:rowOff>0</xdr:rowOff>
    </xdr:from>
    <xdr:ext cx="304800" cy="304800"/>
    <xdr:sp macro="" textlink="">
      <xdr:nvSpPr>
        <xdr:cNvPr id="2248" name="AutoShape 1">
          <a:extLst>
            <a:ext uri="{FF2B5EF4-FFF2-40B4-BE49-F238E27FC236}">
              <a16:creationId xmlns:a16="http://schemas.microsoft.com/office/drawing/2014/main" id="{87950094-1225-4BF4-8DDF-2EFCCB3450D3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30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696</xdr:row>
      <xdr:rowOff>0</xdr:rowOff>
    </xdr:from>
    <xdr:ext cx="304800" cy="304800"/>
    <xdr:sp macro="" textlink="">
      <xdr:nvSpPr>
        <xdr:cNvPr id="2249" name="AutoShape 1">
          <a:extLst>
            <a:ext uri="{FF2B5EF4-FFF2-40B4-BE49-F238E27FC236}">
              <a16:creationId xmlns:a16="http://schemas.microsoft.com/office/drawing/2014/main" id="{BFBB4CF0-294F-4CB8-AE20-9B0FF1D92BD7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30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696</xdr:row>
      <xdr:rowOff>0</xdr:rowOff>
    </xdr:from>
    <xdr:ext cx="304800" cy="304800"/>
    <xdr:sp macro="" textlink="">
      <xdr:nvSpPr>
        <xdr:cNvPr id="2250" name="AutoShape 1">
          <a:extLst>
            <a:ext uri="{FF2B5EF4-FFF2-40B4-BE49-F238E27FC236}">
              <a16:creationId xmlns:a16="http://schemas.microsoft.com/office/drawing/2014/main" id="{75A8C915-1AC8-4F97-AC96-E9BD608F2617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30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696</xdr:row>
      <xdr:rowOff>0</xdr:rowOff>
    </xdr:from>
    <xdr:ext cx="304800" cy="304800"/>
    <xdr:sp macro="" textlink="">
      <xdr:nvSpPr>
        <xdr:cNvPr id="2251" name="AutoShape 1">
          <a:extLst>
            <a:ext uri="{FF2B5EF4-FFF2-40B4-BE49-F238E27FC236}">
              <a16:creationId xmlns:a16="http://schemas.microsoft.com/office/drawing/2014/main" id="{61D8378B-63BA-41C5-AC08-32CE6BDC9422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30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696</xdr:row>
      <xdr:rowOff>0</xdr:rowOff>
    </xdr:from>
    <xdr:ext cx="304800" cy="304800"/>
    <xdr:sp macro="" textlink="">
      <xdr:nvSpPr>
        <xdr:cNvPr id="2252" name="AutoShape 1">
          <a:extLst>
            <a:ext uri="{FF2B5EF4-FFF2-40B4-BE49-F238E27FC236}">
              <a16:creationId xmlns:a16="http://schemas.microsoft.com/office/drawing/2014/main" id="{C77E2379-9133-4B50-8817-4FDA6F14172B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30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696</xdr:row>
      <xdr:rowOff>0</xdr:rowOff>
    </xdr:from>
    <xdr:ext cx="304800" cy="304800"/>
    <xdr:sp macro="" textlink="">
      <xdr:nvSpPr>
        <xdr:cNvPr id="2253" name="AutoShape 1">
          <a:extLst>
            <a:ext uri="{FF2B5EF4-FFF2-40B4-BE49-F238E27FC236}">
              <a16:creationId xmlns:a16="http://schemas.microsoft.com/office/drawing/2014/main" id="{458B9811-5498-49FA-AABE-F539957BD74F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30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696</xdr:row>
      <xdr:rowOff>0</xdr:rowOff>
    </xdr:from>
    <xdr:ext cx="304800" cy="304800"/>
    <xdr:sp macro="" textlink="">
      <xdr:nvSpPr>
        <xdr:cNvPr id="2254" name="AutoShape 1">
          <a:extLst>
            <a:ext uri="{FF2B5EF4-FFF2-40B4-BE49-F238E27FC236}">
              <a16:creationId xmlns:a16="http://schemas.microsoft.com/office/drawing/2014/main" id="{EBFA83DE-C0FD-4B85-8C55-4E42337F8336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30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696</xdr:row>
      <xdr:rowOff>0</xdr:rowOff>
    </xdr:from>
    <xdr:ext cx="304800" cy="304800"/>
    <xdr:sp macro="" textlink="">
      <xdr:nvSpPr>
        <xdr:cNvPr id="2255" name="AutoShape 1">
          <a:extLst>
            <a:ext uri="{FF2B5EF4-FFF2-40B4-BE49-F238E27FC236}">
              <a16:creationId xmlns:a16="http://schemas.microsoft.com/office/drawing/2014/main" id="{6647CD79-9DE3-4FC2-AB94-D02E975C4405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30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696</xdr:row>
      <xdr:rowOff>0</xdr:rowOff>
    </xdr:from>
    <xdr:ext cx="304800" cy="304800"/>
    <xdr:sp macro="" textlink="">
      <xdr:nvSpPr>
        <xdr:cNvPr id="2256" name="AutoShape 1">
          <a:extLst>
            <a:ext uri="{FF2B5EF4-FFF2-40B4-BE49-F238E27FC236}">
              <a16:creationId xmlns:a16="http://schemas.microsoft.com/office/drawing/2014/main" id="{8A752B95-7A4D-443B-BFC6-1FD4436E694E}"/>
            </a:ext>
            <a:ext uri="{147F2762-F138-4A5C-976F-8EAC2B608ADB}">
              <a16:predDERef xmlns:a16="http://schemas.microsoft.com/office/drawing/2014/main" pred="{A9C9C4DB-4B97-447C-9099-E87BCB3C537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30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696</xdr:row>
      <xdr:rowOff>0</xdr:rowOff>
    </xdr:from>
    <xdr:ext cx="304800" cy="304800"/>
    <xdr:sp macro="" textlink="">
      <xdr:nvSpPr>
        <xdr:cNvPr id="2257" name="AutoShape 1">
          <a:extLst>
            <a:ext uri="{FF2B5EF4-FFF2-40B4-BE49-F238E27FC236}">
              <a16:creationId xmlns:a16="http://schemas.microsoft.com/office/drawing/2014/main" id="{AA8DC2FA-D946-4CFD-8555-1919AA416801}"/>
            </a:ext>
            <a:ext uri="{147F2762-F138-4A5C-976F-8EAC2B608ADB}">
              <a16:predDERef xmlns:a16="http://schemas.microsoft.com/office/drawing/2014/main" pred="{CD89554D-BD76-42AD-819A-278AD445B86E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30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696</xdr:row>
      <xdr:rowOff>0</xdr:rowOff>
    </xdr:from>
    <xdr:ext cx="304800" cy="304800"/>
    <xdr:sp macro="" textlink="">
      <xdr:nvSpPr>
        <xdr:cNvPr id="2258" name="AutoShape 1">
          <a:extLst>
            <a:ext uri="{FF2B5EF4-FFF2-40B4-BE49-F238E27FC236}">
              <a16:creationId xmlns:a16="http://schemas.microsoft.com/office/drawing/2014/main" id="{70D6F4BD-C144-4B67-874A-D38D5534FF8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30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696</xdr:row>
      <xdr:rowOff>0</xdr:rowOff>
    </xdr:from>
    <xdr:ext cx="304800" cy="304800"/>
    <xdr:sp macro="" textlink="">
      <xdr:nvSpPr>
        <xdr:cNvPr id="2259" name="AutoShape 1">
          <a:extLst>
            <a:ext uri="{FF2B5EF4-FFF2-40B4-BE49-F238E27FC236}">
              <a16:creationId xmlns:a16="http://schemas.microsoft.com/office/drawing/2014/main" id="{3541EB75-1A76-4A27-9CB2-3823E5D9A54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30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696</xdr:row>
      <xdr:rowOff>0</xdr:rowOff>
    </xdr:from>
    <xdr:ext cx="304800" cy="304800"/>
    <xdr:sp macro="" textlink="">
      <xdr:nvSpPr>
        <xdr:cNvPr id="2260" name="AutoShape 1">
          <a:extLst>
            <a:ext uri="{FF2B5EF4-FFF2-40B4-BE49-F238E27FC236}">
              <a16:creationId xmlns:a16="http://schemas.microsoft.com/office/drawing/2014/main" id="{BC180619-141A-46F5-8AE4-C8C50787EF11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30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696</xdr:row>
      <xdr:rowOff>0</xdr:rowOff>
    </xdr:from>
    <xdr:ext cx="304800" cy="304800"/>
    <xdr:sp macro="" textlink="">
      <xdr:nvSpPr>
        <xdr:cNvPr id="2261" name="AutoShape 1">
          <a:extLst>
            <a:ext uri="{FF2B5EF4-FFF2-40B4-BE49-F238E27FC236}">
              <a16:creationId xmlns:a16="http://schemas.microsoft.com/office/drawing/2014/main" id="{85D7FE1D-4290-4C13-A98E-D930F11B056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30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696</xdr:row>
      <xdr:rowOff>0</xdr:rowOff>
    </xdr:from>
    <xdr:ext cx="304800" cy="304800"/>
    <xdr:sp macro="" textlink="">
      <xdr:nvSpPr>
        <xdr:cNvPr id="2262" name="AutoShape 1">
          <a:extLst>
            <a:ext uri="{FF2B5EF4-FFF2-40B4-BE49-F238E27FC236}">
              <a16:creationId xmlns:a16="http://schemas.microsoft.com/office/drawing/2014/main" id="{8CD06BCD-70CA-4762-947C-1E9AD18E602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30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696</xdr:row>
      <xdr:rowOff>0</xdr:rowOff>
    </xdr:from>
    <xdr:ext cx="304800" cy="304800"/>
    <xdr:sp macro="" textlink="">
      <xdr:nvSpPr>
        <xdr:cNvPr id="2263" name="AutoShape 1">
          <a:extLst>
            <a:ext uri="{FF2B5EF4-FFF2-40B4-BE49-F238E27FC236}">
              <a16:creationId xmlns:a16="http://schemas.microsoft.com/office/drawing/2014/main" id="{B8D93836-3608-4A51-8E4F-0EF5AD4D358A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30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696</xdr:row>
      <xdr:rowOff>0</xdr:rowOff>
    </xdr:from>
    <xdr:ext cx="304800" cy="304800"/>
    <xdr:sp macro="" textlink="">
      <xdr:nvSpPr>
        <xdr:cNvPr id="2264" name="AutoShape 1">
          <a:extLst>
            <a:ext uri="{FF2B5EF4-FFF2-40B4-BE49-F238E27FC236}">
              <a16:creationId xmlns:a16="http://schemas.microsoft.com/office/drawing/2014/main" id="{169969EC-1214-4730-8036-E3CC23F1B2B9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30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696</xdr:row>
      <xdr:rowOff>0</xdr:rowOff>
    </xdr:from>
    <xdr:ext cx="304800" cy="304800"/>
    <xdr:sp macro="" textlink="">
      <xdr:nvSpPr>
        <xdr:cNvPr id="2265" name="AutoShape 1">
          <a:extLst>
            <a:ext uri="{FF2B5EF4-FFF2-40B4-BE49-F238E27FC236}">
              <a16:creationId xmlns:a16="http://schemas.microsoft.com/office/drawing/2014/main" id="{FB8C00F5-8044-4F04-B4B0-297DA095F619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30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696</xdr:row>
      <xdr:rowOff>0</xdr:rowOff>
    </xdr:from>
    <xdr:ext cx="304800" cy="304800"/>
    <xdr:sp macro="" textlink="">
      <xdr:nvSpPr>
        <xdr:cNvPr id="2266" name="AutoShape 1">
          <a:extLst>
            <a:ext uri="{FF2B5EF4-FFF2-40B4-BE49-F238E27FC236}">
              <a16:creationId xmlns:a16="http://schemas.microsoft.com/office/drawing/2014/main" id="{81038CDD-4CBE-4359-8045-ADF0CCBA0F4A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30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696</xdr:row>
      <xdr:rowOff>0</xdr:rowOff>
    </xdr:from>
    <xdr:ext cx="304800" cy="304800"/>
    <xdr:sp macro="" textlink="">
      <xdr:nvSpPr>
        <xdr:cNvPr id="2267" name="AutoShape 1">
          <a:extLst>
            <a:ext uri="{FF2B5EF4-FFF2-40B4-BE49-F238E27FC236}">
              <a16:creationId xmlns:a16="http://schemas.microsoft.com/office/drawing/2014/main" id="{329034BA-8CB2-4E33-B5C5-80EBDD028DB4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30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696</xdr:row>
      <xdr:rowOff>0</xdr:rowOff>
    </xdr:from>
    <xdr:ext cx="304800" cy="304800"/>
    <xdr:sp macro="" textlink="">
      <xdr:nvSpPr>
        <xdr:cNvPr id="2268" name="AutoShape 1">
          <a:extLst>
            <a:ext uri="{FF2B5EF4-FFF2-40B4-BE49-F238E27FC236}">
              <a16:creationId xmlns:a16="http://schemas.microsoft.com/office/drawing/2014/main" id="{906559B1-D107-4F41-9D7C-478BC1F948B4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30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696</xdr:row>
      <xdr:rowOff>0</xdr:rowOff>
    </xdr:from>
    <xdr:ext cx="304800" cy="304800"/>
    <xdr:sp macro="" textlink="">
      <xdr:nvSpPr>
        <xdr:cNvPr id="2269" name="AutoShape 1">
          <a:extLst>
            <a:ext uri="{FF2B5EF4-FFF2-40B4-BE49-F238E27FC236}">
              <a16:creationId xmlns:a16="http://schemas.microsoft.com/office/drawing/2014/main" id="{8BB7691E-5CD2-40CA-84D1-4B84B10E9AA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30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696</xdr:row>
      <xdr:rowOff>0</xdr:rowOff>
    </xdr:from>
    <xdr:ext cx="304800" cy="304800"/>
    <xdr:sp macro="" textlink="">
      <xdr:nvSpPr>
        <xdr:cNvPr id="2270" name="AutoShape 1">
          <a:extLst>
            <a:ext uri="{FF2B5EF4-FFF2-40B4-BE49-F238E27FC236}">
              <a16:creationId xmlns:a16="http://schemas.microsoft.com/office/drawing/2014/main" id="{EC03FD13-FFAD-4C3B-BF91-E0CE326C1A44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30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696</xdr:row>
      <xdr:rowOff>0</xdr:rowOff>
    </xdr:from>
    <xdr:ext cx="304800" cy="304800"/>
    <xdr:sp macro="" textlink="">
      <xdr:nvSpPr>
        <xdr:cNvPr id="2271" name="AutoShape 1">
          <a:extLst>
            <a:ext uri="{FF2B5EF4-FFF2-40B4-BE49-F238E27FC236}">
              <a16:creationId xmlns:a16="http://schemas.microsoft.com/office/drawing/2014/main" id="{3B39AB24-DDE1-403F-9CC0-911F251B651B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30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696</xdr:row>
      <xdr:rowOff>0</xdr:rowOff>
    </xdr:from>
    <xdr:ext cx="304800" cy="304800"/>
    <xdr:sp macro="" textlink="">
      <xdr:nvSpPr>
        <xdr:cNvPr id="2272" name="AutoShape 1">
          <a:extLst>
            <a:ext uri="{FF2B5EF4-FFF2-40B4-BE49-F238E27FC236}">
              <a16:creationId xmlns:a16="http://schemas.microsoft.com/office/drawing/2014/main" id="{A5E183FB-341B-4F5A-ADC0-93160CF366EB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30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696</xdr:row>
      <xdr:rowOff>0</xdr:rowOff>
    </xdr:from>
    <xdr:ext cx="304800" cy="304800"/>
    <xdr:sp macro="" textlink="">
      <xdr:nvSpPr>
        <xdr:cNvPr id="2273" name="AutoShape 1">
          <a:extLst>
            <a:ext uri="{FF2B5EF4-FFF2-40B4-BE49-F238E27FC236}">
              <a16:creationId xmlns:a16="http://schemas.microsoft.com/office/drawing/2014/main" id="{628D94E8-EB2D-45EA-B00F-E01335EEEF69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30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696</xdr:row>
      <xdr:rowOff>0</xdr:rowOff>
    </xdr:from>
    <xdr:ext cx="304800" cy="304800"/>
    <xdr:sp macro="" textlink="">
      <xdr:nvSpPr>
        <xdr:cNvPr id="2274" name="AutoShape 1">
          <a:extLst>
            <a:ext uri="{FF2B5EF4-FFF2-40B4-BE49-F238E27FC236}">
              <a16:creationId xmlns:a16="http://schemas.microsoft.com/office/drawing/2014/main" id="{A2CC63D3-6987-43B8-ADCD-E887C39EF7F0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30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696</xdr:row>
      <xdr:rowOff>0</xdr:rowOff>
    </xdr:from>
    <xdr:ext cx="304800" cy="304800"/>
    <xdr:sp macro="" textlink="">
      <xdr:nvSpPr>
        <xdr:cNvPr id="2275" name="AutoShape 1">
          <a:extLst>
            <a:ext uri="{FF2B5EF4-FFF2-40B4-BE49-F238E27FC236}">
              <a16:creationId xmlns:a16="http://schemas.microsoft.com/office/drawing/2014/main" id="{BD01A739-230C-4CA7-B76D-D616CD071A6A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30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696</xdr:row>
      <xdr:rowOff>0</xdr:rowOff>
    </xdr:from>
    <xdr:ext cx="304800" cy="304800"/>
    <xdr:sp macro="" textlink="">
      <xdr:nvSpPr>
        <xdr:cNvPr id="2276" name="AutoShape 1">
          <a:extLst>
            <a:ext uri="{FF2B5EF4-FFF2-40B4-BE49-F238E27FC236}">
              <a16:creationId xmlns:a16="http://schemas.microsoft.com/office/drawing/2014/main" id="{638B2BDA-6935-4503-A9FB-313A2416C0C1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30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696</xdr:row>
      <xdr:rowOff>0</xdr:rowOff>
    </xdr:from>
    <xdr:ext cx="304800" cy="304800"/>
    <xdr:sp macro="" textlink="">
      <xdr:nvSpPr>
        <xdr:cNvPr id="2277" name="AutoShape 1">
          <a:extLst>
            <a:ext uri="{FF2B5EF4-FFF2-40B4-BE49-F238E27FC236}">
              <a16:creationId xmlns:a16="http://schemas.microsoft.com/office/drawing/2014/main" id="{0E1DA408-A48A-43B3-9F53-06F88FD02C66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30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696</xdr:row>
      <xdr:rowOff>0</xdr:rowOff>
    </xdr:from>
    <xdr:ext cx="304800" cy="304800"/>
    <xdr:sp macro="" textlink="">
      <xdr:nvSpPr>
        <xdr:cNvPr id="2278" name="AutoShape 1">
          <a:extLst>
            <a:ext uri="{FF2B5EF4-FFF2-40B4-BE49-F238E27FC236}">
              <a16:creationId xmlns:a16="http://schemas.microsoft.com/office/drawing/2014/main" id="{8CDC9F43-A2D7-4C20-A612-269938C30197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30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696</xdr:row>
      <xdr:rowOff>0</xdr:rowOff>
    </xdr:from>
    <xdr:ext cx="304800" cy="304800"/>
    <xdr:sp macro="" textlink="">
      <xdr:nvSpPr>
        <xdr:cNvPr id="2279" name="AutoShape 1">
          <a:extLst>
            <a:ext uri="{FF2B5EF4-FFF2-40B4-BE49-F238E27FC236}">
              <a16:creationId xmlns:a16="http://schemas.microsoft.com/office/drawing/2014/main" id="{D5087CD6-915D-4354-829A-FD641E5BFE67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30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696</xdr:row>
      <xdr:rowOff>0</xdr:rowOff>
    </xdr:from>
    <xdr:ext cx="304800" cy="304800"/>
    <xdr:sp macro="" textlink="">
      <xdr:nvSpPr>
        <xdr:cNvPr id="2280" name="AutoShape 1">
          <a:extLst>
            <a:ext uri="{FF2B5EF4-FFF2-40B4-BE49-F238E27FC236}">
              <a16:creationId xmlns:a16="http://schemas.microsoft.com/office/drawing/2014/main" id="{9D0990EF-1D18-4B3E-9FF9-F4D30B8609D4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30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696</xdr:row>
      <xdr:rowOff>0</xdr:rowOff>
    </xdr:from>
    <xdr:ext cx="304800" cy="304800"/>
    <xdr:sp macro="" textlink="">
      <xdr:nvSpPr>
        <xdr:cNvPr id="2281" name="AutoShape 1">
          <a:extLst>
            <a:ext uri="{FF2B5EF4-FFF2-40B4-BE49-F238E27FC236}">
              <a16:creationId xmlns:a16="http://schemas.microsoft.com/office/drawing/2014/main" id="{566BACC9-45B9-4023-8707-AD84DEE1A6B3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30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696</xdr:row>
      <xdr:rowOff>0</xdr:rowOff>
    </xdr:from>
    <xdr:ext cx="304800" cy="304800"/>
    <xdr:sp macro="" textlink="">
      <xdr:nvSpPr>
        <xdr:cNvPr id="2282" name="AutoShape 1">
          <a:extLst>
            <a:ext uri="{FF2B5EF4-FFF2-40B4-BE49-F238E27FC236}">
              <a16:creationId xmlns:a16="http://schemas.microsoft.com/office/drawing/2014/main" id="{92BD155A-AF24-427A-904A-4FAEA8C02F18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30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696</xdr:row>
      <xdr:rowOff>0</xdr:rowOff>
    </xdr:from>
    <xdr:ext cx="304800" cy="304800"/>
    <xdr:sp macro="" textlink="">
      <xdr:nvSpPr>
        <xdr:cNvPr id="2283" name="AutoShape 1">
          <a:extLst>
            <a:ext uri="{FF2B5EF4-FFF2-40B4-BE49-F238E27FC236}">
              <a16:creationId xmlns:a16="http://schemas.microsoft.com/office/drawing/2014/main" id="{48902695-D6AA-4FE1-9554-30E3F92064AD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30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696</xdr:row>
      <xdr:rowOff>0</xdr:rowOff>
    </xdr:from>
    <xdr:ext cx="304800" cy="304800"/>
    <xdr:sp macro="" textlink="">
      <xdr:nvSpPr>
        <xdr:cNvPr id="2284" name="AutoShape 1">
          <a:extLst>
            <a:ext uri="{FF2B5EF4-FFF2-40B4-BE49-F238E27FC236}">
              <a16:creationId xmlns:a16="http://schemas.microsoft.com/office/drawing/2014/main" id="{D7B79961-0B67-48F9-BCB3-08FD3212066F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30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696</xdr:row>
      <xdr:rowOff>0</xdr:rowOff>
    </xdr:from>
    <xdr:ext cx="304800" cy="304800"/>
    <xdr:sp macro="" textlink="">
      <xdr:nvSpPr>
        <xdr:cNvPr id="2285" name="AutoShape 1">
          <a:extLst>
            <a:ext uri="{FF2B5EF4-FFF2-40B4-BE49-F238E27FC236}">
              <a16:creationId xmlns:a16="http://schemas.microsoft.com/office/drawing/2014/main" id="{C197E994-1F1D-4645-BDA6-889420B4422F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30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696</xdr:row>
      <xdr:rowOff>0</xdr:rowOff>
    </xdr:from>
    <xdr:ext cx="304800" cy="304800"/>
    <xdr:sp macro="" textlink="">
      <xdr:nvSpPr>
        <xdr:cNvPr id="2286" name="AutoShape 1">
          <a:extLst>
            <a:ext uri="{FF2B5EF4-FFF2-40B4-BE49-F238E27FC236}">
              <a16:creationId xmlns:a16="http://schemas.microsoft.com/office/drawing/2014/main" id="{63AAD689-0C53-4D62-A306-069249BA9982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30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696</xdr:row>
      <xdr:rowOff>0</xdr:rowOff>
    </xdr:from>
    <xdr:ext cx="304800" cy="304800"/>
    <xdr:sp macro="" textlink="">
      <xdr:nvSpPr>
        <xdr:cNvPr id="2287" name="AutoShape 1">
          <a:extLst>
            <a:ext uri="{FF2B5EF4-FFF2-40B4-BE49-F238E27FC236}">
              <a16:creationId xmlns:a16="http://schemas.microsoft.com/office/drawing/2014/main" id="{AD820F40-20CD-4852-B6E2-B158C7D09F94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30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696</xdr:row>
      <xdr:rowOff>0</xdr:rowOff>
    </xdr:from>
    <xdr:ext cx="304800" cy="304800"/>
    <xdr:sp macro="" textlink="">
      <xdr:nvSpPr>
        <xdr:cNvPr id="2288" name="AutoShape 1">
          <a:extLst>
            <a:ext uri="{FF2B5EF4-FFF2-40B4-BE49-F238E27FC236}">
              <a16:creationId xmlns:a16="http://schemas.microsoft.com/office/drawing/2014/main" id="{CB1CB9EE-7A18-45AE-8158-1FC902B8B923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30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696</xdr:row>
      <xdr:rowOff>0</xdr:rowOff>
    </xdr:from>
    <xdr:ext cx="304800" cy="304800"/>
    <xdr:sp macro="" textlink="">
      <xdr:nvSpPr>
        <xdr:cNvPr id="2289" name="AutoShape 1">
          <a:extLst>
            <a:ext uri="{FF2B5EF4-FFF2-40B4-BE49-F238E27FC236}">
              <a16:creationId xmlns:a16="http://schemas.microsoft.com/office/drawing/2014/main" id="{F121A8B6-F5BC-4460-AF2A-AFD9BEB23C8C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30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696</xdr:row>
      <xdr:rowOff>0</xdr:rowOff>
    </xdr:from>
    <xdr:ext cx="304800" cy="304800"/>
    <xdr:sp macro="" textlink="">
      <xdr:nvSpPr>
        <xdr:cNvPr id="2290" name="AutoShape 1">
          <a:extLst>
            <a:ext uri="{FF2B5EF4-FFF2-40B4-BE49-F238E27FC236}">
              <a16:creationId xmlns:a16="http://schemas.microsoft.com/office/drawing/2014/main" id="{CAE35A25-D7C1-4428-A1EF-B3978EB40E1A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30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696</xdr:row>
      <xdr:rowOff>0</xdr:rowOff>
    </xdr:from>
    <xdr:ext cx="304800" cy="304800"/>
    <xdr:sp macro="" textlink="">
      <xdr:nvSpPr>
        <xdr:cNvPr id="2291" name="AutoShape 1">
          <a:extLst>
            <a:ext uri="{FF2B5EF4-FFF2-40B4-BE49-F238E27FC236}">
              <a16:creationId xmlns:a16="http://schemas.microsoft.com/office/drawing/2014/main" id="{E0BEC976-7117-43D1-8679-4E5958448CF7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30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696</xdr:row>
      <xdr:rowOff>0</xdr:rowOff>
    </xdr:from>
    <xdr:ext cx="304800" cy="304800"/>
    <xdr:sp macro="" textlink="">
      <xdr:nvSpPr>
        <xdr:cNvPr id="2292" name="AutoShape 1">
          <a:extLst>
            <a:ext uri="{FF2B5EF4-FFF2-40B4-BE49-F238E27FC236}">
              <a16:creationId xmlns:a16="http://schemas.microsoft.com/office/drawing/2014/main" id="{7F7E7749-F494-47FE-BA00-3F0143779267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30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696</xdr:row>
      <xdr:rowOff>0</xdr:rowOff>
    </xdr:from>
    <xdr:ext cx="304800" cy="304800"/>
    <xdr:sp macro="" textlink="">
      <xdr:nvSpPr>
        <xdr:cNvPr id="2293" name="AutoShape 1">
          <a:extLst>
            <a:ext uri="{FF2B5EF4-FFF2-40B4-BE49-F238E27FC236}">
              <a16:creationId xmlns:a16="http://schemas.microsoft.com/office/drawing/2014/main" id="{F40E75E3-82D6-44BA-B15B-702AAB444B70}"/>
            </a:ext>
            <a:ext uri="{147F2762-F138-4A5C-976F-8EAC2B608ADB}">
              <a16:predDERef xmlns:a16="http://schemas.microsoft.com/office/drawing/2014/main" pred="{A9C9C4DB-4B97-447C-9099-E87BCB3C537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30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696</xdr:row>
      <xdr:rowOff>0</xdr:rowOff>
    </xdr:from>
    <xdr:ext cx="304800" cy="304800"/>
    <xdr:sp macro="" textlink="">
      <xdr:nvSpPr>
        <xdr:cNvPr id="2294" name="AutoShape 1">
          <a:extLst>
            <a:ext uri="{FF2B5EF4-FFF2-40B4-BE49-F238E27FC236}">
              <a16:creationId xmlns:a16="http://schemas.microsoft.com/office/drawing/2014/main" id="{769C4937-5D3B-417A-890C-0DEF130B1A64}"/>
            </a:ext>
            <a:ext uri="{147F2762-F138-4A5C-976F-8EAC2B608ADB}">
              <a16:predDERef xmlns:a16="http://schemas.microsoft.com/office/drawing/2014/main" pred="{CD89554D-BD76-42AD-819A-278AD445B86E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30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696</xdr:row>
      <xdr:rowOff>0</xdr:rowOff>
    </xdr:from>
    <xdr:ext cx="304800" cy="304800"/>
    <xdr:sp macro="" textlink="">
      <xdr:nvSpPr>
        <xdr:cNvPr id="2295" name="AutoShape 1">
          <a:extLst>
            <a:ext uri="{FF2B5EF4-FFF2-40B4-BE49-F238E27FC236}">
              <a16:creationId xmlns:a16="http://schemas.microsoft.com/office/drawing/2014/main" id="{102ECF57-B74D-4F3A-BD5E-EE430FA554AA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30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696</xdr:row>
      <xdr:rowOff>0</xdr:rowOff>
    </xdr:from>
    <xdr:ext cx="304800" cy="304800"/>
    <xdr:sp macro="" textlink="">
      <xdr:nvSpPr>
        <xdr:cNvPr id="2296" name="AutoShape 1">
          <a:extLst>
            <a:ext uri="{FF2B5EF4-FFF2-40B4-BE49-F238E27FC236}">
              <a16:creationId xmlns:a16="http://schemas.microsoft.com/office/drawing/2014/main" id="{34F32430-3357-4A87-B4F2-D03233D842C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30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696</xdr:row>
      <xdr:rowOff>0</xdr:rowOff>
    </xdr:from>
    <xdr:ext cx="304800" cy="304800"/>
    <xdr:sp macro="" textlink="">
      <xdr:nvSpPr>
        <xdr:cNvPr id="2297" name="AutoShape 1">
          <a:extLst>
            <a:ext uri="{FF2B5EF4-FFF2-40B4-BE49-F238E27FC236}">
              <a16:creationId xmlns:a16="http://schemas.microsoft.com/office/drawing/2014/main" id="{61156C2C-F534-4CC9-91F1-E7D6EDC7870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30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696</xdr:row>
      <xdr:rowOff>0</xdr:rowOff>
    </xdr:from>
    <xdr:ext cx="304800" cy="304800"/>
    <xdr:sp macro="" textlink="">
      <xdr:nvSpPr>
        <xdr:cNvPr id="2298" name="AutoShape 1">
          <a:extLst>
            <a:ext uri="{FF2B5EF4-FFF2-40B4-BE49-F238E27FC236}">
              <a16:creationId xmlns:a16="http://schemas.microsoft.com/office/drawing/2014/main" id="{3D15D814-B624-4640-A74D-D1E4A3A8800A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30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696</xdr:row>
      <xdr:rowOff>0</xdr:rowOff>
    </xdr:from>
    <xdr:ext cx="304800" cy="304800"/>
    <xdr:sp macro="" textlink="">
      <xdr:nvSpPr>
        <xdr:cNvPr id="2299" name="AutoShape 1">
          <a:extLst>
            <a:ext uri="{FF2B5EF4-FFF2-40B4-BE49-F238E27FC236}">
              <a16:creationId xmlns:a16="http://schemas.microsoft.com/office/drawing/2014/main" id="{EE204F3F-5C1F-4023-A722-AB40CA666089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30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696</xdr:row>
      <xdr:rowOff>0</xdr:rowOff>
    </xdr:from>
    <xdr:ext cx="304800" cy="304800"/>
    <xdr:sp macro="" textlink="">
      <xdr:nvSpPr>
        <xdr:cNvPr id="2300" name="AutoShape 1">
          <a:extLst>
            <a:ext uri="{FF2B5EF4-FFF2-40B4-BE49-F238E27FC236}">
              <a16:creationId xmlns:a16="http://schemas.microsoft.com/office/drawing/2014/main" id="{390CC1E4-7512-46F9-8E4F-44C3F4E7445A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30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696</xdr:row>
      <xdr:rowOff>0</xdr:rowOff>
    </xdr:from>
    <xdr:ext cx="304800" cy="304800"/>
    <xdr:sp macro="" textlink="">
      <xdr:nvSpPr>
        <xdr:cNvPr id="2301" name="AutoShape 1">
          <a:extLst>
            <a:ext uri="{FF2B5EF4-FFF2-40B4-BE49-F238E27FC236}">
              <a16:creationId xmlns:a16="http://schemas.microsoft.com/office/drawing/2014/main" id="{77670D49-4B34-4F45-A7D2-4745C5B7EF3F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30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696</xdr:row>
      <xdr:rowOff>0</xdr:rowOff>
    </xdr:from>
    <xdr:ext cx="304800" cy="304800"/>
    <xdr:sp macro="" textlink="">
      <xdr:nvSpPr>
        <xdr:cNvPr id="2302" name="AutoShape 1">
          <a:extLst>
            <a:ext uri="{FF2B5EF4-FFF2-40B4-BE49-F238E27FC236}">
              <a16:creationId xmlns:a16="http://schemas.microsoft.com/office/drawing/2014/main" id="{FE33F06E-9369-42F4-94B1-30E02389503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30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696</xdr:row>
      <xdr:rowOff>0</xdr:rowOff>
    </xdr:from>
    <xdr:ext cx="304800" cy="304800"/>
    <xdr:sp macro="" textlink="">
      <xdr:nvSpPr>
        <xdr:cNvPr id="2303" name="AutoShape 1">
          <a:extLst>
            <a:ext uri="{FF2B5EF4-FFF2-40B4-BE49-F238E27FC236}">
              <a16:creationId xmlns:a16="http://schemas.microsoft.com/office/drawing/2014/main" id="{C67DF79B-F68C-4DE4-9923-4997285DE33F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30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696</xdr:row>
      <xdr:rowOff>0</xdr:rowOff>
    </xdr:from>
    <xdr:ext cx="304800" cy="304800"/>
    <xdr:sp macro="" textlink="">
      <xdr:nvSpPr>
        <xdr:cNvPr id="2304" name="AutoShape 1">
          <a:extLst>
            <a:ext uri="{FF2B5EF4-FFF2-40B4-BE49-F238E27FC236}">
              <a16:creationId xmlns:a16="http://schemas.microsoft.com/office/drawing/2014/main" id="{ADF4E535-73F8-4991-A78B-E5A2C887233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30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696</xdr:row>
      <xdr:rowOff>0</xdr:rowOff>
    </xdr:from>
    <xdr:ext cx="304800" cy="304800"/>
    <xdr:sp macro="" textlink="">
      <xdr:nvSpPr>
        <xdr:cNvPr id="2305" name="AutoShape 1">
          <a:extLst>
            <a:ext uri="{FF2B5EF4-FFF2-40B4-BE49-F238E27FC236}">
              <a16:creationId xmlns:a16="http://schemas.microsoft.com/office/drawing/2014/main" id="{BECD8A3B-F9DB-450E-9435-3BFB2FB96671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30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696</xdr:row>
      <xdr:rowOff>0</xdr:rowOff>
    </xdr:from>
    <xdr:ext cx="304800" cy="304800"/>
    <xdr:sp macro="" textlink="">
      <xdr:nvSpPr>
        <xdr:cNvPr id="2306" name="AutoShape 1">
          <a:extLst>
            <a:ext uri="{FF2B5EF4-FFF2-40B4-BE49-F238E27FC236}">
              <a16:creationId xmlns:a16="http://schemas.microsoft.com/office/drawing/2014/main" id="{388D2FC1-A64F-426F-AAAD-6D7A22C2B7AB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30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696</xdr:row>
      <xdr:rowOff>0</xdr:rowOff>
    </xdr:from>
    <xdr:ext cx="304800" cy="304800"/>
    <xdr:sp macro="" textlink="">
      <xdr:nvSpPr>
        <xdr:cNvPr id="2307" name="AutoShape 1">
          <a:extLst>
            <a:ext uri="{FF2B5EF4-FFF2-40B4-BE49-F238E27FC236}">
              <a16:creationId xmlns:a16="http://schemas.microsoft.com/office/drawing/2014/main" id="{159D677B-88E9-4D00-BCC5-7CF1A752D85A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30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696</xdr:row>
      <xdr:rowOff>0</xdr:rowOff>
    </xdr:from>
    <xdr:ext cx="304800" cy="304800"/>
    <xdr:sp macro="" textlink="">
      <xdr:nvSpPr>
        <xdr:cNvPr id="2308" name="AutoShape 1">
          <a:extLst>
            <a:ext uri="{FF2B5EF4-FFF2-40B4-BE49-F238E27FC236}">
              <a16:creationId xmlns:a16="http://schemas.microsoft.com/office/drawing/2014/main" id="{15D2D30A-4F4D-4759-922E-7A47158F519B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30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696</xdr:row>
      <xdr:rowOff>0</xdr:rowOff>
    </xdr:from>
    <xdr:ext cx="304800" cy="304800"/>
    <xdr:sp macro="" textlink="">
      <xdr:nvSpPr>
        <xdr:cNvPr id="2309" name="AutoShape 1">
          <a:extLst>
            <a:ext uri="{FF2B5EF4-FFF2-40B4-BE49-F238E27FC236}">
              <a16:creationId xmlns:a16="http://schemas.microsoft.com/office/drawing/2014/main" id="{F9B91144-38BE-4DDF-A511-4DBA9736433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30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696</xdr:row>
      <xdr:rowOff>0</xdr:rowOff>
    </xdr:from>
    <xdr:ext cx="304800" cy="304800"/>
    <xdr:sp macro="" textlink="">
      <xdr:nvSpPr>
        <xdr:cNvPr id="2310" name="AutoShape 1">
          <a:extLst>
            <a:ext uri="{FF2B5EF4-FFF2-40B4-BE49-F238E27FC236}">
              <a16:creationId xmlns:a16="http://schemas.microsoft.com/office/drawing/2014/main" id="{C053A990-077B-419A-A35B-BEF94CF7F11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30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696</xdr:row>
      <xdr:rowOff>0</xdr:rowOff>
    </xdr:from>
    <xdr:ext cx="304800" cy="304800"/>
    <xdr:sp macro="" textlink="">
      <xdr:nvSpPr>
        <xdr:cNvPr id="2311" name="AutoShape 1">
          <a:extLst>
            <a:ext uri="{FF2B5EF4-FFF2-40B4-BE49-F238E27FC236}">
              <a16:creationId xmlns:a16="http://schemas.microsoft.com/office/drawing/2014/main" id="{BDD3D4E2-0157-4125-9FDF-70C063F18A16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30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696</xdr:row>
      <xdr:rowOff>0</xdr:rowOff>
    </xdr:from>
    <xdr:ext cx="304800" cy="304800"/>
    <xdr:sp macro="" textlink="">
      <xdr:nvSpPr>
        <xdr:cNvPr id="2312" name="AutoShape 1">
          <a:extLst>
            <a:ext uri="{FF2B5EF4-FFF2-40B4-BE49-F238E27FC236}">
              <a16:creationId xmlns:a16="http://schemas.microsoft.com/office/drawing/2014/main" id="{7A89C50F-4928-4586-B6B7-6AE61AF77986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30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696</xdr:row>
      <xdr:rowOff>0</xdr:rowOff>
    </xdr:from>
    <xdr:ext cx="304800" cy="304800"/>
    <xdr:sp macro="" textlink="">
      <xdr:nvSpPr>
        <xdr:cNvPr id="2313" name="AutoShape 1">
          <a:extLst>
            <a:ext uri="{FF2B5EF4-FFF2-40B4-BE49-F238E27FC236}">
              <a16:creationId xmlns:a16="http://schemas.microsoft.com/office/drawing/2014/main" id="{B4F8601F-D8E2-4E0C-AF13-722290EC4A4B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30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696</xdr:row>
      <xdr:rowOff>0</xdr:rowOff>
    </xdr:from>
    <xdr:ext cx="304800" cy="304800"/>
    <xdr:sp macro="" textlink="">
      <xdr:nvSpPr>
        <xdr:cNvPr id="2314" name="AutoShape 1">
          <a:extLst>
            <a:ext uri="{FF2B5EF4-FFF2-40B4-BE49-F238E27FC236}">
              <a16:creationId xmlns:a16="http://schemas.microsoft.com/office/drawing/2014/main" id="{A71C09D7-A674-43CD-B7E9-AE5FC479D12D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30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696</xdr:row>
      <xdr:rowOff>0</xdr:rowOff>
    </xdr:from>
    <xdr:ext cx="304800" cy="304800"/>
    <xdr:sp macro="" textlink="">
      <xdr:nvSpPr>
        <xdr:cNvPr id="2315" name="AutoShape 1">
          <a:extLst>
            <a:ext uri="{FF2B5EF4-FFF2-40B4-BE49-F238E27FC236}">
              <a16:creationId xmlns:a16="http://schemas.microsoft.com/office/drawing/2014/main" id="{E2C1D622-3991-4DF3-91E6-8EBADAE660DB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30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696</xdr:row>
      <xdr:rowOff>0</xdr:rowOff>
    </xdr:from>
    <xdr:ext cx="304800" cy="304800"/>
    <xdr:sp macro="" textlink="">
      <xdr:nvSpPr>
        <xdr:cNvPr id="2316" name="AutoShape 1">
          <a:extLst>
            <a:ext uri="{FF2B5EF4-FFF2-40B4-BE49-F238E27FC236}">
              <a16:creationId xmlns:a16="http://schemas.microsoft.com/office/drawing/2014/main" id="{6968EAD4-4AB0-4452-90F9-54DD5BE27424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30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696</xdr:row>
      <xdr:rowOff>0</xdr:rowOff>
    </xdr:from>
    <xdr:ext cx="304800" cy="304800"/>
    <xdr:sp macro="" textlink="">
      <xdr:nvSpPr>
        <xdr:cNvPr id="2317" name="AutoShape 1">
          <a:extLst>
            <a:ext uri="{FF2B5EF4-FFF2-40B4-BE49-F238E27FC236}">
              <a16:creationId xmlns:a16="http://schemas.microsoft.com/office/drawing/2014/main" id="{2990D519-FD64-40CA-AB09-D5D7F13698B6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30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696</xdr:row>
      <xdr:rowOff>0</xdr:rowOff>
    </xdr:from>
    <xdr:ext cx="304800" cy="304800"/>
    <xdr:sp macro="" textlink="">
      <xdr:nvSpPr>
        <xdr:cNvPr id="2318" name="AutoShape 1">
          <a:extLst>
            <a:ext uri="{FF2B5EF4-FFF2-40B4-BE49-F238E27FC236}">
              <a16:creationId xmlns:a16="http://schemas.microsoft.com/office/drawing/2014/main" id="{9748277A-EDF9-4755-ABFE-6F6C8E9EBDE2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30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696</xdr:row>
      <xdr:rowOff>0</xdr:rowOff>
    </xdr:from>
    <xdr:ext cx="304800" cy="304800"/>
    <xdr:sp macro="" textlink="">
      <xdr:nvSpPr>
        <xdr:cNvPr id="2319" name="AutoShape 1">
          <a:extLst>
            <a:ext uri="{FF2B5EF4-FFF2-40B4-BE49-F238E27FC236}">
              <a16:creationId xmlns:a16="http://schemas.microsoft.com/office/drawing/2014/main" id="{1D6360E5-0B70-410F-BE71-618F46088424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30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696</xdr:row>
      <xdr:rowOff>0</xdr:rowOff>
    </xdr:from>
    <xdr:ext cx="304800" cy="304800"/>
    <xdr:sp macro="" textlink="">
      <xdr:nvSpPr>
        <xdr:cNvPr id="2320" name="AutoShape 1">
          <a:extLst>
            <a:ext uri="{FF2B5EF4-FFF2-40B4-BE49-F238E27FC236}">
              <a16:creationId xmlns:a16="http://schemas.microsoft.com/office/drawing/2014/main" id="{80C8A56D-AB4E-418B-87CD-2A15B035BEB3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30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696</xdr:row>
      <xdr:rowOff>0</xdr:rowOff>
    </xdr:from>
    <xdr:ext cx="304800" cy="304800"/>
    <xdr:sp macro="" textlink="">
      <xdr:nvSpPr>
        <xdr:cNvPr id="2321" name="AutoShape 1">
          <a:extLst>
            <a:ext uri="{FF2B5EF4-FFF2-40B4-BE49-F238E27FC236}">
              <a16:creationId xmlns:a16="http://schemas.microsoft.com/office/drawing/2014/main" id="{75DD6D4A-17AF-4C3B-9997-501565CDC590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30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696</xdr:row>
      <xdr:rowOff>0</xdr:rowOff>
    </xdr:from>
    <xdr:ext cx="304800" cy="304800"/>
    <xdr:sp macro="" textlink="">
      <xdr:nvSpPr>
        <xdr:cNvPr id="2322" name="AutoShape 1">
          <a:extLst>
            <a:ext uri="{FF2B5EF4-FFF2-40B4-BE49-F238E27FC236}">
              <a16:creationId xmlns:a16="http://schemas.microsoft.com/office/drawing/2014/main" id="{06CD933E-0E3D-4EC3-B660-C764657D3D69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30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696</xdr:row>
      <xdr:rowOff>0</xdr:rowOff>
    </xdr:from>
    <xdr:ext cx="304800" cy="304800"/>
    <xdr:sp macro="" textlink="">
      <xdr:nvSpPr>
        <xdr:cNvPr id="2323" name="AutoShape 1">
          <a:extLst>
            <a:ext uri="{FF2B5EF4-FFF2-40B4-BE49-F238E27FC236}">
              <a16:creationId xmlns:a16="http://schemas.microsoft.com/office/drawing/2014/main" id="{75D92142-8E79-4535-9C5E-B34826506921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30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696</xdr:row>
      <xdr:rowOff>0</xdr:rowOff>
    </xdr:from>
    <xdr:ext cx="304800" cy="304800"/>
    <xdr:sp macro="" textlink="">
      <xdr:nvSpPr>
        <xdr:cNvPr id="2324" name="AutoShape 1">
          <a:extLst>
            <a:ext uri="{FF2B5EF4-FFF2-40B4-BE49-F238E27FC236}">
              <a16:creationId xmlns:a16="http://schemas.microsoft.com/office/drawing/2014/main" id="{966AE8E3-8158-4334-8776-55F1EF14E6A2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30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696</xdr:row>
      <xdr:rowOff>0</xdr:rowOff>
    </xdr:from>
    <xdr:ext cx="304800" cy="304800"/>
    <xdr:sp macro="" textlink="">
      <xdr:nvSpPr>
        <xdr:cNvPr id="2325" name="AutoShape 1">
          <a:extLst>
            <a:ext uri="{FF2B5EF4-FFF2-40B4-BE49-F238E27FC236}">
              <a16:creationId xmlns:a16="http://schemas.microsoft.com/office/drawing/2014/main" id="{49A00CA8-1674-4CCB-A159-50CB1D22CD9E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30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696</xdr:row>
      <xdr:rowOff>0</xdr:rowOff>
    </xdr:from>
    <xdr:ext cx="304800" cy="304800"/>
    <xdr:sp macro="" textlink="">
      <xdr:nvSpPr>
        <xdr:cNvPr id="2326" name="AutoShape 1">
          <a:extLst>
            <a:ext uri="{FF2B5EF4-FFF2-40B4-BE49-F238E27FC236}">
              <a16:creationId xmlns:a16="http://schemas.microsoft.com/office/drawing/2014/main" id="{D33062CE-FC80-4094-8F69-226FFC5CBF19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30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696</xdr:row>
      <xdr:rowOff>0</xdr:rowOff>
    </xdr:from>
    <xdr:ext cx="304800" cy="304800"/>
    <xdr:sp macro="" textlink="">
      <xdr:nvSpPr>
        <xdr:cNvPr id="2327" name="AutoShape 1">
          <a:extLst>
            <a:ext uri="{FF2B5EF4-FFF2-40B4-BE49-F238E27FC236}">
              <a16:creationId xmlns:a16="http://schemas.microsoft.com/office/drawing/2014/main" id="{64E6FAFC-F7EC-436D-9514-0A1B028D5F91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30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696</xdr:row>
      <xdr:rowOff>0</xdr:rowOff>
    </xdr:from>
    <xdr:ext cx="304800" cy="304800"/>
    <xdr:sp macro="" textlink="">
      <xdr:nvSpPr>
        <xdr:cNvPr id="2328" name="AutoShape 1">
          <a:extLst>
            <a:ext uri="{FF2B5EF4-FFF2-40B4-BE49-F238E27FC236}">
              <a16:creationId xmlns:a16="http://schemas.microsoft.com/office/drawing/2014/main" id="{2C829534-BE2C-48AE-BA7E-98646BE59A97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30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696</xdr:row>
      <xdr:rowOff>0</xdr:rowOff>
    </xdr:from>
    <xdr:ext cx="304800" cy="304800"/>
    <xdr:sp macro="" textlink="">
      <xdr:nvSpPr>
        <xdr:cNvPr id="2329" name="AutoShape 1">
          <a:extLst>
            <a:ext uri="{FF2B5EF4-FFF2-40B4-BE49-F238E27FC236}">
              <a16:creationId xmlns:a16="http://schemas.microsoft.com/office/drawing/2014/main" id="{DFBC26A3-D919-45F0-A40B-82FFF05040CB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30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696</xdr:row>
      <xdr:rowOff>0</xdr:rowOff>
    </xdr:from>
    <xdr:ext cx="304800" cy="304800"/>
    <xdr:sp macro="" textlink="">
      <xdr:nvSpPr>
        <xdr:cNvPr id="2330" name="AutoShape 1">
          <a:extLst>
            <a:ext uri="{FF2B5EF4-FFF2-40B4-BE49-F238E27FC236}">
              <a16:creationId xmlns:a16="http://schemas.microsoft.com/office/drawing/2014/main" id="{C740B030-AA07-4246-B53D-0DD3F201F726}"/>
            </a:ext>
            <a:ext uri="{147F2762-F138-4A5C-976F-8EAC2B608ADB}">
              <a16:predDERef xmlns:a16="http://schemas.microsoft.com/office/drawing/2014/main" pred="{A9C9C4DB-4B97-447C-9099-E87BCB3C537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30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696</xdr:row>
      <xdr:rowOff>0</xdr:rowOff>
    </xdr:from>
    <xdr:ext cx="304800" cy="304800"/>
    <xdr:sp macro="" textlink="">
      <xdr:nvSpPr>
        <xdr:cNvPr id="2331" name="AutoShape 1">
          <a:extLst>
            <a:ext uri="{FF2B5EF4-FFF2-40B4-BE49-F238E27FC236}">
              <a16:creationId xmlns:a16="http://schemas.microsoft.com/office/drawing/2014/main" id="{CA812741-3C43-4A2A-A550-5B789A503428}"/>
            </a:ext>
            <a:ext uri="{147F2762-F138-4A5C-976F-8EAC2B608ADB}">
              <a16:predDERef xmlns:a16="http://schemas.microsoft.com/office/drawing/2014/main" pred="{CD89554D-BD76-42AD-819A-278AD445B86E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30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696</xdr:row>
      <xdr:rowOff>0</xdr:rowOff>
    </xdr:from>
    <xdr:ext cx="304800" cy="304800"/>
    <xdr:sp macro="" textlink="">
      <xdr:nvSpPr>
        <xdr:cNvPr id="2332" name="AutoShape 1">
          <a:extLst>
            <a:ext uri="{FF2B5EF4-FFF2-40B4-BE49-F238E27FC236}">
              <a16:creationId xmlns:a16="http://schemas.microsoft.com/office/drawing/2014/main" id="{C52F4EEE-2824-4D0E-A955-47F91C616C77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30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696</xdr:row>
      <xdr:rowOff>0</xdr:rowOff>
    </xdr:from>
    <xdr:ext cx="304800" cy="304800"/>
    <xdr:sp macro="" textlink="">
      <xdr:nvSpPr>
        <xdr:cNvPr id="2333" name="AutoShape 1">
          <a:extLst>
            <a:ext uri="{FF2B5EF4-FFF2-40B4-BE49-F238E27FC236}">
              <a16:creationId xmlns:a16="http://schemas.microsoft.com/office/drawing/2014/main" id="{14A7318D-BF6A-4C88-873E-E42559D8E226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30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696</xdr:row>
      <xdr:rowOff>0</xdr:rowOff>
    </xdr:from>
    <xdr:ext cx="304800" cy="304800"/>
    <xdr:sp macro="" textlink="">
      <xdr:nvSpPr>
        <xdr:cNvPr id="2334" name="AutoShape 1">
          <a:extLst>
            <a:ext uri="{FF2B5EF4-FFF2-40B4-BE49-F238E27FC236}">
              <a16:creationId xmlns:a16="http://schemas.microsoft.com/office/drawing/2014/main" id="{8BA5F8CD-8E69-4EE4-8266-C4AA4A13FFEC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30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696</xdr:row>
      <xdr:rowOff>0</xdr:rowOff>
    </xdr:from>
    <xdr:ext cx="304800" cy="304800"/>
    <xdr:sp macro="" textlink="">
      <xdr:nvSpPr>
        <xdr:cNvPr id="2335" name="AutoShape 1">
          <a:extLst>
            <a:ext uri="{FF2B5EF4-FFF2-40B4-BE49-F238E27FC236}">
              <a16:creationId xmlns:a16="http://schemas.microsoft.com/office/drawing/2014/main" id="{23953AAB-A8B5-4F5E-98D0-F9BB3151C96C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30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696</xdr:row>
      <xdr:rowOff>0</xdr:rowOff>
    </xdr:from>
    <xdr:ext cx="304800" cy="304800"/>
    <xdr:sp macro="" textlink="">
      <xdr:nvSpPr>
        <xdr:cNvPr id="2336" name="AutoShape 1">
          <a:extLst>
            <a:ext uri="{FF2B5EF4-FFF2-40B4-BE49-F238E27FC236}">
              <a16:creationId xmlns:a16="http://schemas.microsoft.com/office/drawing/2014/main" id="{E12FA489-6E68-4DC2-8652-680C15E26933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30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696</xdr:row>
      <xdr:rowOff>0</xdr:rowOff>
    </xdr:from>
    <xdr:ext cx="304800" cy="304800"/>
    <xdr:sp macro="" textlink="">
      <xdr:nvSpPr>
        <xdr:cNvPr id="2337" name="AutoShape 1">
          <a:extLst>
            <a:ext uri="{FF2B5EF4-FFF2-40B4-BE49-F238E27FC236}">
              <a16:creationId xmlns:a16="http://schemas.microsoft.com/office/drawing/2014/main" id="{6A8588E0-47F7-44E3-9E45-B9A2CC8C00C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30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696</xdr:row>
      <xdr:rowOff>0</xdr:rowOff>
    </xdr:from>
    <xdr:ext cx="304800" cy="304800"/>
    <xdr:sp macro="" textlink="">
      <xdr:nvSpPr>
        <xdr:cNvPr id="2338" name="AutoShape 1">
          <a:extLst>
            <a:ext uri="{FF2B5EF4-FFF2-40B4-BE49-F238E27FC236}">
              <a16:creationId xmlns:a16="http://schemas.microsoft.com/office/drawing/2014/main" id="{0B108867-7D79-454B-B80F-B8737F121057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30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696</xdr:row>
      <xdr:rowOff>0</xdr:rowOff>
    </xdr:from>
    <xdr:ext cx="304800" cy="304800"/>
    <xdr:sp macro="" textlink="">
      <xdr:nvSpPr>
        <xdr:cNvPr id="2339" name="AutoShape 1">
          <a:extLst>
            <a:ext uri="{FF2B5EF4-FFF2-40B4-BE49-F238E27FC236}">
              <a16:creationId xmlns:a16="http://schemas.microsoft.com/office/drawing/2014/main" id="{089FC95A-DE8D-4872-A9CF-4CAC7987ADCB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30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696</xdr:row>
      <xdr:rowOff>0</xdr:rowOff>
    </xdr:from>
    <xdr:ext cx="304800" cy="304800"/>
    <xdr:sp macro="" textlink="">
      <xdr:nvSpPr>
        <xdr:cNvPr id="2340" name="AutoShape 1">
          <a:extLst>
            <a:ext uri="{FF2B5EF4-FFF2-40B4-BE49-F238E27FC236}">
              <a16:creationId xmlns:a16="http://schemas.microsoft.com/office/drawing/2014/main" id="{C1A3C006-DD6F-4066-BDCD-20B4B80086AE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30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696</xdr:row>
      <xdr:rowOff>0</xdr:rowOff>
    </xdr:from>
    <xdr:ext cx="304800" cy="304800"/>
    <xdr:sp macro="" textlink="">
      <xdr:nvSpPr>
        <xdr:cNvPr id="2341" name="AutoShape 1">
          <a:extLst>
            <a:ext uri="{FF2B5EF4-FFF2-40B4-BE49-F238E27FC236}">
              <a16:creationId xmlns:a16="http://schemas.microsoft.com/office/drawing/2014/main" id="{E934EE7D-95D9-4B2D-9A52-5CFEBEA5250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30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696</xdr:row>
      <xdr:rowOff>0</xdr:rowOff>
    </xdr:from>
    <xdr:ext cx="304800" cy="304800"/>
    <xdr:sp macro="" textlink="">
      <xdr:nvSpPr>
        <xdr:cNvPr id="2342" name="AutoShape 1">
          <a:extLst>
            <a:ext uri="{FF2B5EF4-FFF2-40B4-BE49-F238E27FC236}">
              <a16:creationId xmlns:a16="http://schemas.microsoft.com/office/drawing/2014/main" id="{0FE74149-62F8-4E73-9636-FAF43F2B38A7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30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696</xdr:row>
      <xdr:rowOff>0</xdr:rowOff>
    </xdr:from>
    <xdr:ext cx="304800" cy="304800"/>
    <xdr:sp macro="" textlink="">
      <xdr:nvSpPr>
        <xdr:cNvPr id="2343" name="AutoShape 1">
          <a:extLst>
            <a:ext uri="{FF2B5EF4-FFF2-40B4-BE49-F238E27FC236}">
              <a16:creationId xmlns:a16="http://schemas.microsoft.com/office/drawing/2014/main" id="{B3329156-1BAE-4E7C-A047-1ECA3C310017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30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696</xdr:row>
      <xdr:rowOff>0</xdr:rowOff>
    </xdr:from>
    <xdr:ext cx="304800" cy="304800"/>
    <xdr:sp macro="" textlink="">
      <xdr:nvSpPr>
        <xdr:cNvPr id="2344" name="AutoShape 1">
          <a:extLst>
            <a:ext uri="{FF2B5EF4-FFF2-40B4-BE49-F238E27FC236}">
              <a16:creationId xmlns:a16="http://schemas.microsoft.com/office/drawing/2014/main" id="{BEDFF407-4EDE-44CA-A26B-A05146FCC8F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30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696</xdr:row>
      <xdr:rowOff>0</xdr:rowOff>
    </xdr:from>
    <xdr:ext cx="304800" cy="304800"/>
    <xdr:sp macro="" textlink="">
      <xdr:nvSpPr>
        <xdr:cNvPr id="2345" name="AutoShape 1">
          <a:extLst>
            <a:ext uri="{FF2B5EF4-FFF2-40B4-BE49-F238E27FC236}">
              <a16:creationId xmlns:a16="http://schemas.microsoft.com/office/drawing/2014/main" id="{6082A2E6-A67E-42FD-8897-C924251DD3C6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30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696</xdr:row>
      <xdr:rowOff>0</xdr:rowOff>
    </xdr:from>
    <xdr:ext cx="304800" cy="304800"/>
    <xdr:sp macro="" textlink="">
      <xdr:nvSpPr>
        <xdr:cNvPr id="2346" name="AutoShape 1">
          <a:extLst>
            <a:ext uri="{FF2B5EF4-FFF2-40B4-BE49-F238E27FC236}">
              <a16:creationId xmlns:a16="http://schemas.microsoft.com/office/drawing/2014/main" id="{A8AD0CC4-0F49-4665-8792-FB57EFC65117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30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696</xdr:row>
      <xdr:rowOff>0</xdr:rowOff>
    </xdr:from>
    <xdr:ext cx="304800" cy="304800"/>
    <xdr:sp macro="" textlink="">
      <xdr:nvSpPr>
        <xdr:cNvPr id="2347" name="AutoShape 1">
          <a:extLst>
            <a:ext uri="{FF2B5EF4-FFF2-40B4-BE49-F238E27FC236}">
              <a16:creationId xmlns:a16="http://schemas.microsoft.com/office/drawing/2014/main" id="{CA2B5556-6DB1-4EDE-8B97-837D91378681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30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696</xdr:row>
      <xdr:rowOff>0</xdr:rowOff>
    </xdr:from>
    <xdr:ext cx="304800" cy="304800"/>
    <xdr:sp macro="" textlink="">
      <xdr:nvSpPr>
        <xdr:cNvPr id="2348" name="AutoShape 1">
          <a:extLst>
            <a:ext uri="{FF2B5EF4-FFF2-40B4-BE49-F238E27FC236}">
              <a16:creationId xmlns:a16="http://schemas.microsoft.com/office/drawing/2014/main" id="{E3992B24-2669-4784-91F1-FAAD031355AD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30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696</xdr:row>
      <xdr:rowOff>0</xdr:rowOff>
    </xdr:from>
    <xdr:ext cx="304800" cy="304800"/>
    <xdr:sp macro="" textlink="">
      <xdr:nvSpPr>
        <xdr:cNvPr id="2349" name="AutoShape 1">
          <a:extLst>
            <a:ext uri="{FF2B5EF4-FFF2-40B4-BE49-F238E27FC236}">
              <a16:creationId xmlns:a16="http://schemas.microsoft.com/office/drawing/2014/main" id="{900A5AB4-746B-42FC-A580-BC53729250CE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30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696</xdr:row>
      <xdr:rowOff>0</xdr:rowOff>
    </xdr:from>
    <xdr:ext cx="304800" cy="304800"/>
    <xdr:sp macro="" textlink="">
      <xdr:nvSpPr>
        <xdr:cNvPr id="2350" name="AutoShape 1">
          <a:extLst>
            <a:ext uri="{FF2B5EF4-FFF2-40B4-BE49-F238E27FC236}">
              <a16:creationId xmlns:a16="http://schemas.microsoft.com/office/drawing/2014/main" id="{B9FFCAC5-0F97-4BA6-ABCF-978ECB914548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30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696</xdr:row>
      <xdr:rowOff>0</xdr:rowOff>
    </xdr:from>
    <xdr:ext cx="304800" cy="304800"/>
    <xdr:sp macro="" textlink="">
      <xdr:nvSpPr>
        <xdr:cNvPr id="2351" name="AutoShape 1">
          <a:extLst>
            <a:ext uri="{FF2B5EF4-FFF2-40B4-BE49-F238E27FC236}">
              <a16:creationId xmlns:a16="http://schemas.microsoft.com/office/drawing/2014/main" id="{A89ADB0B-D9B7-4568-97CF-BCEE0137CA11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30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696</xdr:row>
      <xdr:rowOff>0</xdr:rowOff>
    </xdr:from>
    <xdr:ext cx="304800" cy="304800"/>
    <xdr:sp macro="" textlink="">
      <xdr:nvSpPr>
        <xdr:cNvPr id="2352" name="AutoShape 1">
          <a:extLst>
            <a:ext uri="{FF2B5EF4-FFF2-40B4-BE49-F238E27FC236}">
              <a16:creationId xmlns:a16="http://schemas.microsoft.com/office/drawing/2014/main" id="{8DDB026E-21E0-4B27-AAFD-51DCB10A46FE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30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696</xdr:row>
      <xdr:rowOff>0</xdr:rowOff>
    </xdr:from>
    <xdr:ext cx="304800" cy="304800"/>
    <xdr:sp macro="" textlink="">
      <xdr:nvSpPr>
        <xdr:cNvPr id="2353" name="AutoShape 1">
          <a:extLst>
            <a:ext uri="{FF2B5EF4-FFF2-40B4-BE49-F238E27FC236}">
              <a16:creationId xmlns:a16="http://schemas.microsoft.com/office/drawing/2014/main" id="{8A2B83BB-3AF1-449F-B26D-CAD3F5E48A61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30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696</xdr:row>
      <xdr:rowOff>0</xdr:rowOff>
    </xdr:from>
    <xdr:ext cx="304800" cy="304800"/>
    <xdr:sp macro="" textlink="">
      <xdr:nvSpPr>
        <xdr:cNvPr id="2354" name="AutoShape 1">
          <a:extLst>
            <a:ext uri="{FF2B5EF4-FFF2-40B4-BE49-F238E27FC236}">
              <a16:creationId xmlns:a16="http://schemas.microsoft.com/office/drawing/2014/main" id="{D899DD46-EFD8-45D5-ABCF-F66F19B8F78F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30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696</xdr:row>
      <xdr:rowOff>0</xdr:rowOff>
    </xdr:from>
    <xdr:ext cx="304800" cy="304800"/>
    <xdr:sp macro="" textlink="">
      <xdr:nvSpPr>
        <xdr:cNvPr id="2355" name="AutoShape 1">
          <a:extLst>
            <a:ext uri="{FF2B5EF4-FFF2-40B4-BE49-F238E27FC236}">
              <a16:creationId xmlns:a16="http://schemas.microsoft.com/office/drawing/2014/main" id="{8DBAD8A0-CDC1-45BA-B942-83ECF1E0447D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30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696</xdr:row>
      <xdr:rowOff>0</xdr:rowOff>
    </xdr:from>
    <xdr:ext cx="304800" cy="304800"/>
    <xdr:sp macro="" textlink="">
      <xdr:nvSpPr>
        <xdr:cNvPr id="2356" name="AutoShape 1">
          <a:extLst>
            <a:ext uri="{FF2B5EF4-FFF2-40B4-BE49-F238E27FC236}">
              <a16:creationId xmlns:a16="http://schemas.microsoft.com/office/drawing/2014/main" id="{176BA13F-7601-4A25-8EFE-F4164740CA89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30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696</xdr:row>
      <xdr:rowOff>0</xdr:rowOff>
    </xdr:from>
    <xdr:ext cx="304800" cy="304800"/>
    <xdr:sp macro="" textlink="">
      <xdr:nvSpPr>
        <xdr:cNvPr id="2357" name="AutoShape 1">
          <a:extLst>
            <a:ext uri="{FF2B5EF4-FFF2-40B4-BE49-F238E27FC236}">
              <a16:creationId xmlns:a16="http://schemas.microsoft.com/office/drawing/2014/main" id="{9C856A8C-0809-4CB1-8C3E-A7EBFCC27117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30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696</xdr:row>
      <xdr:rowOff>0</xdr:rowOff>
    </xdr:from>
    <xdr:ext cx="304800" cy="304800"/>
    <xdr:sp macro="" textlink="">
      <xdr:nvSpPr>
        <xdr:cNvPr id="2358" name="AutoShape 1">
          <a:extLst>
            <a:ext uri="{FF2B5EF4-FFF2-40B4-BE49-F238E27FC236}">
              <a16:creationId xmlns:a16="http://schemas.microsoft.com/office/drawing/2014/main" id="{F97B2DD4-4FA1-40B6-BF8E-472C01B7F331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30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696</xdr:row>
      <xdr:rowOff>0</xdr:rowOff>
    </xdr:from>
    <xdr:ext cx="304800" cy="304800"/>
    <xdr:sp macro="" textlink="">
      <xdr:nvSpPr>
        <xdr:cNvPr id="2359" name="AutoShape 1">
          <a:extLst>
            <a:ext uri="{FF2B5EF4-FFF2-40B4-BE49-F238E27FC236}">
              <a16:creationId xmlns:a16="http://schemas.microsoft.com/office/drawing/2014/main" id="{871CDE85-3184-4F37-AC0C-A5FA5D74114F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30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696</xdr:row>
      <xdr:rowOff>0</xdr:rowOff>
    </xdr:from>
    <xdr:ext cx="304800" cy="304800"/>
    <xdr:sp macro="" textlink="">
      <xdr:nvSpPr>
        <xdr:cNvPr id="2360" name="AutoShape 1">
          <a:extLst>
            <a:ext uri="{FF2B5EF4-FFF2-40B4-BE49-F238E27FC236}">
              <a16:creationId xmlns:a16="http://schemas.microsoft.com/office/drawing/2014/main" id="{0E563C82-FAF0-4E1B-9256-ABF3F7814F55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30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696</xdr:row>
      <xdr:rowOff>0</xdr:rowOff>
    </xdr:from>
    <xdr:ext cx="304800" cy="304800"/>
    <xdr:sp macro="" textlink="">
      <xdr:nvSpPr>
        <xdr:cNvPr id="2361" name="AutoShape 1">
          <a:extLst>
            <a:ext uri="{FF2B5EF4-FFF2-40B4-BE49-F238E27FC236}">
              <a16:creationId xmlns:a16="http://schemas.microsoft.com/office/drawing/2014/main" id="{EBAB18F5-22CC-4841-8E48-F990FA6986F5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30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696</xdr:row>
      <xdr:rowOff>0</xdr:rowOff>
    </xdr:from>
    <xdr:ext cx="304800" cy="304800"/>
    <xdr:sp macro="" textlink="">
      <xdr:nvSpPr>
        <xdr:cNvPr id="2362" name="AutoShape 1">
          <a:extLst>
            <a:ext uri="{FF2B5EF4-FFF2-40B4-BE49-F238E27FC236}">
              <a16:creationId xmlns:a16="http://schemas.microsoft.com/office/drawing/2014/main" id="{1E92D8E7-242C-49C7-8062-3D71484D0876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30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696</xdr:row>
      <xdr:rowOff>0</xdr:rowOff>
    </xdr:from>
    <xdr:ext cx="304800" cy="304800"/>
    <xdr:sp macro="" textlink="">
      <xdr:nvSpPr>
        <xdr:cNvPr id="2363" name="AutoShape 1">
          <a:extLst>
            <a:ext uri="{FF2B5EF4-FFF2-40B4-BE49-F238E27FC236}">
              <a16:creationId xmlns:a16="http://schemas.microsoft.com/office/drawing/2014/main" id="{7A73E14C-0ACA-49B4-8431-A9380566AFFB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30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696</xdr:row>
      <xdr:rowOff>0</xdr:rowOff>
    </xdr:from>
    <xdr:ext cx="304800" cy="304800"/>
    <xdr:sp macro="" textlink="">
      <xdr:nvSpPr>
        <xdr:cNvPr id="2364" name="AutoShape 1">
          <a:extLst>
            <a:ext uri="{FF2B5EF4-FFF2-40B4-BE49-F238E27FC236}">
              <a16:creationId xmlns:a16="http://schemas.microsoft.com/office/drawing/2014/main" id="{BD48F7BD-DE40-400D-964F-2B17491E5AB2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30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696</xdr:row>
      <xdr:rowOff>0</xdr:rowOff>
    </xdr:from>
    <xdr:ext cx="304800" cy="304800"/>
    <xdr:sp macro="" textlink="">
      <xdr:nvSpPr>
        <xdr:cNvPr id="2365" name="AutoShape 1">
          <a:extLst>
            <a:ext uri="{FF2B5EF4-FFF2-40B4-BE49-F238E27FC236}">
              <a16:creationId xmlns:a16="http://schemas.microsoft.com/office/drawing/2014/main" id="{7FA5B1DA-988E-424F-84D8-A29A3C50329F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30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696</xdr:row>
      <xdr:rowOff>0</xdr:rowOff>
    </xdr:from>
    <xdr:ext cx="304800" cy="304800"/>
    <xdr:sp macro="" textlink="">
      <xdr:nvSpPr>
        <xdr:cNvPr id="2366" name="AutoShape 1">
          <a:extLst>
            <a:ext uri="{FF2B5EF4-FFF2-40B4-BE49-F238E27FC236}">
              <a16:creationId xmlns:a16="http://schemas.microsoft.com/office/drawing/2014/main" id="{694BB754-EE0C-4383-B408-349EE2CCEFBD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30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696</xdr:row>
      <xdr:rowOff>0</xdr:rowOff>
    </xdr:from>
    <xdr:ext cx="304800" cy="304800"/>
    <xdr:sp macro="" textlink="">
      <xdr:nvSpPr>
        <xdr:cNvPr id="2367" name="AutoShape 1">
          <a:extLst>
            <a:ext uri="{FF2B5EF4-FFF2-40B4-BE49-F238E27FC236}">
              <a16:creationId xmlns:a16="http://schemas.microsoft.com/office/drawing/2014/main" id="{DE2F8A0A-2595-4006-9559-649466DC9687}"/>
            </a:ext>
            <a:ext uri="{147F2762-F138-4A5C-976F-8EAC2B608ADB}">
              <a16:predDERef xmlns:a16="http://schemas.microsoft.com/office/drawing/2014/main" pred="{A9C9C4DB-4B97-447C-9099-E87BCB3C537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30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696</xdr:row>
      <xdr:rowOff>0</xdr:rowOff>
    </xdr:from>
    <xdr:ext cx="304800" cy="304800"/>
    <xdr:sp macro="" textlink="">
      <xdr:nvSpPr>
        <xdr:cNvPr id="2368" name="AutoShape 1">
          <a:extLst>
            <a:ext uri="{FF2B5EF4-FFF2-40B4-BE49-F238E27FC236}">
              <a16:creationId xmlns:a16="http://schemas.microsoft.com/office/drawing/2014/main" id="{93DFA7AE-E322-4D65-AC05-D736BC187C78}"/>
            </a:ext>
            <a:ext uri="{147F2762-F138-4A5C-976F-8EAC2B608ADB}">
              <a16:predDERef xmlns:a16="http://schemas.microsoft.com/office/drawing/2014/main" pred="{CD89554D-BD76-42AD-819A-278AD445B86E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30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707</xdr:row>
      <xdr:rowOff>0</xdr:rowOff>
    </xdr:from>
    <xdr:ext cx="304800" cy="304800"/>
    <xdr:sp macro="" textlink="">
      <xdr:nvSpPr>
        <xdr:cNvPr id="2369" name="AutoShape 1">
          <a:extLst>
            <a:ext uri="{FF2B5EF4-FFF2-40B4-BE49-F238E27FC236}">
              <a16:creationId xmlns:a16="http://schemas.microsoft.com/office/drawing/2014/main" id="{06DEC487-E145-444A-BCC7-4BCE71F0C953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531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707</xdr:row>
      <xdr:rowOff>0</xdr:rowOff>
    </xdr:from>
    <xdr:ext cx="304800" cy="304800"/>
    <xdr:sp macro="" textlink="">
      <xdr:nvSpPr>
        <xdr:cNvPr id="2370" name="AutoShape 1">
          <a:extLst>
            <a:ext uri="{FF2B5EF4-FFF2-40B4-BE49-F238E27FC236}">
              <a16:creationId xmlns:a16="http://schemas.microsoft.com/office/drawing/2014/main" id="{4BFEC714-67A6-4918-AC73-8004706326B1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531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371" name="AutoShape 1">
          <a:extLst>
            <a:ext uri="{FF2B5EF4-FFF2-40B4-BE49-F238E27FC236}">
              <a16:creationId xmlns:a16="http://schemas.microsoft.com/office/drawing/2014/main" id="{F6C15680-7804-4529-953F-005066B0730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372" name="AutoShape 1">
          <a:extLst>
            <a:ext uri="{FF2B5EF4-FFF2-40B4-BE49-F238E27FC236}">
              <a16:creationId xmlns:a16="http://schemas.microsoft.com/office/drawing/2014/main" id="{043774DC-C8FE-444E-9483-30E2B9D695D3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373" name="AutoShape 1">
          <a:extLst>
            <a:ext uri="{FF2B5EF4-FFF2-40B4-BE49-F238E27FC236}">
              <a16:creationId xmlns:a16="http://schemas.microsoft.com/office/drawing/2014/main" id="{49E3BC91-67B7-4007-BB85-BD40683040D4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374" name="AutoShape 1">
          <a:extLst>
            <a:ext uri="{FF2B5EF4-FFF2-40B4-BE49-F238E27FC236}">
              <a16:creationId xmlns:a16="http://schemas.microsoft.com/office/drawing/2014/main" id="{312596D9-4425-46F1-B584-D02277D256BA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375" name="AutoShape 1">
          <a:extLst>
            <a:ext uri="{FF2B5EF4-FFF2-40B4-BE49-F238E27FC236}">
              <a16:creationId xmlns:a16="http://schemas.microsoft.com/office/drawing/2014/main" id="{B41F41CD-33D7-4358-BFB4-C1541A7BFBD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376" name="AutoShape 1">
          <a:extLst>
            <a:ext uri="{FF2B5EF4-FFF2-40B4-BE49-F238E27FC236}">
              <a16:creationId xmlns:a16="http://schemas.microsoft.com/office/drawing/2014/main" id="{959BE902-019F-48CA-8AC8-9150ADA1E0C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377" name="AutoShape 1">
          <a:extLst>
            <a:ext uri="{FF2B5EF4-FFF2-40B4-BE49-F238E27FC236}">
              <a16:creationId xmlns:a16="http://schemas.microsoft.com/office/drawing/2014/main" id="{AF34BEA5-BB96-4B42-BADF-4550CAB38EE4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378" name="AutoShape 1">
          <a:extLst>
            <a:ext uri="{FF2B5EF4-FFF2-40B4-BE49-F238E27FC236}">
              <a16:creationId xmlns:a16="http://schemas.microsoft.com/office/drawing/2014/main" id="{092802A6-1CD4-4909-82E0-0576033C12BB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379" name="AutoShape 1">
          <a:extLst>
            <a:ext uri="{FF2B5EF4-FFF2-40B4-BE49-F238E27FC236}">
              <a16:creationId xmlns:a16="http://schemas.microsoft.com/office/drawing/2014/main" id="{46D8FC28-DB9A-4139-926C-D209DE349F87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380" name="AutoShape 1">
          <a:extLst>
            <a:ext uri="{FF2B5EF4-FFF2-40B4-BE49-F238E27FC236}">
              <a16:creationId xmlns:a16="http://schemas.microsoft.com/office/drawing/2014/main" id="{EB559EF9-30FA-4DAD-9F52-7DA66711CD7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381" name="AutoShape 1">
          <a:extLst>
            <a:ext uri="{FF2B5EF4-FFF2-40B4-BE49-F238E27FC236}">
              <a16:creationId xmlns:a16="http://schemas.microsoft.com/office/drawing/2014/main" id="{47AC1D31-519A-419F-B14F-FA1CCAA254AA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382" name="AutoShape 1">
          <a:extLst>
            <a:ext uri="{FF2B5EF4-FFF2-40B4-BE49-F238E27FC236}">
              <a16:creationId xmlns:a16="http://schemas.microsoft.com/office/drawing/2014/main" id="{5BAC3075-7867-4ACA-9CC1-14275007E7D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383" name="AutoShape 1">
          <a:extLst>
            <a:ext uri="{FF2B5EF4-FFF2-40B4-BE49-F238E27FC236}">
              <a16:creationId xmlns:a16="http://schemas.microsoft.com/office/drawing/2014/main" id="{614F8D8E-30EC-4D01-91C6-4F0869E398B6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384" name="AutoShape 1">
          <a:extLst>
            <a:ext uri="{FF2B5EF4-FFF2-40B4-BE49-F238E27FC236}">
              <a16:creationId xmlns:a16="http://schemas.microsoft.com/office/drawing/2014/main" id="{B6075B24-2E18-4082-B0D3-53729AF95C3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385" name="AutoShape 1">
          <a:extLst>
            <a:ext uri="{FF2B5EF4-FFF2-40B4-BE49-F238E27FC236}">
              <a16:creationId xmlns:a16="http://schemas.microsoft.com/office/drawing/2014/main" id="{895A2991-D4B8-4302-B5CE-CF027F09EEB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386" name="AutoShape 1">
          <a:extLst>
            <a:ext uri="{FF2B5EF4-FFF2-40B4-BE49-F238E27FC236}">
              <a16:creationId xmlns:a16="http://schemas.microsoft.com/office/drawing/2014/main" id="{AFC7BC70-3917-47C2-ADD8-32977A4002AF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387" name="AutoShape 1">
          <a:extLst>
            <a:ext uri="{FF2B5EF4-FFF2-40B4-BE49-F238E27FC236}">
              <a16:creationId xmlns:a16="http://schemas.microsoft.com/office/drawing/2014/main" id="{866FADA0-8244-4907-8447-03687B6C0D78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388" name="AutoShape 1">
          <a:extLst>
            <a:ext uri="{FF2B5EF4-FFF2-40B4-BE49-F238E27FC236}">
              <a16:creationId xmlns:a16="http://schemas.microsoft.com/office/drawing/2014/main" id="{08160C6E-2CD0-4693-B995-F2C57F78CC83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389" name="AutoShape 1">
          <a:extLst>
            <a:ext uri="{FF2B5EF4-FFF2-40B4-BE49-F238E27FC236}">
              <a16:creationId xmlns:a16="http://schemas.microsoft.com/office/drawing/2014/main" id="{98B3B7D7-49E8-47FF-934A-D07C579190F2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390" name="AutoShape 1">
          <a:extLst>
            <a:ext uri="{FF2B5EF4-FFF2-40B4-BE49-F238E27FC236}">
              <a16:creationId xmlns:a16="http://schemas.microsoft.com/office/drawing/2014/main" id="{D39BB867-1D11-4BB8-8673-3359C64D5BB6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391" name="AutoShape 1">
          <a:extLst>
            <a:ext uri="{FF2B5EF4-FFF2-40B4-BE49-F238E27FC236}">
              <a16:creationId xmlns:a16="http://schemas.microsoft.com/office/drawing/2014/main" id="{79D8C010-86CA-4CDD-AD99-1718E0064D96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392" name="AutoShape 1">
          <a:extLst>
            <a:ext uri="{FF2B5EF4-FFF2-40B4-BE49-F238E27FC236}">
              <a16:creationId xmlns:a16="http://schemas.microsoft.com/office/drawing/2014/main" id="{5A0063A6-9713-4C2C-ADC7-BBEE7F08A782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393" name="AutoShape 1">
          <a:extLst>
            <a:ext uri="{FF2B5EF4-FFF2-40B4-BE49-F238E27FC236}">
              <a16:creationId xmlns:a16="http://schemas.microsoft.com/office/drawing/2014/main" id="{C73A5604-3B16-4E17-81EB-E6FB2B405D16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394" name="AutoShape 1">
          <a:extLst>
            <a:ext uri="{FF2B5EF4-FFF2-40B4-BE49-F238E27FC236}">
              <a16:creationId xmlns:a16="http://schemas.microsoft.com/office/drawing/2014/main" id="{3B05ACC3-F9E0-44EB-91C3-CD1844A9FD74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395" name="AutoShape 1">
          <a:extLst>
            <a:ext uri="{FF2B5EF4-FFF2-40B4-BE49-F238E27FC236}">
              <a16:creationId xmlns:a16="http://schemas.microsoft.com/office/drawing/2014/main" id="{32811E50-8C2F-46A5-B3B7-482A60EF26A4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396" name="AutoShape 1">
          <a:extLst>
            <a:ext uri="{FF2B5EF4-FFF2-40B4-BE49-F238E27FC236}">
              <a16:creationId xmlns:a16="http://schemas.microsoft.com/office/drawing/2014/main" id="{9034D33F-6D4E-48DC-AD9F-3D17A72603C1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397" name="AutoShape 1">
          <a:extLst>
            <a:ext uri="{FF2B5EF4-FFF2-40B4-BE49-F238E27FC236}">
              <a16:creationId xmlns:a16="http://schemas.microsoft.com/office/drawing/2014/main" id="{67E15CA0-1BFB-4284-8A37-3A4C2BC3664D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398" name="AutoShape 1">
          <a:extLst>
            <a:ext uri="{FF2B5EF4-FFF2-40B4-BE49-F238E27FC236}">
              <a16:creationId xmlns:a16="http://schemas.microsoft.com/office/drawing/2014/main" id="{8A335B14-2F46-4085-A88D-B90A87C1D7F5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399" name="AutoShape 1">
          <a:extLst>
            <a:ext uri="{FF2B5EF4-FFF2-40B4-BE49-F238E27FC236}">
              <a16:creationId xmlns:a16="http://schemas.microsoft.com/office/drawing/2014/main" id="{72E0C6CA-C426-4715-994D-5A3806A88440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400" name="AutoShape 1">
          <a:extLst>
            <a:ext uri="{FF2B5EF4-FFF2-40B4-BE49-F238E27FC236}">
              <a16:creationId xmlns:a16="http://schemas.microsoft.com/office/drawing/2014/main" id="{8E0C6D50-DFDA-4868-8B6B-8CA181728215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401" name="AutoShape 1">
          <a:extLst>
            <a:ext uri="{FF2B5EF4-FFF2-40B4-BE49-F238E27FC236}">
              <a16:creationId xmlns:a16="http://schemas.microsoft.com/office/drawing/2014/main" id="{C747914C-FBD3-4499-9578-D333F461CE20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402" name="AutoShape 1">
          <a:extLst>
            <a:ext uri="{FF2B5EF4-FFF2-40B4-BE49-F238E27FC236}">
              <a16:creationId xmlns:a16="http://schemas.microsoft.com/office/drawing/2014/main" id="{6B67BBA6-243A-48A5-BBEE-6DE3D333BA70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403" name="AutoShape 1">
          <a:extLst>
            <a:ext uri="{FF2B5EF4-FFF2-40B4-BE49-F238E27FC236}">
              <a16:creationId xmlns:a16="http://schemas.microsoft.com/office/drawing/2014/main" id="{7E336CF8-C67D-44BA-85EE-19A4F1CFED9E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404" name="AutoShape 1">
          <a:extLst>
            <a:ext uri="{FF2B5EF4-FFF2-40B4-BE49-F238E27FC236}">
              <a16:creationId xmlns:a16="http://schemas.microsoft.com/office/drawing/2014/main" id="{B924B8E1-5F1E-4FAC-81DD-602EB5C2ED8F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405" name="AutoShape 1">
          <a:extLst>
            <a:ext uri="{FF2B5EF4-FFF2-40B4-BE49-F238E27FC236}">
              <a16:creationId xmlns:a16="http://schemas.microsoft.com/office/drawing/2014/main" id="{0F6EE4E0-9BFE-44C4-B96D-0D39E0B863DB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406" name="AutoShape 1">
          <a:extLst>
            <a:ext uri="{FF2B5EF4-FFF2-40B4-BE49-F238E27FC236}">
              <a16:creationId xmlns:a16="http://schemas.microsoft.com/office/drawing/2014/main" id="{89680FB2-2BA2-45BA-A8A8-03CD95AF33E2}"/>
            </a:ext>
            <a:ext uri="{147F2762-F138-4A5C-976F-8EAC2B608ADB}">
              <a16:predDERef xmlns:a16="http://schemas.microsoft.com/office/drawing/2014/main" pred="{A9C9C4DB-4B97-447C-9099-E87BCB3C537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407" name="AutoShape 1">
          <a:extLst>
            <a:ext uri="{FF2B5EF4-FFF2-40B4-BE49-F238E27FC236}">
              <a16:creationId xmlns:a16="http://schemas.microsoft.com/office/drawing/2014/main" id="{DF8B7F14-3A42-4051-A4FD-89621CB11CBC}"/>
            </a:ext>
            <a:ext uri="{147F2762-F138-4A5C-976F-8EAC2B608ADB}">
              <a16:predDERef xmlns:a16="http://schemas.microsoft.com/office/drawing/2014/main" pred="{CD89554D-BD76-42AD-819A-278AD445B86E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408" name="AutoShape 1">
          <a:extLst>
            <a:ext uri="{FF2B5EF4-FFF2-40B4-BE49-F238E27FC236}">
              <a16:creationId xmlns:a16="http://schemas.microsoft.com/office/drawing/2014/main" id="{09DDDF25-FCF5-48D4-BBEE-0DD6F735762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409" name="AutoShape 1">
          <a:extLst>
            <a:ext uri="{FF2B5EF4-FFF2-40B4-BE49-F238E27FC236}">
              <a16:creationId xmlns:a16="http://schemas.microsoft.com/office/drawing/2014/main" id="{69F7CA58-8453-4FA7-919C-4AB3E74D47BE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410" name="AutoShape 1">
          <a:extLst>
            <a:ext uri="{FF2B5EF4-FFF2-40B4-BE49-F238E27FC236}">
              <a16:creationId xmlns:a16="http://schemas.microsoft.com/office/drawing/2014/main" id="{0626273D-411A-4387-B789-035AAB6CD0F1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411" name="AutoShape 1">
          <a:extLst>
            <a:ext uri="{FF2B5EF4-FFF2-40B4-BE49-F238E27FC236}">
              <a16:creationId xmlns:a16="http://schemas.microsoft.com/office/drawing/2014/main" id="{5D89EB9D-BAA6-40E8-B8A1-5ED2E0DB880A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412" name="AutoShape 1">
          <a:extLst>
            <a:ext uri="{FF2B5EF4-FFF2-40B4-BE49-F238E27FC236}">
              <a16:creationId xmlns:a16="http://schemas.microsoft.com/office/drawing/2014/main" id="{0163F2F7-8EBD-4D70-AFFC-44FF40CCF607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413" name="AutoShape 1">
          <a:extLst>
            <a:ext uri="{FF2B5EF4-FFF2-40B4-BE49-F238E27FC236}">
              <a16:creationId xmlns:a16="http://schemas.microsoft.com/office/drawing/2014/main" id="{8E8103EC-6216-4519-A5D0-599F0739F4EA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414" name="AutoShape 1">
          <a:extLst>
            <a:ext uri="{FF2B5EF4-FFF2-40B4-BE49-F238E27FC236}">
              <a16:creationId xmlns:a16="http://schemas.microsoft.com/office/drawing/2014/main" id="{69FE0867-87EE-403D-9D1D-E12C14D812F9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415" name="AutoShape 1">
          <a:extLst>
            <a:ext uri="{FF2B5EF4-FFF2-40B4-BE49-F238E27FC236}">
              <a16:creationId xmlns:a16="http://schemas.microsoft.com/office/drawing/2014/main" id="{E8333121-1C3E-4095-916B-6A1B28C94464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416" name="AutoShape 1">
          <a:extLst>
            <a:ext uri="{FF2B5EF4-FFF2-40B4-BE49-F238E27FC236}">
              <a16:creationId xmlns:a16="http://schemas.microsoft.com/office/drawing/2014/main" id="{D46B2A28-F824-45E4-A4F7-16904FF843E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417" name="AutoShape 1">
          <a:extLst>
            <a:ext uri="{FF2B5EF4-FFF2-40B4-BE49-F238E27FC236}">
              <a16:creationId xmlns:a16="http://schemas.microsoft.com/office/drawing/2014/main" id="{1FED41A2-DE12-4D82-96B3-99B4D94C25AC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418" name="AutoShape 1">
          <a:extLst>
            <a:ext uri="{FF2B5EF4-FFF2-40B4-BE49-F238E27FC236}">
              <a16:creationId xmlns:a16="http://schemas.microsoft.com/office/drawing/2014/main" id="{4FB957EF-0EB6-41A2-A6FF-E0A4FC8BE1FE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419" name="AutoShape 1">
          <a:extLst>
            <a:ext uri="{FF2B5EF4-FFF2-40B4-BE49-F238E27FC236}">
              <a16:creationId xmlns:a16="http://schemas.microsoft.com/office/drawing/2014/main" id="{D20ADA52-3876-4FFD-82F6-CBC7FA7DCEF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420" name="AutoShape 1">
          <a:extLst>
            <a:ext uri="{FF2B5EF4-FFF2-40B4-BE49-F238E27FC236}">
              <a16:creationId xmlns:a16="http://schemas.microsoft.com/office/drawing/2014/main" id="{DEF5E3D6-5780-4CB5-9319-AED5AF53EB2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421" name="AutoShape 1">
          <a:extLst>
            <a:ext uri="{FF2B5EF4-FFF2-40B4-BE49-F238E27FC236}">
              <a16:creationId xmlns:a16="http://schemas.microsoft.com/office/drawing/2014/main" id="{6ED186E6-6ED1-406A-9C53-C6BE8D7EAEF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422" name="AutoShape 1">
          <a:extLst>
            <a:ext uri="{FF2B5EF4-FFF2-40B4-BE49-F238E27FC236}">
              <a16:creationId xmlns:a16="http://schemas.microsoft.com/office/drawing/2014/main" id="{0DACC482-1F54-483A-B0BF-3451F469046B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423" name="AutoShape 1">
          <a:extLst>
            <a:ext uri="{FF2B5EF4-FFF2-40B4-BE49-F238E27FC236}">
              <a16:creationId xmlns:a16="http://schemas.microsoft.com/office/drawing/2014/main" id="{ADB7D61B-B018-4B7F-997E-D1F798087664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424" name="AutoShape 1">
          <a:extLst>
            <a:ext uri="{FF2B5EF4-FFF2-40B4-BE49-F238E27FC236}">
              <a16:creationId xmlns:a16="http://schemas.microsoft.com/office/drawing/2014/main" id="{812661C4-0C4D-4DB0-AF44-3373EE238509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425" name="AutoShape 1">
          <a:extLst>
            <a:ext uri="{FF2B5EF4-FFF2-40B4-BE49-F238E27FC236}">
              <a16:creationId xmlns:a16="http://schemas.microsoft.com/office/drawing/2014/main" id="{E4B91D37-3B85-43D9-B406-FA70739B648B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426" name="AutoShape 1">
          <a:extLst>
            <a:ext uri="{FF2B5EF4-FFF2-40B4-BE49-F238E27FC236}">
              <a16:creationId xmlns:a16="http://schemas.microsoft.com/office/drawing/2014/main" id="{9DC292A3-A883-4D3B-872F-6C6CC648D69E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427" name="AutoShape 1">
          <a:extLst>
            <a:ext uri="{FF2B5EF4-FFF2-40B4-BE49-F238E27FC236}">
              <a16:creationId xmlns:a16="http://schemas.microsoft.com/office/drawing/2014/main" id="{2E33AA7D-A7C0-4ED9-A73D-9D375631B110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428" name="AutoShape 1">
          <a:extLst>
            <a:ext uri="{FF2B5EF4-FFF2-40B4-BE49-F238E27FC236}">
              <a16:creationId xmlns:a16="http://schemas.microsoft.com/office/drawing/2014/main" id="{19941F98-D895-488F-B890-AEE721DB4944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429" name="AutoShape 1">
          <a:extLst>
            <a:ext uri="{FF2B5EF4-FFF2-40B4-BE49-F238E27FC236}">
              <a16:creationId xmlns:a16="http://schemas.microsoft.com/office/drawing/2014/main" id="{AC3D475D-F24D-4A96-B830-1E259BA21911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430" name="AutoShape 1">
          <a:extLst>
            <a:ext uri="{FF2B5EF4-FFF2-40B4-BE49-F238E27FC236}">
              <a16:creationId xmlns:a16="http://schemas.microsoft.com/office/drawing/2014/main" id="{EDA27F73-C940-42D8-A019-3694120273ED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431" name="AutoShape 1">
          <a:extLst>
            <a:ext uri="{FF2B5EF4-FFF2-40B4-BE49-F238E27FC236}">
              <a16:creationId xmlns:a16="http://schemas.microsoft.com/office/drawing/2014/main" id="{C6084616-CDA3-4951-A914-E1CB8366D343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432" name="AutoShape 1">
          <a:extLst>
            <a:ext uri="{FF2B5EF4-FFF2-40B4-BE49-F238E27FC236}">
              <a16:creationId xmlns:a16="http://schemas.microsoft.com/office/drawing/2014/main" id="{818CC8FB-276B-4842-890F-ED4630353934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433" name="AutoShape 1">
          <a:extLst>
            <a:ext uri="{FF2B5EF4-FFF2-40B4-BE49-F238E27FC236}">
              <a16:creationId xmlns:a16="http://schemas.microsoft.com/office/drawing/2014/main" id="{7E370830-05D0-44D8-8AF4-58D4F374F785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434" name="AutoShape 1">
          <a:extLst>
            <a:ext uri="{FF2B5EF4-FFF2-40B4-BE49-F238E27FC236}">
              <a16:creationId xmlns:a16="http://schemas.microsoft.com/office/drawing/2014/main" id="{E7F7BF93-04BF-4ED9-9BFF-B86627A7C0AB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435" name="AutoShape 1">
          <a:extLst>
            <a:ext uri="{FF2B5EF4-FFF2-40B4-BE49-F238E27FC236}">
              <a16:creationId xmlns:a16="http://schemas.microsoft.com/office/drawing/2014/main" id="{B4DA2F2E-9A5D-40FF-9744-1AC69BB74EF0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436" name="AutoShape 1">
          <a:extLst>
            <a:ext uri="{FF2B5EF4-FFF2-40B4-BE49-F238E27FC236}">
              <a16:creationId xmlns:a16="http://schemas.microsoft.com/office/drawing/2014/main" id="{D1B2A2F3-761B-47EC-9DCF-F76717D1EE22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437" name="AutoShape 1">
          <a:extLst>
            <a:ext uri="{FF2B5EF4-FFF2-40B4-BE49-F238E27FC236}">
              <a16:creationId xmlns:a16="http://schemas.microsoft.com/office/drawing/2014/main" id="{4A435669-70D8-4D8F-8B84-B6A791994031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438" name="AutoShape 1">
          <a:extLst>
            <a:ext uri="{FF2B5EF4-FFF2-40B4-BE49-F238E27FC236}">
              <a16:creationId xmlns:a16="http://schemas.microsoft.com/office/drawing/2014/main" id="{9C153F14-EB7A-4D9F-9095-71F754FEAA81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439" name="AutoShape 1">
          <a:extLst>
            <a:ext uri="{FF2B5EF4-FFF2-40B4-BE49-F238E27FC236}">
              <a16:creationId xmlns:a16="http://schemas.microsoft.com/office/drawing/2014/main" id="{4737B122-63A7-43A5-87CD-9ED45629BA57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440" name="AutoShape 1">
          <a:extLst>
            <a:ext uri="{FF2B5EF4-FFF2-40B4-BE49-F238E27FC236}">
              <a16:creationId xmlns:a16="http://schemas.microsoft.com/office/drawing/2014/main" id="{DCDC0CDB-7CCC-42DC-926B-6AE0882B2A5C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441" name="AutoShape 1">
          <a:extLst>
            <a:ext uri="{FF2B5EF4-FFF2-40B4-BE49-F238E27FC236}">
              <a16:creationId xmlns:a16="http://schemas.microsoft.com/office/drawing/2014/main" id="{504E8053-24A9-4E15-8D74-C5625EF95B7B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442" name="AutoShape 1">
          <a:extLst>
            <a:ext uri="{FF2B5EF4-FFF2-40B4-BE49-F238E27FC236}">
              <a16:creationId xmlns:a16="http://schemas.microsoft.com/office/drawing/2014/main" id="{46DD876F-6B1F-4BEC-9B92-E9D44B7E230C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443" name="AutoShape 1">
          <a:extLst>
            <a:ext uri="{FF2B5EF4-FFF2-40B4-BE49-F238E27FC236}">
              <a16:creationId xmlns:a16="http://schemas.microsoft.com/office/drawing/2014/main" id="{AB8D55CC-48A7-4227-A7E8-448F26F2FC66}"/>
            </a:ext>
            <a:ext uri="{147F2762-F138-4A5C-976F-8EAC2B608ADB}">
              <a16:predDERef xmlns:a16="http://schemas.microsoft.com/office/drawing/2014/main" pred="{A9C9C4DB-4B97-447C-9099-E87BCB3C537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444" name="AutoShape 1">
          <a:extLst>
            <a:ext uri="{FF2B5EF4-FFF2-40B4-BE49-F238E27FC236}">
              <a16:creationId xmlns:a16="http://schemas.microsoft.com/office/drawing/2014/main" id="{D68A0117-18D8-4B3F-8A74-9DD86450A1D0}"/>
            </a:ext>
            <a:ext uri="{147F2762-F138-4A5C-976F-8EAC2B608ADB}">
              <a16:predDERef xmlns:a16="http://schemas.microsoft.com/office/drawing/2014/main" pred="{CD89554D-BD76-42AD-819A-278AD445B86E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445" name="AutoShape 1">
          <a:extLst>
            <a:ext uri="{FF2B5EF4-FFF2-40B4-BE49-F238E27FC236}">
              <a16:creationId xmlns:a16="http://schemas.microsoft.com/office/drawing/2014/main" id="{7CFF1052-E991-49CB-8754-35D1B68E069A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446" name="AutoShape 1">
          <a:extLst>
            <a:ext uri="{FF2B5EF4-FFF2-40B4-BE49-F238E27FC236}">
              <a16:creationId xmlns:a16="http://schemas.microsoft.com/office/drawing/2014/main" id="{B362F66C-D350-4D92-9891-2532DD7041EA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447" name="AutoShape 1">
          <a:extLst>
            <a:ext uri="{FF2B5EF4-FFF2-40B4-BE49-F238E27FC236}">
              <a16:creationId xmlns:a16="http://schemas.microsoft.com/office/drawing/2014/main" id="{74B49233-5985-4E55-9FC7-5ACA4B09A441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448" name="AutoShape 1">
          <a:extLst>
            <a:ext uri="{FF2B5EF4-FFF2-40B4-BE49-F238E27FC236}">
              <a16:creationId xmlns:a16="http://schemas.microsoft.com/office/drawing/2014/main" id="{ED5B1D6D-1455-48B1-97E9-44982BEE3E3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449" name="AutoShape 1">
          <a:extLst>
            <a:ext uri="{FF2B5EF4-FFF2-40B4-BE49-F238E27FC236}">
              <a16:creationId xmlns:a16="http://schemas.microsoft.com/office/drawing/2014/main" id="{04346D04-7DA8-4AF0-812C-00BE5C1DE06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450" name="AutoShape 1">
          <a:extLst>
            <a:ext uri="{FF2B5EF4-FFF2-40B4-BE49-F238E27FC236}">
              <a16:creationId xmlns:a16="http://schemas.microsoft.com/office/drawing/2014/main" id="{9E4BEECD-B4C7-4C3F-91DA-D3297BBC716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451" name="AutoShape 1">
          <a:extLst>
            <a:ext uri="{FF2B5EF4-FFF2-40B4-BE49-F238E27FC236}">
              <a16:creationId xmlns:a16="http://schemas.microsoft.com/office/drawing/2014/main" id="{744CB22C-D1E7-4ABD-978B-1AC489788C0A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452" name="AutoShape 1">
          <a:extLst>
            <a:ext uri="{FF2B5EF4-FFF2-40B4-BE49-F238E27FC236}">
              <a16:creationId xmlns:a16="http://schemas.microsoft.com/office/drawing/2014/main" id="{397D7D9D-E721-4149-89F1-EBA8BA6A725B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453" name="AutoShape 1">
          <a:extLst>
            <a:ext uri="{FF2B5EF4-FFF2-40B4-BE49-F238E27FC236}">
              <a16:creationId xmlns:a16="http://schemas.microsoft.com/office/drawing/2014/main" id="{284BB205-B06F-475B-8E00-F5C8CA3BEBD4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454" name="AutoShape 1">
          <a:extLst>
            <a:ext uri="{FF2B5EF4-FFF2-40B4-BE49-F238E27FC236}">
              <a16:creationId xmlns:a16="http://schemas.microsoft.com/office/drawing/2014/main" id="{7F757B3B-EF80-46BA-827D-B0D16B16837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455" name="AutoShape 1">
          <a:extLst>
            <a:ext uri="{FF2B5EF4-FFF2-40B4-BE49-F238E27FC236}">
              <a16:creationId xmlns:a16="http://schemas.microsoft.com/office/drawing/2014/main" id="{242A4CCD-64B7-493A-9927-ACF32B7D5ECC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456" name="AutoShape 1">
          <a:extLst>
            <a:ext uri="{FF2B5EF4-FFF2-40B4-BE49-F238E27FC236}">
              <a16:creationId xmlns:a16="http://schemas.microsoft.com/office/drawing/2014/main" id="{F8711DF2-7D91-4339-988F-48D834DDE11A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457" name="AutoShape 1">
          <a:extLst>
            <a:ext uri="{FF2B5EF4-FFF2-40B4-BE49-F238E27FC236}">
              <a16:creationId xmlns:a16="http://schemas.microsoft.com/office/drawing/2014/main" id="{D2044071-7092-43CD-B08D-7471895E342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458" name="AutoShape 1">
          <a:extLst>
            <a:ext uri="{FF2B5EF4-FFF2-40B4-BE49-F238E27FC236}">
              <a16:creationId xmlns:a16="http://schemas.microsoft.com/office/drawing/2014/main" id="{382CC5D5-4FCE-4BA5-811C-F40F2C2E845B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459" name="AutoShape 1">
          <a:extLst>
            <a:ext uri="{FF2B5EF4-FFF2-40B4-BE49-F238E27FC236}">
              <a16:creationId xmlns:a16="http://schemas.microsoft.com/office/drawing/2014/main" id="{6DEFC27C-4E47-4AD7-B7BF-868D67442A2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460" name="AutoShape 1">
          <a:extLst>
            <a:ext uri="{FF2B5EF4-FFF2-40B4-BE49-F238E27FC236}">
              <a16:creationId xmlns:a16="http://schemas.microsoft.com/office/drawing/2014/main" id="{D3819DDF-CE93-4372-B1A0-7C35A2DF127A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461" name="AutoShape 1">
          <a:extLst>
            <a:ext uri="{FF2B5EF4-FFF2-40B4-BE49-F238E27FC236}">
              <a16:creationId xmlns:a16="http://schemas.microsoft.com/office/drawing/2014/main" id="{AD4A39EF-E7D5-4DCC-AD11-DB6377F524E6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462" name="AutoShape 1">
          <a:extLst>
            <a:ext uri="{FF2B5EF4-FFF2-40B4-BE49-F238E27FC236}">
              <a16:creationId xmlns:a16="http://schemas.microsoft.com/office/drawing/2014/main" id="{1CEFBCC5-D002-4809-95F7-36621FB2BD0E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463" name="AutoShape 1">
          <a:extLst>
            <a:ext uri="{FF2B5EF4-FFF2-40B4-BE49-F238E27FC236}">
              <a16:creationId xmlns:a16="http://schemas.microsoft.com/office/drawing/2014/main" id="{4AC9A85A-7A38-47FD-BC26-3E71FE24DC3F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464" name="AutoShape 1">
          <a:extLst>
            <a:ext uri="{FF2B5EF4-FFF2-40B4-BE49-F238E27FC236}">
              <a16:creationId xmlns:a16="http://schemas.microsoft.com/office/drawing/2014/main" id="{C8CD4C4D-6886-4568-8C97-576C5AE10363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465" name="AutoShape 1">
          <a:extLst>
            <a:ext uri="{FF2B5EF4-FFF2-40B4-BE49-F238E27FC236}">
              <a16:creationId xmlns:a16="http://schemas.microsoft.com/office/drawing/2014/main" id="{C5D37FEC-B8BE-4727-8F97-A6027D1A80CB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466" name="AutoShape 1">
          <a:extLst>
            <a:ext uri="{FF2B5EF4-FFF2-40B4-BE49-F238E27FC236}">
              <a16:creationId xmlns:a16="http://schemas.microsoft.com/office/drawing/2014/main" id="{E57A7338-08D4-449E-A063-84D420D9D05C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467" name="AutoShape 1">
          <a:extLst>
            <a:ext uri="{FF2B5EF4-FFF2-40B4-BE49-F238E27FC236}">
              <a16:creationId xmlns:a16="http://schemas.microsoft.com/office/drawing/2014/main" id="{508702EA-AA11-49DC-810E-98203FA814FD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468" name="AutoShape 1">
          <a:extLst>
            <a:ext uri="{FF2B5EF4-FFF2-40B4-BE49-F238E27FC236}">
              <a16:creationId xmlns:a16="http://schemas.microsoft.com/office/drawing/2014/main" id="{96DCD255-84B5-4B42-9B9A-C5C4D8D302DF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469" name="AutoShape 1">
          <a:extLst>
            <a:ext uri="{FF2B5EF4-FFF2-40B4-BE49-F238E27FC236}">
              <a16:creationId xmlns:a16="http://schemas.microsoft.com/office/drawing/2014/main" id="{79758498-26FF-441B-8770-7E23D4B9C53B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470" name="AutoShape 1">
          <a:extLst>
            <a:ext uri="{FF2B5EF4-FFF2-40B4-BE49-F238E27FC236}">
              <a16:creationId xmlns:a16="http://schemas.microsoft.com/office/drawing/2014/main" id="{8F4836B9-F9BA-492C-AAE8-4404BF27F5BD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471" name="AutoShape 1">
          <a:extLst>
            <a:ext uri="{FF2B5EF4-FFF2-40B4-BE49-F238E27FC236}">
              <a16:creationId xmlns:a16="http://schemas.microsoft.com/office/drawing/2014/main" id="{E901E304-9BD1-439E-9399-BEB869656160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472" name="AutoShape 1">
          <a:extLst>
            <a:ext uri="{FF2B5EF4-FFF2-40B4-BE49-F238E27FC236}">
              <a16:creationId xmlns:a16="http://schemas.microsoft.com/office/drawing/2014/main" id="{CF35062C-A70F-43E8-8D38-3CC8AAF85161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473" name="AutoShape 1">
          <a:extLst>
            <a:ext uri="{FF2B5EF4-FFF2-40B4-BE49-F238E27FC236}">
              <a16:creationId xmlns:a16="http://schemas.microsoft.com/office/drawing/2014/main" id="{E8482598-AFAB-456D-A329-0DF2ABDB2D49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474" name="AutoShape 1">
          <a:extLst>
            <a:ext uri="{FF2B5EF4-FFF2-40B4-BE49-F238E27FC236}">
              <a16:creationId xmlns:a16="http://schemas.microsoft.com/office/drawing/2014/main" id="{41A5215F-1532-4FF8-9506-2EE30BFEC05D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475" name="AutoShape 1">
          <a:extLst>
            <a:ext uri="{FF2B5EF4-FFF2-40B4-BE49-F238E27FC236}">
              <a16:creationId xmlns:a16="http://schemas.microsoft.com/office/drawing/2014/main" id="{0998DFA8-C5D5-4701-8BB2-9730E0A0FF46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476" name="AutoShape 1">
          <a:extLst>
            <a:ext uri="{FF2B5EF4-FFF2-40B4-BE49-F238E27FC236}">
              <a16:creationId xmlns:a16="http://schemas.microsoft.com/office/drawing/2014/main" id="{931C3BBE-8AC6-46BB-9E51-E567FDA6F2BD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477" name="AutoShape 1">
          <a:extLst>
            <a:ext uri="{FF2B5EF4-FFF2-40B4-BE49-F238E27FC236}">
              <a16:creationId xmlns:a16="http://schemas.microsoft.com/office/drawing/2014/main" id="{18FCC77B-3F96-47B2-96A9-381BEB846E8F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478" name="AutoShape 1">
          <a:extLst>
            <a:ext uri="{FF2B5EF4-FFF2-40B4-BE49-F238E27FC236}">
              <a16:creationId xmlns:a16="http://schemas.microsoft.com/office/drawing/2014/main" id="{E8D89414-6E21-4742-97D1-7695B5D1D4C6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479" name="AutoShape 1">
          <a:extLst>
            <a:ext uri="{FF2B5EF4-FFF2-40B4-BE49-F238E27FC236}">
              <a16:creationId xmlns:a16="http://schemas.microsoft.com/office/drawing/2014/main" id="{F64C2B3C-A5C3-450F-BCE3-1C9721EC75BA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480" name="AutoShape 1">
          <a:extLst>
            <a:ext uri="{FF2B5EF4-FFF2-40B4-BE49-F238E27FC236}">
              <a16:creationId xmlns:a16="http://schemas.microsoft.com/office/drawing/2014/main" id="{C1211CBE-8C20-4066-A47E-1FD64378357E}"/>
            </a:ext>
            <a:ext uri="{147F2762-F138-4A5C-976F-8EAC2B608ADB}">
              <a16:predDERef xmlns:a16="http://schemas.microsoft.com/office/drawing/2014/main" pred="{A9C9C4DB-4B97-447C-9099-E87BCB3C537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481" name="AutoShape 1">
          <a:extLst>
            <a:ext uri="{FF2B5EF4-FFF2-40B4-BE49-F238E27FC236}">
              <a16:creationId xmlns:a16="http://schemas.microsoft.com/office/drawing/2014/main" id="{D21F4276-1FDA-4800-9E5B-1C57B43C0E40}"/>
            </a:ext>
            <a:ext uri="{147F2762-F138-4A5C-976F-8EAC2B608ADB}">
              <a16:predDERef xmlns:a16="http://schemas.microsoft.com/office/drawing/2014/main" pred="{CD89554D-BD76-42AD-819A-278AD445B86E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482" name="AutoShape 1">
          <a:extLst>
            <a:ext uri="{FF2B5EF4-FFF2-40B4-BE49-F238E27FC236}">
              <a16:creationId xmlns:a16="http://schemas.microsoft.com/office/drawing/2014/main" id="{9EF71316-8CD2-4DEA-A396-6EF3A6EE88AF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483" name="AutoShape 1">
          <a:extLst>
            <a:ext uri="{FF2B5EF4-FFF2-40B4-BE49-F238E27FC236}">
              <a16:creationId xmlns:a16="http://schemas.microsoft.com/office/drawing/2014/main" id="{9A74A665-D2B9-4E35-9BCE-968A851667AB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484" name="AutoShape 1">
          <a:extLst>
            <a:ext uri="{FF2B5EF4-FFF2-40B4-BE49-F238E27FC236}">
              <a16:creationId xmlns:a16="http://schemas.microsoft.com/office/drawing/2014/main" id="{DD7E976F-AB59-4F73-91D8-BDF09AEDCE46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485" name="AutoShape 1">
          <a:extLst>
            <a:ext uri="{FF2B5EF4-FFF2-40B4-BE49-F238E27FC236}">
              <a16:creationId xmlns:a16="http://schemas.microsoft.com/office/drawing/2014/main" id="{6933F04E-D259-4326-A119-9368E44C6763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486" name="AutoShape 1">
          <a:extLst>
            <a:ext uri="{FF2B5EF4-FFF2-40B4-BE49-F238E27FC236}">
              <a16:creationId xmlns:a16="http://schemas.microsoft.com/office/drawing/2014/main" id="{2F29714A-239A-412F-ACF9-E1787A050206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487" name="AutoShape 1">
          <a:extLst>
            <a:ext uri="{FF2B5EF4-FFF2-40B4-BE49-F238E27FC236}">
              <a16:creationId xmlns:a16="http://schemas.microsoft.com/office/drawing/2014/main" id="{BC204ACD-AA5C-4698-9656-D5BC442447EC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488" name="AutoShape 1">
          <a:extLst>
            <a:ext uri="{FF2B5EF4-FFF2-40B4-BE49-F238E27FC236}">
              <a16:creationId xmlns:a16="http://schemas.microsoft.com/office/drawing/2014/main" id="{7D376B26-7D17-4A68-BC82-2A79368C7176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489" name="AutoShape 1">
          <a:extLst>
            <a:ext uri="{FF2B5EF4-FFF2-40B4-BE49-F238E27FC236}">
              <a16:creationId xmlns:a16="http://schemas.microsoft.com/office/drawing/2014/main" id="{DAE976D9-B5E2-45DE-BBA2-B5A68049623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490" name="AutoShape 1">
          <a:extLst>
            <a:ext uri="{FF2B5EF4-FFF2-40B4-BE49-F238E27FC236}">
              <a16:creationId xmlns:a16="http://schemas.microsoft.com/office/drawing/2014/main" id="{A315B117-E6A0-4600-B628-6DFD7CE3AA9C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491" name="AutoShape 1">
          <a:extLst>
            <a:ext uri="{FF2B5EF4-FFF2-40B4-BE49-F238E27FC236}">
              <a16:creationId xmlns:a16="http://schemas.microsoft.com/office/drawing/2014/main" id="{5E58EAB5-7B14-4A64-B1EC-BDA91CADE8A9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492" name="AutoShape 1">
          <a:extLst>
            <a:ext uri="{FF2B5EF4-FFF2-40B4-BE49-F238E27FC236}">
              <a16:creationId xmlns:a16="http://schemas.microsoft.com/office/drawing/2014/main" id="{90FFAA87-33F7-4C55-B3FE-7158381DAD94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493" name="AutoShape 1">
          <a:extLst>
            <a:ext uri="{FF2B5EF4-FFF2-40B4-BE49-F238E27FC236}">
              <a16:creationId xmlns:a16="http://schemas.microsoft.com/office/drawing/2014/main" id="{27AA3D7B-19C4-4C05-B0DB-FF79027B0CB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494" name="AutoShape 1">
          <a:extLst>
            <a:ext uri="{FF2B5EF4-FFF2-40B4-BE49-F238E27FC236}">
              <a16:creationId xmlns:a16="http://schemas.microsoft.com/office/drawing/2014/main" id="{70E24582-B611-4830-99E3-E8A8654FE34F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495" name="AutoShape 1">
          <a:extLst>
            <a:ext uri="{FF2B5EF4-FFF2-40B4-BE49-F238E27FC236}">
              <a16:creationId xmlns:a16="http://schemas.microsoft.com/office/drawing/2014/main" id="{1152F2E2-9F06-4986-9BD3-3DF4001E131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496" name="AutoShape 1">
          <a:extLst>
            <a:ext uri="{FF2B5EF4-FFF2-40B4-BE49-F238E27FC236}">
              <a16:creationId xmlns:a16="http://schemas.microsoft.com/office/drawing/2014/main" id="{4E3236E4-1A5B-443F-981D-7FD7CE62EC9A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497" name="AutoShape 1">
          <a:extLst>
            <a:ext uri="{FF2B5EF4-FFF2-40B4-BE49-F238E27FC236}">
              <a16:creationId xmlns:a16="http://schemas.microsoft.com/office/drawing/2014/main" id="{A5BC2425-A876-42EB-AD44-D05225A44921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498" name="AutoShape 1">
          <a:extLst>
            <a:ext uri="{FF2B5EF4-FFF2-40B4-BE49-F238E27FC236}">
              <a16:creationId xmlns:a16="http://schemas.microsoft.com/office/drawing/2014/main" id="{D18F85A5-A243-4A20-B401-7E12013F9058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499" name="AutoShape 1">
          <a:extLst>
            <a:ext uri="{FF2B5EF4-FFF2-40B4-BE49-F238E27FC236}">
              <a16:creationId xmlns:a16="http://schemas.microsoft.com/office/drawing/2014/main" id="{37BD9B57-13A1-454D-9F94-AD6DA8AABD87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500" name="AutoShape 1">
          <a:extLst>
            <a:ext uri="{FF2B5EF4-FFF2-40B4-BE49-F238E27FC236}">
              <a16:creationId xmlns:a16="http://schemas.microsoft.com/office/drawing/2014/main" id="{A6AE31F9-8294-4360-99B8-F75FBD4D8BBB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501" name="AutoShape 1">
          <a:extLst>
            <a:ext uri="{FF2B5EF4-FFF2-40B4-BE49-F238E27FC236}">
              <a16:creationId xmlns:a16="http://schemas.microsoft.com/office/drawing/2014/main" id="{8D460084-7351-4091-8F3C-CC040C3A7F02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502" name="AutoShape 1">
          <a:extLst>
            <a:ext uri="{FF2B5EF4-FFF2-40B4-BE49-F238E27FC236}">
              <a16:creationId xmlns:a16="http://schemas.microsoft.com/office/drawing/2014/main" id="{5446D01A-D2D1-417A-9316-A2956ECDA9E9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503" name="AutoShape 1">
          <a:extLst>
            <a:ext uri="{FF2B5EF4-FFF2-40B4-BE49-F238E27FC236}">
              <a16:creationId xmlns:a16="http://schemas.microsoft.com/office/drawing/2014/main" id="{ED3087EB-D5F4-4EE2-B44A-BD3CF0244B50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504" name="AutoShape 1">
          <a:extLst>
            <a:ext uri="{FF2B5EF4-FFF2-40B4-BE49-F238E27FC236}">
              <a16:creationId xmlns:a16="http://schemas.microsoft.com/office/drawing/2014/main" id="{AC2A96D2-72D8-4B6A-A2D7-0B1E071C558E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505" name="AutoShape 1">
          <a:extLst>
            <a:ext uri="{FF2B5EF4-FFF2-40B4-BE49-F238E27FC236}">
              <a16:creationId xmlns:a16="http://schemas.microsoft.com/office/drawing/2014/main" id="{27A0575E-45FD-4EBF-9D25-1AF01EED6A43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506" name="AutoShape 1">
          <a:extLst>
            <a:ext uri="{FF2B5EF4-FFF2-40B4-BE49-F238E27FC236}">
              <a16:creationId xmlns:a16="http://schemas.microsoft.com/office/drawing/2014/main" id="{1530484F-C079-494C-AB74-7D4FAC759A78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507" name="AutoShape 1">
          <a:extLst>
            <a:ext uri="{FF2B5EF4-FFF2-40B4-BE49-F238E27FC236}">
              <a16:creationId xmlns:a16="http://schemas.microsoft.com/office/drawing/2014/main" id="{F7BC3F21-076B-46C9-9FF4-5DAD3E90597A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508" name="AutoShape 1">
          <a:extLst>
            <a:ext uri="{FF2B5EF4-FFF2-40B4-BE49-F238E27FC236}">
              <a16:creationId xmlns:a16="http://schemas.microsoft.com/office/drawing/2014/main" id="{67403280-651B-4008-A58A-9060093FADF0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509" name="AutoShape 1">
          <a:extLst>
            <a:ext uri="{FF2B5EF4-FFF2-40B4-BE49-F238E27FC236}">
              <a16:creationId xmlns:a16="http://schemas.microsoft.com/office/drawing/2014/main" id="{585959CF-E7A1-47F1-9361-FA0D6B2CB1CD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510" name="AutoShape 1">
          <a:extLst>
            <a:ext uri="{FF2B5EF4-FFF2-40B4-BE49-F238E27FC236}">
              <a16:creationId xmlns:a16="http://schemas.microsoft.com/office/drawing/2014/main" id="{ACF6A108-B3B1-48CB-A817-E833280E28C2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511" name="AutoShape 1">
          <a:extLst>
            <a:ext uri="{FF2B5EF4-FFF2-40B4-BE49-F238E27FC236}">
              <a16:creationId xmlns:a16="http://schemas.microsoft.com/office/drawing/2014/main" id="{861CDE3B-E9F4-4E7D-B756-BC3AFC3438B9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512" name="AutoShape 1">
          <a:extLst>
            <a:ext uri="{FF2B5EF4-FFF2-40B4-BE49-F238E27FC236}">
              <a16:creationId xmlns:a16="http://schemas.microsoft.com/office/drawing/2014/main" id="{90CB7B77-427A-4CD1-B7E1-4A4C16FF7F09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513" name="AutoShape 1">
          <a:extLst>
            <a:ext uri="{FF2B5EF4-FFF2-40B4-BE49-F238E27FC236}">
              <a16:creationId xmlns:a16="http://schemas.microsoft.com/office/drawing/2014/main" id="{5136D60F-982F-474C-9561-52D49F631153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514" name="AutoShape 1">
          <a:extLst>
            <a:ext uri="{FF2B5EF4-FFF2-40B4-BE49-F238E27FC236}">
              <a16:creationId xmlns:a16="http://schemas.microsoft.com/office/drawing/2014/main" id="{9D82CB1D-D0D6-496C-8EE0-62608EA757C1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515" name="AutoShape 1">
          <a:extLst>
            <a:ext uri="{FF2B5EF4-FFF2-40B4-BE49-F238E27FC236}">
              <a16:creationId xmlns:a16="http://schemas.microsoft.com/office/drawing/2014/main" id="{5B4C2C9F-F2D1-412E-B9F9-84C676A377D6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516" name="AutoShape 1">
          <a:extLst>
            <a:ext uri="{FF2B5EF4-FFF2-40B4-BE49-F238E27FC236}">
              <a16:creationId xmlns:a16="http://schemas.microsoft.com/office/drawing/2014/main" id="{AA46E012-5D75-4FB2-A2A8-166F3652107B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517" name="AutoShape 1">
          <a:extLst>
            <a:ext uri="{FF2B5EF4-FFF2-40B4-BE49-F238E27FC236}">
              <a16:creationId xmlns:a16="http://schemas.microsoft.com/office/drawing/2014/main" id="{1106202F-E416-4179-AA48-02FFC51735E1}"/>
            </a:ext>
            <a:ext uri="{147F2762-F138-4A5C-976F-8EAC2B608ADB}">
              <a16:predDERef xmlns:a16="http://schemas.microsoft.com/office/drawing/2014/main" pred="{A9C9C4DB-4B97-447C-9099-E87BCB3C537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518" name="AutoShape 1">
          <a:extLst>
            <a:ext uri="{FF2B5EF4-FFF2-40B4-BE49-F238E27FC236}">
              <a16:creationId xmlns:a16="http://schemas.microsoft.com/office/drawing/2014/main" id="{C80A51B8-5027-4703-9876-914071025066}"/>
            </a:ext>
            <a:ext uri="{147F2762-F138-4A5C-976F-8EAC2B608ADB}">
              <a16:predDERef xmlns:a16="http://schemas.microsoft.com/office/drawing/2014/main" pred="{CD89554D-BD76-42AD-819A-278AD445B86E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519" name="AutoShape 1">
          <a:extLst>
            <a:ext uri="{FF2B5EF4-FFF2-40B4-BE49-F238E27FC236}">
              <a16:creationId xmlns:a16="http://schemas.microsoft.com/office/drawing/2014/main" id="{2C02E13E-1356-4945-A15B-D99ECCA90B3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520" name="AutoShape 1">
          <a:extLst>
            <a:ext uri="{FF2B5EF4-FFF2-40B4-BE49-F238E27FC236}">
              <a16:creationId xmlns:a16="http://schemas.microsoft.com/office/drawing/2014/main" id="{897107FF-1A48-4379-A1CD-B61C3F5C261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521" name="AutoShape 1">
          <a:extLst>
            <a:ext uri="{FF2B5EF4-FFF2-40B4-BE49-F238E27FC236}">
              <a16:creationId xmlns:a16="http://schemas.microsoft.com/office/drawing/2014/main" id="{D8B6E3A3-EF84-4329-BAF9-64DBB2EE71D1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522" name="AutoShape 1">
          <a:extLst>
            <a:ext uri="{FF2B5EF4-FFF2-40B4-BE49-F238E27FC236}">
              <a16:creationId xmlns:a16="http://schemas.microsoft.com/office/drawing/2014/main" id="{351942DA-C674-4656-8AAE-B610FE8BD11B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523" name="AutoShape 1">
          <a:extLst>
            <a:ext uri="{FF2B5EF4-FFF2-40B4-BE49-F238E27FC236}">
              <a16:creationId xmlns:a16="http://schemas.microsoft.com/office/drawing/2014/main" id="{C2C9EE31-854D-4DE8-B47E-12961957332B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524" name="AutoShape 1">
          <a:extLst>
            <a:ext uri="{FF2B5EF4-FFF2-40B4-BE49-F238E27FC236}">
              <a16:creationId xmlns:a16="http://schemas.microsoft.com/office/drawing/2014/main" id="{EF552417-07F2-486A-8938-D6C0CE07ED3F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525" name="AutoShape 1">
          <a:extLst>
            <a:ext uri="{FF2B5EF4-FFF2-40B4-BE49-F238E27FC236}">
              <a16:creationId xmlns:a16="http://schemas.microsoft.com/office/drawing/2014/main" id="{5E53D11D-9A3F-4A3D-9086-B3E36109631F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526" name="AutoShape 1">
          <a:extLst>
            <a:ext uri="{FF2B5EF4-FFF2-40B4-BE49-F238E27FC236}">
              <a16:creationId xmlns:a16="http://schemas.microsoft.com/office/drawing/2014/main" id="{291EF1BF-FF92-437F-8F3F-B23D3F4AAB24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527" name="AutoShape 1">
          <a:extLst>
            <a:ext uri="{FF2B5EF4-FFF2-40B4-BE49-F238E27FC236}">
              <a16:creationId xmlns:a16="http://schemas.microsoft.com/office/drawing/2014/main" id="{BFF17D9D-0BB2-4A6B-9684-7039450940C7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528" name="AutoShape 1">
          <a:extLst>
            <a:ext uri="{FF2B5EF4-FFF2-40B4-BE49-F238E27FC236}">
              <a16:creationId xmlns:a16="http://schemas.microsoft.com/office/drawing/2014/main" id="{6FBDFB58-1283-4CC7-B617-7A100CFE5F84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529" name="AutoShape 1">
          <a:extLst>
            <a:ext uri="{FF2B5EF4-FFF2-40B4-BE49-F238E27FC236}">
              <a16:creationId xmlns:a16="http://schemas.microsoft.com/office/drawing/2014/main" id="{0157D24A-D6CB-41D4-B772-6509840934A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530" name="AutoShape 1">
          <a:extLst>
            <a:ext uri="{FF2B5EF4-FFF2-40B4-BE49-F238E27FC236}">
              <a16:creationId xmlns:a16="http://schemas.microsoft.com/office/drawing/2014/main" id="{C7270824-37A3-4A8A-BAEC-264AB46605A4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531" name="AutoShape 1">
          <a:extLst>
            <a:ext uri="{FF2B5EF4-FFF2-40B4-BE49-F238E27FC236}">
              <a16:creationId xmlns:a16="http://schemas.microsoft.com/office/drawing/2014/main" id="{07C2E093-D140-4349-8936-C1D25368DC9B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532" name="AutoShape 1">
          <a:extLst>
            <a:ext uri="{FF2B5EF4-FFF2-40B4-BE49-F238E27FC236}">
              <a16:creationId xmlns:a16="http://schemas.microsoft.com/office/drawing/2014/main" id="{806CCF34-DD5E-452F-B721-FD98DA905A2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533" name="AutoShape 1">
          <a:extLst>
            <a:ext uri="{FF2B5EF4-FFF2-40B4-BE49-F238E27FC236}">
              <a16:creationId xmlns:a16="http://schemas.microsoft.com/office/drawing/2014/main" id="{E7773AB3-523E-494A-BFAE-BD2AA15DCE9F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534" name="AutoShape 1">
          <a:extLst>
            <a:ext uri="{FF2B5EF4-FFF2-40B4-BE49-F238E27FC236}">
              <a16:creationId xmlns:a16="http://schemas.microsoft.com/office/drawing/2014/main" id="{4A24705C-78A9-4523-B505-12B70B88C7D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535" name="AutoShape 1">
          <a:extLst>
            <a:ext uri="{FF2B5EF4-FFF2-40B4-BE49-F238E27FC236}">
              <a16:creationId xmlns:a16="http://schemas.microsoft.com/office/drawing/2014/main" id="{B45F2523-0CC7-4658-B605-BF2F1C68C272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536" name="AutoShape 1">
          <a:extLst>
            <a:ext uri="{FF2B5EF4-FFF2-40B4-BE49-F238E27FC236}">
              <a16:creationId xmlns:a16="http://schemas.microsoft.com/office/drawing/2014/main" id="{68697F46-D76E-44A5-BC47-536EE077EFC7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537" name="AutoShape 1">
          <a:extLst>
            <a:ext uri="{FF2B5EF4-FFF2-40B4-BE49-F238E27FC236}">
              <a16:creationId xmlns:a16="http://schemas.microsoft.com/office/drawing/2014/main" id="{EB4C943A-E52D-4FFA-9446-B27ECD6FB367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538" name="AutoShape 1">
          <a:extLst>
            <a:ext uri="{FF2B5EF4-FFF2-40B4-BE49-F238E27FC236}">
              <a16:creationId xmlns:a16="http://schemas.microsoft.com/office/drawing/2014/main" id="{922AE62F-E9EE-472F-9397-10B38B2B9ABD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539" name="AutoShape 1">
          <a:extLst>
            <a:ext uri="{FF2B5EF4-FFF2-40B4-BE49-F238E27FC236}">
              <a16:creationId xmlns:a16="http://schemas.microsoft.com/office/drawing/2014/main" id="{DBD073FF-97D6-422F-947E-6863993F43AE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540" name="AutoShape 1">
          <a:extLst>
            <a:ext uri="{FF2B5EF4-FFF2-40B4-BE49-F238E27FC236}">
              <a16:creationId xmlns:a16="http://schemas.microsoft.com/office/drawing/2014/main" id="{41E1B567-80EB-41AE-B5FD-648F1F794007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541" name="AutoShape 1">
          <a:extLst>
            <a:ext uri="{FF2B5EF4-FFF2-40B4-BE49-F238E27FC236}">
              <a16:creationId xmlns:a16="http://schemas.microsoft.com/office/drawing/2014/main" id="{F228B23D-8007-4239-9AFF-69A73BB48599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542" name="AutoShape 1">
          <a:extLst>
            <a:ext uri="{FF2B5EF4-FFF2-40B4-BE49-F238E27FC236}">
              <a16:creationId xmlns:a16="http://schemas.microsoft.com/office/drawing/2014/main" id="{1562A909-643A-403E-BC90-8758DEB9A3E5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543" name="AutoShape 1">
          <a:extLst>
            <a:ext uri="{FF2B5EF4-FFF2-40B4-BE49-F238E27FC236}">
              <a16:creationId xmlns:a16="http://schemas.microsoft.com/office/drawing/2014/main" id="{1E9BCA79-EB01-497F-893A-6947BC181751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544" name="AutoShape 1">
          <a:extLst>
            <a:ext uri="{FF2B5EF4-FFF2-40B4-BE49-F238E27FC236}">
              <a16:creationId xmlns:a16="http://schemas.microsoft.com/office/drawing/2014/main" id="{7B7353F5-F8BD-4F92-89FE-3F8C37A956CF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545" name="AutoShape 1">
          <a:extLst>
            <a:ext uri="{FF2B5EF4-FFF2-40B4-BE49-F238E27FC236}">
              <a16:creationId xmlns:a16="http://schemas.microsoft.com/office/drawing/2014/main" id="{D8234AF3-A16C-4FB3-BBE7-E064343673E2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546" name="AutoShape 1">
          <a:extLst>
            <a:ext uri="{FF2B5EF4-FFF2-40B4-BE49-F238E27FC236}">
              <a16:creationId xmlns:a16="http://schemas.microsoft.com/office/drawing/2014/main" id="{E59FA267-516E-4922-9386-5D0113229B4F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547" name="AutoShape 1">
          <a:extLst>
            <a:ext uri="{FF2B5EF4-FFF2-40B4-BE49-F238E27FC236}">
              <a16:creationId xmlns:a16="http://schemas.microsoft.com/office/drawing/2014/main" id="{FBCF3BB6-EAD1-4C98-BBB2-56248619B2FD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548" name="AutoShape 1">
          <a:extLst>
            <a:ext uri="{FF2B5EF4-FFF2-40B4-BE49-F238E27FC236}">
              <a16:creationId xmlns:a16="http://schemas.microsoft.com/office/drawing/2014/main" id="{E3B9AE1E-17A4-4F70-9DEC-C6EB774D7305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549" name="AutoShape 1">
          <a:extLst>
            <a:ext uri="{FF2B5EF4-FFF2-40B4-BE49-F238E27FC236}">
              <a16:creationId xmlns:a16="http://schemas.microsoft.com/office/drawing/2014/main" id="{8F1E24F2-38B4-481D-B69D-A01BBBE26C0F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550" name="AutoShape 1">
          <a:extLst>
            <a:ext uri="{FF2B5EF4-FFF2-40B4-BE49-F238E27FC236}">
              <a16:creationId xmlns:a16="http://schemas.microsoft.com/office/drawing/2014/main" id="{7C1B4318-BCE9-49A8-BFC9-FB7F6DD0131A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551" name="AutoShape 1">
          <a:extLst>
            <a:ext uri="{FF2B5EF4-FFF2-40B4-BE49-F238E27FC236}">
              <a16:creationId xmlns:a16="http://schemas.microsoft.com/office/drawing/2014/main" id="{0060ACA9-306F-4021-8267-FB919EAFF5B0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552" name="AutoShape 1">
          <a:extLst>
            <a:ext uri="{FF2B5EF4-FFF2-40B4-BE49-F238E27FC236}">
              <a16:creationId xmlns:a16="http://schemas.microsoft.com/office/drawing/2014/main" id="{B4FF19B3-F45F-4195-934B-D8333AFA090B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553" name="AutoShape 1">
          <a:extLst>
            <a:ext uri="{FF2B5EF4-FFF2-40B4-BE49-F238E27FC236}">
              <a16:creationId xmlns:a16="http://schemas.microsoft.com/office/drawing/2014/main" id="{37430CDD-06DD-4D43-8567-124ACD33F9EF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554" name="AutoShape 1">
          <a:extLst>
            <a:ext uri="{FF2B5EF4-FFF2-40B4-BE49-F238E27FC236}">
              <a16:creationId xmlns:a16="http://schemas.microsoft.com/office/drawing/2014/main" id="{5538D76A-069E-4C3A-B0CE-3D84447F80D1}"/>
            </a:ext>
            <a:ext uri="{147F2762-F138-4A5C-976F-8EAC2B608ADB}">
              <a16:predDERef xmlns:a16="http://schemas.microsoft.com/office/drawing/2014/main" pred="{A9C9C4DB-4B97-447C-9099-E87BCB3C537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555" name="AutoShape 1">
          <a:extLst>
            <a:ext uri="{FF2B5EF4-FFF2-40B4-BE49-F238E27FC236}">
              <a16:creationId xmlns:a16="http://schemas.microsoft.com/office/drawing/2014/main" id="{F4632086-BC8E-407E-994C-23835656CC49}"/>
            </a:ext>
            <a:ext uri="{147F2762-F138-4A5C-976F-8EAC2B608ADB}">
              <a16:predDERef xmlns:a16="http://schemas.microsoft.com/office/drawing/2014/main" pred="{CD89554D-BD76-42AD-819A-278AD445B86E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556" name="AutoShape 1">
          <a:extLst>
            <a:ext uri="{FF2B5EF4-FFF2-40B4-BE49-F238E27FC236}">
              <a16:creationId xmlns:a16="http://schemas.microsoft.com/office/drawing/2014/main" id="{92457E4B-579B-442F-BF1C-A04A85D230EB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557" name="AutoShape 1">
          <a:extLst>
            <a:ext uri="{FF2B5EF4-FFF2-40B4-BE49-F238E27FC236}">
              <a16:creationId xmlns:a16="http://schemas.microsoft.com/office/drawing/2014/main" id="{45E174E0-361B-492A-8FA8-34FEAD6D2E6A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558" name="AutoShape 1">
          <a:extLst>
            <a:ext uri="{FF2B5EF4-FFF2-40B4-BE49-F238E27FC236}">
              <a16:creationId xmlns:a16="http://schemas.microsoft.com/office/drawing/2014/main" id="{D931B9A3-50DC-48CA-88D3-33B25B9E61B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559" name="AutoShape 1">
          <a:extLst>
            <a:ext uri="{FF2B5EF4-FFF2-40B4-BE49-F238E27FC236}">
              <a16:creationId xmlns:a16="http://schemas.microsoft.com/office/drawing/2014/main" id="{46F07750-DCAC-4511-B7C8-90D0A0FA035F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560" name="AutoShape 1">
          <a:extLst>
            <a:ext uri="{FF2B5EF4-FFF2-40B4-BE49-F238E27FC236}">
              <a16:creationId xmlns:a16="http://schemas.microsoft.com/office/drawing/2014/main" id="{1C2BAD76-DD90-479F-85B3-D072509EDF5F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561" name="AutoShape 1">
          <a:extLst>
            <a:ext uri="{FF2B5EF4-FFF2-40B4-BE49-F238E27FC236}">
              <a16:creationId xmlns:a16="http://schemas.microsoft.com/office/drawing/2014/main" id="{EA1000A4-7619-4E09-A876-BAEA20E7A8CE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562" name="AutoShape 1">
          <a:extLst>
            <a:ext uri="{FF2B5EF4-FFF2-40B4-BE49-F238E27FC236}">
              <a16:creationId xmlns:a16="http://schemas.microsoft.com/office/drawing/2014/main" id="{F4148DF7-F6CB-4F75-9D20-ED67A2AA77E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563" name="AutoShape 1">
          <a:extLst>
            <a:ext uri="{FF2B5EF4-FFF2-40B4-BE49-F238E27FC236}">
              <a16:creationId xmlns:a16="http://schemas.microsoft.com/office/drawing/2014/main" id="{B46D1B70-A570-412C-A4E1-2D5F53E75B2F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564" name="AutoShape 1">
          <a:extLst>
            <a:ext uri="{FF2B5EF4-FFF2-40B4-BE49-F238E27FC236}">
              <a16:creationId xmlns:a16="http://schemas.microsoft.com/office/drawing/2014/main" id="{3A84D50E-14F6-42BA-9A06-BF315D8A7E0A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565" name="AutoShape 1">
          <a:extLst>
            <a:ext uri="{FF2B5EF4-FFF2-40B4-BE49-F238E27FC236}">
              <a16:creationId xmlns:a16="http://schemas.microsoft.com/office/drawing/2014/main" id="{F788B3FE-47B6-4343-B6F0-326A0AEF330E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566" name="AutoShape 1">
          <a:extLst>
            <a:ext uri="{FF2B5EF4-FFF2-40B4-BE49-F238E27FC236}">
              <a16:creationId xmlns:a16="http://schemas.microsoft.com/office/drawing/2014/main" id="{780AAB8B-4724-4D78-9E79-3083711EDC3C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567" name="AutoShape 1">
          <a:extLst>
            <a:ext uri="{FF2B5EF4-FFF2-40B4-BE49-F238E27FC236}">
              <a16:creationId xmlns:a16="http://schemas.microsoft.com/office/drawing/2014/main" id="{877F3EC6-0123-43BA-A99F-7E576EA3E35C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568" name="AutoShape 1">
          <a:extLst>
            <a:ext uri="{FF2B5EF4-FFF2-40B4-BE49-F238E27FC236}">
              <a16:creationId xmlns:a16="http://schemas.microsoft.com/office/drawing/2014/main" id="{269633CD-68C3-4E87-91FF-B07ADF620994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569" name="AutoShape 1">
          <a:extLst>
            <a:ext uri="{FF2B5EF4-FFF2-40B4-BE49-F238E27FC236}">
              <a16:creationId xmlns:a16="http://schemas.microsoft.com/office/drawing/2014/main" id="{69DC82C3-D491-4026-B286-291D7B177AC1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570" name="AutoShape 1">
          <a:extLst>
            <a:ext uri="{FF2B5EF4-FFF2-40B4-BE49-F238E27FC236}">
              <a16:creationId xmlns:a16="http://schemas.microsoft.com/office/drawing/2014/main" id="{B3BA8EAB-9A94-4A96-82B6-705F0B1C5151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571" name="AutoShape 1">
          <a:extLst>
            <a:ext uri="{FF2B5EF4-FFF2-40B4-BE49-F238E27FC236}">
              <a16:creationId xmlns:a16="http://schemas.microsoft.com/office/drawing/2014/main" id="{F6F39140-1E1B-4933-8399-AC882A133E53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572" name="AutoShape 1">
          <a:extLst>
            <a:ext uri="{FF2B5EF4-FFF2-40B4-BE49-F238E27FC236}">
              <a16:creationId xmlns:a16="http://schemas.microsoft.com/office/drawing/2014/main" id="{8EF03F05-91CD-41EE-87D0-144C563F43F0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573" name="AutoShape 1">
          <a:extLst>
            <a:ext uri="{FF2B5EF4-FFF2-40B4-BE49-F238E27FC236}">
              <a16:creationId xmlns:a16="http://schemas.microsoft.com/office/drawing/2014/main" id="{A73F9A13-B673-4DDC-B97F-C1C3D368BDF1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574" name="AutoShape 1">
          <a:extLst>
            <a:ext uri="{FF2B5EF4-FFF2-40B4-BE49-F238E27FC236}">
              <a16:creationId xmlns:a16="http://schemas.microsoft.com/office/drawing/2014/main" id="{E726715D-C8F6-44C4-AA70-D8B921205C29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575" name="AutoShape 1">
          <a:extLst>
            <a:ext uri="{FF2B5EF4-FFF2-40B4-BE49-F238E27FC236}">
              <a16:creationId xmlns:a16="http://schemas.microsoft.com/office/drawing/2014/main" id="{35AC3777-F250-48E0-8D1B-E3890BC81DAE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576" name="AutoShape 1">
          <a:extLst>
            <a:ext uri="{FF2B5EF4-FFF2-40B4-BE49-F238E27FC236}">
              <a16:creationId xmlns:a16="http://schemas.microsoft.com/office/drawing/2014/main" id="{5132025D-0AF3-40B2-A365-67C9043C71FC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577" name="AutoShape 1">
          <a:extLst>
            <a:ext uri="{FF2B5EF4-FFF2-40B4-BE49-F238E27FC236}">
              <a16:creationId xmlns:a16="http://schemas.microsoft.com/office/drawing/2014/main" id="{B53AEB00-1AD4-4AC6-B4C2-3B436B01FFDA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578" name="AutoShape 1">
          <a:extLst>
            <a:ext uri="{FF2B5EF4-FFF2-40B4-BE49-F238E27FC236}">
              <a16:creationId xmlns:a16="http://schemas.microsoft.com/office/drawing/2014/main" id="{06FAC2D2-4C20-4686-A9FF-313A8886F46B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579" name="AutoShape 1">
          <a:extLst>
            <a:ext uri="{FF2B5EF4-FFF2-40B4-BE49-F238E27FC236}">
              <a16:creationId xmlns:a16="http://schemas.microsoft.com/office/drawing/2014/main" id="{99A52D0D-7D57-48B1-862A-DE31985269D0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580" name="AutoShape 1">
          <a:extLst>
            <a:ext uri="{FF2B5EF4-FFF2-40B4-BE49-F238E27FC236}">
              <a16:creationId xmlns:a16="http://schemas.microsoft.com/office/drawing/2014/main" id="{8E69D555-1955-402E-BAD2-ABCA145C7659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581" name="AutoShape 1">
          <a:extLst>
            <a:ext uri="{FF2B5EF4-FFF2-40B4-BE49-F238E27FC236}">
              <a16:creationId xmlns:a16="http://schemas.microsoft.com/office/drawing/2014/main" id="{0DAD281E-167C-4C0B-BF7A-BEBF6C1A7137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582" name="AutoShape 1">
          <a:extLst>
            <a:ext uri="{FF2B5EF4-FFF2-40B4-BE49-F238E27FC236}">
              <a16:creationId xmlns:a16="http://schemas.microsoft.com/office/drawing/2014/main" id="{84868910-3D3D-4C60-8A5E-0D25E1D3AA71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583" name="AutoShape 1">
          <a:extLst>
            <a:ext uri="{FF2B5EF4-FFF2-40B4-BE49-F238E27FC236}">
              <a16:creationId xmlns:a16="http://schemas.microsoft.com/office/drawing/2014/main" id="{BFD90659-B191-4B3D-BB31-5D9843EA11C1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584" name="AutoShape 1">
          <a:extLst>
            <a:ext uri="{FF2B5EF4-FFF2-40B4-BE49-F238E27FC236}">
              <a16:creationId xmlns:a16="http://schemas.microsoft.com/office/drawing/2014/main" id="{68EAA037-B224-4681-A862-8CBAA39551E0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585" name="AutoShape 1">
          <a:extLst>
            <a:ext uri="{FF2B5EF4-FFF2-40B4-BE49-F238E27FC236}">
              <a16:creationId xmlns:a16="http://schemas.microsoft.com/office/drawing/2014/main" id="{AF0B002F-399D-4A17-9B0A-7DE134A46EA4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586" name="AutoShape 1">
          <a:extLst>
            <a:ext uri="{FF2B5EF4-FFF2-40B4-BE49-F238E27FC236}">
              <a16:creationId xmlns:a16="http://schemas.microsoft.com/office/drawing/2014/main" id="{AADF14DB-0053-46A3-8DCA-210C2695BEAE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587" name="AutoShape 1">
          <a:extLst>
            <a:ext uri="{FF2B5EF4-FFF2-40B4-BE49-F238E27FC236}">
              <a16:creationId xmlns:a16="http://schemas.microsoft.com/office/drawing/2014/main" id="{9BEF3B3C-23B3-4E33-B189-BFB106AA286C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588" name="AutoShape 1">
          <a:extLst>
            <a:ext uri="{FF2B5EF4-FFF2-40B4-BE49-F238E27FC236}">
              <a16:creationId xmlns:a16="http://schemas.microsoft.com/office/drawing/2014/main" id="{EC22A679-E99A-4664-9602-779AB5ED3E4C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589" name="AutoShape 1">
          <a:extLst>
            <a:ext uri="{FF2B5EF4-FFF2-40B4-BE49-F238E27FC236}">
              <a16:creationId xmlns:a16="http://schemas.microsoft.com/office/drawing/2014/main" id="{0E048F8C-182B-4E4C-84F4-1DAA12569FFB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590" name="AutoShape 1">
          <a:extLst>
            <a:ext uri="{FF2B5EF4-FFF2-40B4-BE49-F238E27FC236}">
              <a16:creationId xmlns:a16="http://schemas.microsoft.com/office/drawing/2014/main" id="{DF15CCA2-8720-4AE0-9431-8A53FB16A7F4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591" name="AutoShape 1">
          <a:extLst>
            <a:ext uri="{FF2B5EF4-FFF2-40B4-BE49-F238E27FC236}">
              <a16:creationId xmlns:a16="http://schemas.microsoft.com/office/drawing/2014/main" id="{B667DAC8-D684-495C-82D0-909C57D825A4}"/>
            </a:ext>
            <a:ext uri="{147F2762-F138-4A5C-976F-8EAC2B608ADB}">
              <a16:predDERef xmlns:a16="http://schemas.microsoft.com/office/drawing/2014/main" pred="{A9C9C4DB-4B97-447C-9099-E87BCB3C537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592" name="AutoShape 1">
          <a:extLst>
            <a:ext uri="{FF2B5EF4-FFF2-40B4-BE49-F238E27FC236}">
              <a16:creationId xmlns:a16="http://schemas.microsoft.com/office/drawing/2014/main" id="{66E75836-4DAC-439E-8C24-2E620FAD2CF5}"/>
            </a:ext>
            <a:ext uri="{147F2762-F138-4A5C-976F-8EAC2B608ADB}">
              <a16:predDERef xmlns:a16="http://schemas.microsoft.com/office/drawing/2014/main" pred="{CD89554D-BD76-42AD-819A-278AD445B86E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593" name="AutoShape 1">
          <a:extLst>
            <a:ext uri="{FF2B5EF4-FFF2-40B4-BE49-F238E27FC236}">
              <a16:creationId xmlns:a16="http://schemas.microsoft.com/office/drawing/2014/main" id="{A58DD3A1-FB6B-4052-95C2-3C77B58ED327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594" name="AutoShape 1">
          <a:extLst>
            <a:ext uri="{FF2B5EF4-FFF2-40B4-BE49-F238E27FC236}">
              <a16:creationId xmlns:a16="http://schemas.microsoft.com/office/drawing/2014/main" id="{94D9E1EC-584B-4DDF-88B9-A0856AD2E1BA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595" name="AutoShape 1">
          <a:extLst>
            <a:ext uri="{FF2B5EF4-FFF2-40B4-BE49-F238E27FC236}">
              <a16:creationId xmlns:a16="http://schemas.microsoft.com/office/drawing/2014/main" id="{B4B9DDC2-74C9-44B0-ADD8-08742F3689F6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596" name="AutoShape 1">
          <a:extLst>
            <a:ext uri="{FF2B5EF4-FFF2-40B4-BE49-F238E27FC236}">
              <a16:creationId xmlns:a16="http://schemas.microsoft.com/office/drawing/2014/main" id="{D507E243-1CD1-4715-8467-52288DA29D07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597" name="AutoShape 1">
          <a:extLst>
            <a:ext uri="{FF2B5EF4-FFF2-40B4-BE49-F238E27FC236}">
              <a16:creationId xmlns:a16="http://schemas.microsoft.com/office/drawing/2014/main" id="{7C871D93-293E-4E3C-A3EF-2AA9CEFC9AD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598" name="AutoShape 1">
          <a:extLst>
            <a:ext uri="{FF2B5EF4-FFF2-40B4-BE49-F238E27FC236}">
              <a16:creationId xmlns:a16="http://schemas.microsoft.com/office/drawing/2014/main" id="{67EB8978-B43F-4D2A-B72D-657C251EB46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599" name="AutoShape 1">
          <a:extLst>
            <a:ext uri="{FF2B5EF4-FFF2-40B4-BE49-F238E27FC236}">
              <a16:creationId xmlns:a16="http://schemas.microsoft.com/office/drawing/2014/main" id="{8AB08E71-F99C-4A2C-B5FA-22F6BECDF431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600" name="AutoShape 1">
          <a:extLst>
            <a:ext uri="{FF2B5EF4-FFF2-40B4-BE49-F238E27FC236}">
              <a16:creationId xmlns:a16="http://schemas.microsoft.com/office/drawing/2014/main" id="{9D50A203-528A-449A-8849-F1A959354AEE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601" name="AutoShape 1">
          <a:extLst>
            <a:ext uri="{FF2B5EF4-FFF2-40B4-BE49-F238E27FC236}">
              <a16:creationId xmlns:a16="http://schemas.microsoft.com/office/drawing/2014/main" id="{39E3925F-6C8D-4DDC-99E1-23CE854FD81A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602" name="AutoShape 1">
          <a:extLst>
            <a:ext uri="{FF2B5EF4-FFF2-40B4-BE49-F238E27FC236}">
              <a16:creationId xmlns:a16="http://schemas.microsoft.com/office/drawing/2014/main" id="{FC11FACD-FB95-4B01-BFD7-8DC49CC68283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603" name="AutoShape 1">
          <a:extLst>
            <a:ext uri="{FF2B5EF4-FFF2-40B4-BE49-F238E27FC236}">
              <a16:creationId xmlns:a16="http://schemas.microsoft.com/office/drawing/2014/main" id="{5F51EF7B-54E7-4C60-AA11-7F1CE602A99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604" name="AutoShape 1">
          <a:extLst>
            <a:ext uri="{FF2B5EF4-FFF2-40B4-BE49-F238E27FC236}">
              <a16:creationId xmlns:a16="http://schemas.microsoft.com/office/drawing/2014/main" id="{F5DFBFA9-BB10-45F6-AE4B-E9BF95E80204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605" name="AutoShape 1">
          <a:extLst>
            <a:ext uri="{FF2B5EF4-FFF2-40B4-BE49-F238E27FC236}">
              <a16:creationId xmlns:a16="http://schemas.microsoft.com/office/drawing/2014/main" id="{6CE2E6FC-5348-4C3F-B3C8-CFAF502CA7C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606" name="AutoShape 1">
          <a:extLst>
            <a:ext uri="{FF2B5EF4-FFF2-40B4-BE49-F238E27FC236}">
              <a16:creationId xmlns:a16="http://schemas.microsoft.com/office/drawing/2014/main" id="{D73AA2F4-CFA9-4E21-AEDD-490016A51D87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607" name="AutoShape 1">
          <a:extLst>
            <a:ext uri="{FF2B5EF4-FFF2-40B4-BE49-F238E27FC236}">
              <a16:creationId xmlns:a16="http://schemas.microsoft.com/office/drawing/2014/main" id="{D8D1E831-F50F-45CD-B8DA-74A6F8760BB9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608" name="AutoShape 1">
          <a:extLst>
            <a:ext uri="{FF2B5EF4-FFF2-40B4-BE49-F238E27FC236}">
              <a16:creationId xmlns:a16="http://schemas.microsoft.com/office/drawing/2014/main" id="{FFD7ECE8-B4B8-4B30-8E14-E87E343E7DCB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609" name="AutoShape 1">
          <a:extLst>
            <a:ext uri="{FF2B5EF4-FFF2-40B4-BE49-F238E27FC236}">
              <a16:creationId xmlns:a16="http://schemas.microsoft.com/office/drawing/2014/main" id="{04E6F4FC-B155-42EA-BB3F-353D89FDDD80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610" name="AutoShape 1">
          <a:extLst>
            <a:ext uri="{FF2B5EF4-FFF2-40B4-BE49-F238E27FC236}">
              <a16:creationId xmlns:a16="http://schemas.microsoft.com/office/drawing/2014/main" id="{CB13B326-216B-42A6-A9E0-A0842FF59113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611" name="AutoShape 1">
          <a:extLst>
            <a:ext uri="{FF2B5EF4-FFF2-40B4-BE49-F238E27FC236}">
              <a16:creationId xmlns:a16="http://schemas.microsoft.com/office/drawing/2014/main" id="{8407FD4C-B6B7-4545-91CC-F56D40D36149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612" name="AutoShape 1">
          <a:extLst>
            <a:ext uri="{FF2B5EF4-FFF2-40B4-BE49-F238E27FC236}">
              <a16:creationId xmlns:a16="http://schemas.microsoft.com/office/drawing/2014/main" id="{FC56D5F4-FA57-42DF-8013-0D59CCC604CC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613" name="AutoShape 1">
          <a:extLst>
            <a:ext uri="{FF2B5EF4-FFF2-40B4-BE49-F238E27FC236}">
              <a16:creationId xmlns:a16="http://schemas.microsoft.com/office/drawing/2014/main" id="{1D1E24E4-3D06-4670-B89B-B9A1ACC7632B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614" name="AutoShape 1">
          <a:extLst>
            <a:ext uri="{FF2B5EF4-FFF2-40B4-BE49-F238E27FC236}">
              <a16:creationId xmlns:a16="http://schemas.microsoft.com/office/drawing/2014/main" id="{4E532128-57D1-4EAC-A232-D5CEB403F3A4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615" name="AutoShape 1">
          <a:extLst>
            <a:ext uri="{FF2B5EF4-FFF2-40B4-BE49-F238E27FC236}">
              <a16:creationId xmlns:a16="http://schemas.microsoft.com/office/drawing/2014/main" id="{470A8A95-4A25-41A7-B491-920BE2B0C508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616" name="AutoShape 1">
          <a:extLst>
            <a:ext uri="{FF2B5EF4-FFF2-40B4-BE49-F238E27FC236}">
              <a16:creationId xmlns:a16="http://schemas.microsoft.com/office/drawing/2014/main" id="{A907BC6B-410B-4358-B15B-0A897CC4B412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617" name="AutoShape 1">
          <a:extLst>
            <a:ext uri="{FF2B5EF4-FFF2-40B4-BE49-F238E27FC236}">
              <a16:creationId xmlns:a16="http://schemas.microsoft.com/office/drawing/2014/main" id="{F2B96742-573B-4110-AC18-0C7CA355E57F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618" name="AutoShape 1">
          <a:extLst>
            <a:ext uri="{FF2B5EF4-FFF2-40B4-BE49-F238E27FC236}">
              <a16:creationId xmlns:a16="http://schemas.microsoft.com/office/drawing/2014/main" id="{0F5F6249-B1C0-4A2B-BF8E-C97DA07DF858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619" name="AutoShape 1">
          <a:extLst>
            <a:ext uri="{FF2B5EF4-FFF2-40B4-BE49-F238E27FC236}">
              <a16:creationId xmlns:a16="http://schemas.microsoft.com/office/drawing/2014/main" id="{01317F19-6EC1-41B9-8B53-DCAA0C113526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620" name="AutoShape 1">
          <a:extLst>
            <a:ext uri="{FF2B5EF4-FFF2-40B4-BE49-F238E27FC236}">
              <a16:creationId xmlns:a16="http://schemas.microsoft.com/office/drawing/2014/main" id="{65B833C8-6960-490C-97D5-4EB7D2E1AE97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621" name="AutoShape 1">
          <a:extLst>
            <a:ext uri="{FF2B5EF4-FFF2-40B4-BE49-F238E27FC236}">
              <a16:creationId xmlns:a16="http://schemas.microsoft.com/office/drawing/2014/main" id="{4CDFC676-853A-4ADB-B469-1D494D700598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622" name="AutoShape 1">
          <a:extLst>
            <a:ext uri="{FF2B5EF4-FFF2-40B4-BE49-F238E27FC236}">
              <a16:creationId xmlns:a16="http://schemas.microsoft.com/office/drawing/2014/main" id="{57D858A0-6067-44B0-BECD-5EC441F228DF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623" name="AutoShape 1">
          <a:extLst>
            <a:ext uri="{FF2B5EF4-FFF2-40B4-BE49-F238E27FC236}">
              <a16:creationId xmlns:a16="http://schemas.microsoft.com/office/drawing/2014/main" id="{957C8E92-8B55-49E2-91BA-78D6FBB92DF8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624" name="AutoShape 1">
          <a:extLst>
            <a:ext uri="{FF2B5EF4-FFF2-40B4-BE49-F238E27FC236}">
              <a16:creationId xmlns:a16="http://schemas.microsoft.com/office/drawing/2014/main" id="{B8D91C63-CAB7-443F-9B31-62973C0A4372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625" name="AutoShape 1">
          <a:extLst>
            <a:ext uri="{FF2B5EF4-FFF2-40B4-BE49-F238E27FC236}">
              <a16:creationId xmlns:a16="http://schemas.microsoft.com/office/drawing/2014/main" id="{605F48B3-9187-4FA4-9AD3-E469B2847018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626" name="AutoShape 1">
          <a:extLst>
            <a:ext uri="{FF2B5EF4-FFF2-40B4-BE49-F238E27FC236}">
              <a16:creationId xmlns:a16="http://schemas.microsoft.com/office/drawing/2014/main" id="{2CD47C47-95F8-4877-B7A2-D09FB320F116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627" name="AutoShape 1">
          <a:extLst>
            <a:ext uri="{FF2B5EF4-FFF2-40B4-BE49-F238E27FC236}">
              <a16:creationId xmlns:a16="http://schemas.microsoft.com/office/drawing/2014/main" id="{5ED837D6-04DB-4682-A2A0-58CD810FCE12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628" name="AutoShape 1">
          <a:extLst>
            <a:ext uri="{FF2B5EF4-FFF2-40B4-BE49-F238E27FC236}">
              <a16:creationId xmlns:a16="http://schemas.microsoft.com/office/drawing/2014/main" id="{C2F21575-CBD4-465F-9AE3-13476F6D4951}"/>
            </a:ext>
            <a:ext uri="{147F2762-F138-4A5C-976F-8EAC2B608ADB}">
              <a16:predDERef xmlns:a16="http://schemas.microsoft.com/office/drawing/2014/main" pred="{A9C9C4DB-4B97-447C-9099-E87BCB3C537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629" name="AutoShape 1">
          <a:extLst>
            <a:ext uri="{FF2B5EF4-FFF2-40B4-BE49-F238E27FC236}">
              <a16:creationId xmlns:a16="http://schemas.microsoft.com/office/drawing/2014/main" id="{C00BE046-A93D-46B5-8974-C495FE9016D2}"/>
            </a:ext>
            <a:ext uri="{147F2762-F138-4A5C-976F-8EAC2B608ADB}">
              <a16:predDERef xmlns:a16="http://schemas.microsoft.com/office/drawing/2014/main" pred="{CD89554D-BD76-42AD-819A-278AD445B86E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630" name="AutoShape 1">
          <a:extLst>
            <a:ext uri="{FF2B5EF4-FFF2-40B4-BE49-F238E27FC236}">
              <a16:creationId xmlns:a16="http://schemas.microsoft.com/office/drawing/2014/main" id="{EE8B65F9-DC0C-43CF-9891-EDE9A8FD2C01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631" name="AutoShape 1">
          <a:extLst>
            <a:ext uri="{FF2B5EF4-FFF2-40B4-BE49-F238E27FC236}">
              <a16:creationId xmlns:a16="http://schemas.microsoft.com/office/drawing/2014/main" id="{A0B3B6DB-1794-40E4-AD02-7AB45C034CE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632" name="AutoShape 1">
          <a:extLst>
            <a:ext uri="{FF2B5EF4-FFF2-40B4-BE49-F238E27FC236}">
              <a16:creationId xmlns:a16="http://schemas.microsoft.com/office/drawing/2014/main" id="{F4238ED2-180F-4A0D-9E51-E6565F6699D4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633" name="AutoShape 1">
          <a:extLst>
            <a:ext uri="{FF2B5EF4-FFF2-40B4-BE49-F238E27FC236}">
              <a16:creationId xmlns:a16="http://schemas.microsoft.com/office/drawing/2014/main" id="{6A0087C9-4C07-4C79-AC4B-E4115C333F9C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634" name="AutoShape 1">
          <a:extLst>
            <a:ext uri="{FF2B5EF4-FFF2-40B4-BE49-F238E27FC236}">
              <a16:creationId xmlns:a16="http://schemas.microsoft.com/office/drawing/2014/main" id="{D50EDB40-0318-4F48-84B4-6E525A8BBAC3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635" name="AutoShape 1">
          <a:extLst>
            <a:ext uri="{FF2B5EF4-FFF2-40B4-BE49-F238E27FC236}">
              <a16:creationId xmlns:a16="http://schemas.microsoft.com/office/drawing/2014/main" id="{AC525E3E-9AB0-44A5-A4CC-4E5C2BAEBCFA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636" name="AutoShape 1">
          <a:extLst>
            <a:ext uri="{FF2B5EF4-FFF2-40B4-BE49-F238E27FC236}">
              <a16:creationId xmlns:a16="http://schemas.microsoft.com/office/drawing/2014/main" id="{DBB6ED71-359C-466C-B10D-C39EF10DCCA3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637" name="AutoShape 1">
          <a:extLst>
            <a:ext uri="{FF2B5EF4-FFF2-40B4-BE49-F238E27FC236}">
              <a16:creationId xmlns:a16="http://schemas.microsoft.com/office/drawing/2014/main" id="{F1549162-A4D1-4E57-811E-C884FE10D7BE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638" name="AutoShape 1">
          <a:extLst>
            <a:ext uri="{FF2B5EF4-FFF2-40B4-BE49-F238E27FC236}">
              <a16:creationId xmlns:a16="http://schemas.microsoft.com/office/drawing/2014/main" id="{D0CACAD8-6C32-45B2-BEA6-8A5818395E59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639" name="AutoShape 1">
          <a:extLst>
            <a:ext uri="{FF2B5EF4-FFF2-40B4-BE49-F238E27FC236}">
              <a16:creationId xmlns:a16="http://schemas.microsoft.com/office/drawing/2014/main" id="{726AE31C-05F0-47BA-B345-25454A61109B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640" name="AutoShape 1">
          <a:extLst>
            <a:ext uri="{FF2B5EF4-FFF2-40B4-BE49-F238E27FC236}">
              <a16:creationId xmlns:a16="http://schemas.microsoft.com/office/drawing/2014/main" id="{22D8A810-2AF0-44F9-8660-EE9FC551A273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641" name="AutoShape 1">
          <a:extLst>
            <a:ext uri="{FF2B5EF4-FFF2-40B4-BE49-F238E27FC236}">
              <a16:creationId xmlns:a16="http://schemas.microsoft.com/office/drawing/2014/main" id="{9FF223AD-9DEF-482F-B599-2E4EAE1D1C9B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642" name="AutoShape 1">
          <a:extLst>
            <a:ext uri="{FF2B5EF4-FFF2-40B4-BE49-F238E27FC236}">
              <a16:creationId xmlns:a16="http://schemas.microsoft.com/office/drawing/2014/main" id="{581DF0AE-E720-4695-B7FD-9A22E76AD6EC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643" name="AutoShape 1">
          <a:extLst>
            <a:ext uri="{FF2B5EF4-FFF2-40B4-BE49-F238E27FC236}">
              <a16:creationId xmlns:a16="http://schemas.microsoft.com/office/drawing/2014/main" id="{03ECB6E5-B69E-48C8-99D1-094A21D130C3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644" name="AutoShape 1">
          <a:extLst>
            <a:ext uri="{FF2B5EF4-FFF2-40B4-BE49-F238E27FC236}">
              <a16:creationId xmlns:a16="http://schemas.microsoft.com/office/drawing/2014/main" id="{D980A271-4364-45A9-A4F1-87A7EE55E66E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645" name="AutoShape 1">
          <a:extLst>
            <a:ext uri="{FF2B5EF4-FFF2-40B4-BE49-F238E27FC236}">
              <a16:creationId xmlns:a16="http://schemas.microsoft.com/office/drawing/2014/main" id="{79C062F6-A33E-4607-877A-A879D7F33B89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646" name="AutoShape 1">
          <a:extLst>
            <a:ext uri="{FF2B5EF4-FFF2-40B4-BE49-F238E27FC236}">
              <a16:creationId xmlns:a16="http://schemas.microsoft.com/office/drawing/2014/main" id="{382F5EB3-AE8C-4F22-B4F8-1843F17BE5DD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647" name="AutoShape 1">
          <a:extLst>
            <a:ext uri="{FF2B5EF4-FFF2-40B4-BE49-F238E27FC236}">
              <a16:creationId xmlns:a16="http://schemas.microsoft.com/office/drawing/2014/main" id="{F7D11C79-2B5D-4E88-BE8B-B0432B277041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648" name="AutoShape 1">
          <a:extLst>
            <a:ext uri="{FF2B5EF4-FFF2-40B4-BE49-F238E27FC236}">
              <a16:creationId xmlns:a16="http://schemas.microsoft.com/office/drawing/2014/main" id="{2F6ACBC3-24F7-4043-9097-D0F2A597D2DD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649" name="AutoShape 1">
          <a:extLst>
            <a:ext uri="{FF2B5EF4-FFF2-40B4-BE49-F238E27FC236}">
              <a16:creationId xmlns:a16="http://schemas.microsoft.com/office/drawing/2014/main" id="{1B174480-D94F-4B8E-B2CC-73AA540869A5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650" name="AutoShape 1">
          <a:extLst>
            <a:ext uri="{FF2B5EF4-FFF2-40B4-BE49-F238E27FC236}">
              <a16:creationId xmlns:a16="http://schemas.microsoft.com/office/drawing/2014/main" id="{18ABF7A9-ED4A-44C2-A229-721027E787AF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651" name="AutoShape 1">
          <a:extLst>
            <a:ext uri="{FF2B5EF4-FFF2-40B4-BE49-F238E27FC236}">
              <a16:creationId xmlns:a16="http://schemas.microsoft.com/office/drawing/2014/main" id="{AE8ED70B-539B-4298-BCC7-8D9C76340572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652" name="AutoShape 1">
          <a:extLst>
            <a:ext uri="{FF2B5EF4-FFF2-40B4-BE49-F238E27FC236}">
              <a16:creationId xmlns:a16="http://schemas.microsoft.com/office/drawing/2014/main" id="{A5639D9F-363F-4240-B0CD-888399B31AB4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653" name="AutoShape 1">
          <a:extLst>
            <a:ext uri="{FF2B5EF4-FFF2-40B4-BE49-F238E27FC236}">
              <a16:creationId xmlns:a16="http://schemas.microsoft.com/office/drawing/2014/main" id="{14B55C9B-462C-40F7-A170-6FE3813876F5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654" name="AutoShape 1">
          <a:extLst>
            <a:ext uri="{FF2B5EF4-FFF2-40B4-BE49-F238E27FC236}">
              <a16:creationId xmlns:a16="http://schemas.microsoft.com/office/drawing/2014/main" id="{588797BE-52B7-4622-B8C1-4F9F727383E7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655" name="AutoShape 1">
          <a:extLst>
            <a:ext uri="{FF2B5EF4-FFF2-40B4-BE49-F238E27FC236}">
              <a16:creationId xmlns:a16="http://schemas.microsoft.com/office/drawing/2014/main" id="{191585F4-80B6-40A0-9DCC-EE46870FE82F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656" name="AutoShape 1">
          <a:extLst>
            <a:ext uri="{FF2B5EF4-FFF2-40B4-BE49-F238E27FC236}">
              <a16:creationId xmlns:a16="http://schemas.microsoft.com/office/drawing/2014/main" id="{62E4409C-2E10-4919-9C61-DF57D40B5BF1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657" name="AutoShape 1">
          <a:extLst>
            <a:ext uri="{FF2B5EF4-FFF2-40B4-BE49-F238E27FC236}">
              <a16:creationId xmlns:a16="http://schemas.microsoft.com/office/drawing/2014/main" id="{44E807D3-6D56-484D-B1CA-05F55260D429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658" name="AutoShape 1">
          <a:extLst>
            <a:ext uri="{FF2B5EF4-FFF2-40B4-BE49-F238E27FC236}">
              <a16:creationId xmlns:a16="http://schemas.microsoft.com/office/drawing/2014/main" id="{547A0757-3932-4277-A023-A97D488740B3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659" name="AutoShape 1">
          <a:extLst>
            <a:ext uri="{FF2B5EF4-FFF2-40B4-BE49-F238E27FC236}">
              <a16:creationId xmlns:a16="http://schemas.microsoft.com/office/drawing/2014/main" id="{24E28580-0B67-4090-8235-48CE3697B601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660" name="AutoShape 1">
          <a:extLst>
            <a:ext uri="{FF2B5EF4-FFF2-40B4-BE49-F238E27FC236}">
              <a16:creationId xmlns:a16="http://schemas.microsoft.com/office/drawing/2014/main" id="{1E173035-0C6A-4729-904C-C07A891200F2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661" name="AutoShape 1">
          <a:extLst>
            <a:ext uri="{FF2B5EF4-FFF2-40B4-BE49-F238E27FC236}">
              <a16:creationId xmlns:a16="http://schemas.microsoft.com/office/drawing/2014/main" id="{BC2251BC-3B57-480A-8A25-09D4A33C9A3D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662" name="AutoShape 1">
          <a:extLst>
            <a:ext uri="{FF2B5EF4-FFF2-40B4-BE49-F238E27FC236}">
              <a16:creationId xmlns:a16="http://schemas.microsoft.com/office/drawing/2014/main" id="{2C8EC54B-C398-4433-A8BC-F5938BF6A227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663" name="AutoShape 1">
          <a:extLst>
            <a:ext uri="{FF2B5EF4-FFF2-40B4-BE49-F238E27FC236}">
              <a16:creationId xmlns:a16="http://schemas.microsoft.com/office/drawing/2014/main" id="{29D4F99F-FF37-4960-826C-083561508E00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664" name="AutoShape 1">
          <a:extLst>
            <a:ext uri="{FF2B5EF4-FFF2-40B4-BE49-F238E27FC236}">
              <a16:creationId xmlns:a16="http://schemas.microsoft.com/office/drawing/2014/main" id="{5ECA98AB-160D-4154-87EF-DC1BAD2989B3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665" name="AutoShape 1">
          <a:extLst>
            <a:ext uri="{FF2B5EF4-FFF2-40B4-BE49-F238E27FC236}">
              <a16:creationId xmlns:a16="http://schemas.microsoft.com/office/drawing/2014/main" id="{AD755699-9894-41AB-8615-88355BCDB85A}"/>
            </a:ext>
            <a:ext uri="{147F2762-F138-4A5C-976F-8EAC2B608ADB}">
              <a16:predDERef xmlns:a16="http://schemas.microsoft.com/office/drawing/2014/main" pred="{A9C9C4DB-4B97-447C-9099-E87BCB3C537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666" name="AutoShape 1">
          <a:extLst>
            <a:ext uri="{FF2B5EF4-FFF2-40B4-BE49-F238E27FC236}">
              <a16:creationId xmlns:a16="http://schemas.microsoft.com/office/drawing/2014/main" id="{4069A204-29BE-46D8-97B6-D1B69B0A4ACB}"/>
            </a:ext>
            <a:ext uri="{147F2762-F138-4A5C-976F-8EAC2B608ADB}">
              <a16:predDERef xmlns:a16="http://schemas.microsoft.com/office/drawing/2014/main" pred="{CD89554D-BD76-42AD-819A-278AD445B86E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667" name="AutoShape 1">
          <a:extLst>
            <a:ext uri="{FF2B5EF4-FFF2-40B4-BE49-F238E27FC236}">
              <a16:creationId xmlns:a16="http://schemas.microsoft.com/office/drawing/2014/main" id="{DB5A05E4-88C3-4AF5-AD21-FF0E9F499143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668" name="AutoShape 1">
          <a:extLst>
            <a:ext uri="{FF2B5EF4-FFF2-40B4-BE49-F238E27FC236}">
              <a16:creationId xmlns:a16="http://schemas.microsoft.com/office/drawing/2014/main" id="{675EC6C2-0D4C-4CA9-A613-D5B2A40FE18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669" name="AutoShape 1">
          <a:extLst>
            <a:ext uri="{FF2B5EF4-FFF2-40B4-BE49-F238E27FC236}">
              <a16:creationId xmlns:a16="http://schemas.microsoft.com/office/drawing/2014/main" id="{E0BB55A2-374E-4AAF-9F7C-E356BD73F237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670" name="AutoShape 1">
          <a:extLst>
            <a:ext uri="{FF2B5EF4-FFF2-40B4-BE49-F238E27FC236}">
              <a16:creationId xmlns:a16="http://schemas.microsoft.com/office/drawing/2014/main" id="{7355BB8E-101A-4313-A530-4119FA4F6B17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671" name="AutoShape 1">
          <a:extLst>
            <a:ext uri="{FF2B5EF4-FFF2-40B4-BE49-F238E27FC236}">
              <a16:creationId xmlns:a16="http://schemas.microsoft.com/office/drawing/2014/main" id="{E16EF44F-D94F-4366-9BE7-FD1277B76E4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672" name="AutoShape 1">
          <a:extLst>
            <a:ext uri="{FF2B5EF4-FFF2-40B4-BE49-F238E27FC236}">
              <a16:creationId xmlns:a16="http://schemas.microsoft.com/office/drawing/2014/main" id="{4BDAC4DE-D9C6-48AA-A43D-5DDFB2AD30B3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673" name="AutoShape 1">
          <a:extLst>
            <a:ext uri="{FF2B5EF4-FFF2-40B4-BE49-F238E27FC236}">
              <a16:creationId xmlns:a16="http://schemas.microsoft.com/office/drawing/2014/main" id="{3E22A56F-87BE-4E83-886E-2AEAB24102F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674" name="AutoShape 1">
          <a:extLst>
            <a:ext uri="{FF2B5EF4-FFF2-40B4-BE49-F238E27FC236}">
              <a16:creationId xmlns:a16="http://schemas.microsoft.com/office/drawing/2014/main" id="{319A82E3-EE74-4368-ADD2-3A4E289A0704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675" name="AutoShape 1">
          <a:extLst>
            <a:ext uri="{FF2B5EF4-FFF2-40B4-BE49-F238E27FC236}">
              <a16:creationId xmlns:a16="http://schemas.microsoft.com/office/drawing/2014/main" id="{DBB9F66B-67C8-4011-BB6D-C1204E2CE837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676" name="AutoShape 1">
          <a:extLst>
            <a:ext uri="{FF2B5EF4-FFF2-40B4-BE49-F238E27FC236}">
              <a16:creationId xmlns:a16="http://schemas.microsoft.com/office/drawing/2014/main" id="{5244FB50-4DB9-47C2-9322-E3D420979CC4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677" name="AutoShape 1">
          <a:extLst>
            <a:ext uri="{FF2B5EF4-FFF2-40B4-BE49-F238E27FC236}">
              <a16:creationId xmlns:a16="http://schemas.microsoft.com/office/drawing/2014/main" id="{F3FB696B-B79C-432B-8107-2BB182D6CBA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678" name="AutoShape 1">
          <a:extLst>
            <a:ext uri="{FF2B5EF4-FFF2-40B4-BE49-F238E27FC236}">
              <a16:creationId xmlns:a16="http://schemas.microsoft.com/office/drawing/2014/main" id="{2B3F0C1A-A96B-4E4E-B233-C8D358C0F0DF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679" name="AutoShape 1">
          <a:extLst>
            <a:ext uri="{FF2B5EF4-FFF2-40B4-BE49-F238E27FC236}">
              <a16:creationId xmlns:a16="http://schemas.microsoft.com/office/drawing/2014/main" id="{D909E802-2D01-4C17-BB36-2A388AEF7C13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680" name="AutoShape 1">
          <a:extLst>
            <a:ext uri="{FF2B5EF4-FFF2-40B4-BE49-F238E27FC236}">
              <a16:creationId xmlns:a16="http://schemas.microsoft.com/office/drawing/2014/main" id="{67078A75-5223-4CCF-AD83-296A1949425E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681" name="AutoShape 1">
          <a:extLst>
            <a:ext uri="{FF2B5EF4-FFF2-40B4-BE49-F238E27FC236}">
              <a16:creationId xmlns:a16="http://schemas.microsoft.com/office/drawing/2014/main" id="{1B5E9000-4C37-4D90-91D2-8D2F6C379ED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682" name="AutoShape 1">
          <a:extLst>
            <a:ext uri="{FF2B5EF4-FFF2-40B4-BE49-F238E27FC236}">
              <a16:creationId xmlns:a16="http://schemas.microsoft.com/office/drawing/2014/main" id="{5CDD6D89-AA1F-4ED4-8D28-F5D314766956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683" name="AutoShape 1">
          <a:extLst>
            <a:ext uri="{FF2B5EF4-FFF2-40B4-BE49-F238E27FC236}">
              <a16:creationId xmlns:a16="http://schemas.microsoft.com/office/drawing/2014/main" id="{24ECD494-EC27-4201-90AB-FF6F579BC71D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684" name="AutoShape 1">
          <a:extLst>
            <a:ext uri="{FF2B5EF4-FFF2-40B4-BE49-F238E27FC236}">
              <a16:creationId xmlns:a16="http://schemas.microsoft.com/office/drawing/2014/main" id="{71E3FD56-BD2F-4A06-96AF-9AB480F6F336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685" name="AutoShape 1">
          <a:extLst>
            <a:ext uri="{FF2B5EF4-FFF2-40B4-BE49-F238E27FC236}">
              <a16:creationId xmlns:a16="http://schemas.microsoft.com/office/drawing/2014/main" id="{4318E568-1328-4B13-A4DC-448AB2860C3B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686" name="AutoShape 1">
          <a:extLst>
            <a:ext uri="{FF2B5EF4-FFF2-40B4-BE49-F238E27FC236}">
              <a16:creationId xmlns:a16="http://schemas.microsoft.com/office/drawing/2014/main" id="{7F7D47CF-F973-4371-8F61-48E70C9F6D65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687" name="AutoShape 1">
          <a:extLst>
            <a:ext uri="{FF2B5EF4-FFF2-40B4-BE49-F238E27FC236}">
              <a16:creationId xmlns:a16="http://schemas.microsoft.com/office/drawing/2014/main" id="{B4ACDE7A-ADB4-46BF-BC52-D9D1CA56D4E0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688" name="AutoShape 1">
          <a:extLst>
            <a:ext uri="{FF2B5EF4-FFF2-40B4-BE49-F238E27FC236}">
              <a16:creationId xmlns:a16="http://schemas.microsoft.com/office/drawing/2014/main" id="{B57F4083-18E4-466F-BA25-CB5412E08BA2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689" name="AutoShape 1">
          <a:extLst>
            <a:ext uri="{FF2B5EF4-FFF2-40B4-BE49-F238E27FC236}">
              <a16:creationId xmlns:a16="http://schemas.microsoft.com/office/drawing/2014/main" id="{A3E1E90B-B5C8-42B7-9440-9CCB2C317CDD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690" name="AutoShape 1">
          <a:extLst>
            <a:ext uri="{FF2B5EF4-FFF2-40B4-BE49-F238E27FC236}">
              <a16:creationId xmlns:a16="http://schemas.microsoft.com/office/drawing/2014/main" id="{CA5C5784-2F31-4A35-BCE7-BD90B3C0E1A8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691" name="AutoShape 1">
          <a:extLst>
            <a:ext uri="{FF2B5EF4-FFF2-40B4-BE49-F238E27FC236}">
              <a16:creationId xmlns:a16="http://schemas.microsoft.com/office/drawing/2014/main" id="{876F4465-0D9E-4935-AC1B-4F6C4BF12255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692" name="AutoShape 1">
          <a:extLst>
            <a:ext uri="{FF2B5EF4-FFF2-40B4-BE49-F238E27FC236}">
              <a16:creationId xmlns:a16="http://schemas.microsoft.com/office/drawing/2014/main" id="{C651D4AF-114D-4870-8C26-981C7E016CBC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693" name="AutoShape 1">
          <a:extLst>
            <a:ext uri="{FF2B5EF4-FFF2-40B4-BE49-F238E27FC236}">
              <a16:creationId xmlns:a16="http://schemas.microsoft.com/office/drawing/2014/main" id="{736E867F-38A9-4456-883C-D3993F89B074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694" name="AutoShape 1">
          <a:extLst>
            <a:ext uri="{FF2B5EF4-FFF2-40B4-BE49-F238E27FC236}">
              <a16:creationId xmlns:a16="http://schemas.microsoft.com/office/drawing/2014/main" id="{1D076C00-8D62-46FB-A3C3-D3C6DF272625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695" name="AutoShape 1">
          <a:extLst>
            <a:ext uri="{FF2B5EF4-FFF2-40B4-BE49-F238E27FC236}">
              <a16:creationId xmlns:a16="http://schemas.microsoft.com/office/drawing/2014/main" id="{730067D6-E6B0-4044-9181-FECB4423DD14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696" name="AutoShape 1">
          <a:extLst>
            <a:ext uri="{FF2B5EF4-FFF2-40B4-BE49-F238E27FC236}">
              <a16:creationId xmlns:a16="http://schemas.microsoft.com/office/drawing/2014/main" id="{DE9BCD86-CEB3-46B0-A33C-C66B3601FCEA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697" name="AutoShape 1">
          <a:extLst>
            <a:ext uri="{FF2B5EF4-FFF2-40B4-BE49-F238E27FC236}">
              <a16:creationId xmlns:a16="http://schemas.microsoft.com/office/drawing/2014/main" id="{83D05551-9232-43C9-830A-66F8C600E9F6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698" name="AutoShape 1">
          <a:extLst>
            <a:ext uri="{FF2B5EF4-FFF2-40B4-BE49-F238E27FC236}">
              <a16:creationId xmlns:a16="http://schemas.microsoft.com/office/drawing/2014/main" id="{88102972-F88B-4C53-AF96-4704EB1255B3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699" name="AutoShape 1">
          <a:extLst>
            <a:ext uri="{FF2B5EF4-FFF2-40B4-BE49-F238E27FC236}">
              <a16:creationId xmlns:a16="http://schemas.microsoft.com/office/drawing/2014/main" id="{F61D6327-92BD-4925-A968-03637F9E7E6E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700" name="AutoShape 1">
          <a:extLst>
            <a:ext uri="{FF2B5EF4-FFF2-40B4-BE49-F238E27FC236}">
              <a16:creationId xmlns:a16="http://schemas.microsoft.com/office/drawing/2014/main" id="{798995D4-86C5-47FD-990A-CE6A79D90632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701" name="AutoShape 1">
          <a:extLst>
            <a:ext uri="{FF2B5EF4-FFF2-40B4-BE49-F238E27FC236}">
              <a16:creationId xmlns:a16="http://schemas.microsoft.com/office/drawing/2014/main" id="{57D62288-25B0-41AD-8E6A-F6BFCB176626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702" name="AutoShape 1">
          <a:extLst>
            <a:ext uri="{FF2B5EF4-FFF2-40B4-BE49-F238E27FC236}">
              <a16:creationId xmlns:a16="http://schemas.microsoft.com/office/drawing/2014/main" id="{CDE5EC10-1403-4DB3-B7EB-912029D5416C}"/>
            </a:ext>
            <a:ext uri="{147F2762-F138-4A5C-976F-8EAC2B608ADB}">
              <a16:predDERef xmlns:a16="http://schemas.microsoft.com/office/drawing/2014/main" pred="{A9C9C4DB-4B97-447C-9099-E87BCB3C537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703" name="AutoShape 1">
          <a:extLst>
            <a:ext uri="{FF2B5EF4-FFF2-40B4-BE49-F238E27FC236}">
              <a16:creationId xmlns:a16="http://schemas.microsoft.com/office/drawing/2014/main" id="{EF9F89FD-3C05-4B22-BD32-A460F2086056}"/>
            </a:ext>
            <a:ext uri="{147F2762-F138-4A5C-976F-8EAC2B608ADB}">
              <a16:predDERef xmlns:a16="http://schemas.microsoft.com/office/drawing/2014/main" pred="{CD89554D-BD76-42AD-819A-278AD445B86E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704" name="AutoShape 1">
          <a:extLst>
            <a:ext uri="{FF2B5EF4-FFF2-40B4-BE49-F238E27FC236}">
              <a16:creationId xmlns:a16="http://schemas.microsoft.com/office/drawing/2014/main" id="{9E7C17DE-8E6E-4BBF-A733-F03D3A0E518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705" name="AutoShape 1">
          <a:extLst>
            <a:ext uri="{FF2B5EF4-FFF2-40B4-BE49-F238E27FC236}">
              <a16:creationId xmlns:a16="http://schemas.microsoft.com/office/drawing/2014/main" id="{4F84E80D-DB4D-4099-A1FB-DE503882C0FB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706" name="AutoShape 1">
          <a:extLst>
            <a:ext uri="{FF2B5EF4-FFF2-40B4-BE49-F238E27FC236}">
              <a16:creationId xmlns:a16="http://schemas.microsoft.com/office/drawing/2014/main" id="{D16B34ED-11E1-48E1-913F-5AE6E52075D3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707" name="AutoShape 1">
          <a:extLst>
            <a:ext uri="{FF2B5EF4-FFF2-40B4-BE49-F238E27FC236}">
              <a16:creationId xmlns:a16="http://schemas.microsoft.com/office/drawing/2014/main" id="{5CBE5F22-39FA-455A-A375-E38A48BADA6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708" name="AutoShape 1">
          <a:extLst>
            <a:ext uri="{FF2B5EF4-FFF2-40B4-BE49-F238E27FC236}">
              <a16:creationId xmlns:a16="http://schemas.microsoft.com/office/drawing/2014/main" id="{E5D7E21D-EBA1-4428-98CE-1FC74DE13586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709" name="AutoShape 1">
          <a:extLst>
            <a:ext uri="{FF2B5EF4-FFF2-40B4-BE49-F238E27FC236}">
              <a16:creationId xmlns:a16="http://schemas.microsoft.com/office/drawing/2014/main" id="{6EFA1F9C-FBB0-411F-9FCE-4625E735E2FB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710" name="AutoShape 1">
          <a:extLst>
            <a:ext uri="{FF2B5EF4-FFF2-40B4-BE49-F238E27FC236}">
              <a16:creationId xmlns:a16="http://schemas.microsoft.com/office/drawing/2014/main" id="{36DCDC1A-FBB0-460E-948F-6266F31A4853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711" name="AutoShape 1">
          <a:extLst>
            <a:ext uri="{FF2B5EF4-FFF2-40B4-BE49-F238E27FC236}">
              <a16:creationId xmlns:a16="http://schemas.microsoft.com/office/drawing/2014/main" id="{5E762306-59AB-4DB8-946D-7ADF62BB61C1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712" name="AutoShape 1">
          <a:extLst>
            <a:ext uri="{FF2B5EF4-FFF2-40B4-BE49-F238E27FC236}">
              <a16:creationId xmlns:a16="http://schemas.microsoft.com/office/drawing/2014/main" id="{32C9DA9F-9B77-44EC-A3B2-6C77A992163F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713" name="AutoShape 1">
          <a:extLst>
            <a:ext uri="{FF2B5EF4-FFF2-40B4-BE49-F238E27FC236}">
              <a16:creationId xmlns:a16="http://schemas.microsoft.com/office/drawing/2014/main" id="{F6152870-52F6-4327-9972-538304D772C3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714" name="AutoShape 1">
          <a:extLst>
            <a:ext uri="{FF2B5EF4-FFF2-40B4-BE49-F238E27FC236}">
              <a16:creationId xmlns:a16="http://schemas.microsoft.com/office/drawing/2014/main" id="{15A05DA1-5E81-4248-BBF8-B462B6212EBE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715" name="AutoShape 1">
          <a:extLst>
            <a:ext uri="{FF2B5EF4-FFF2-40B4-BE49-F238E27FC236}">
              <a16:creationId xmlns:a16="http://schemas.microsoft.com/office/drawing/2014/main" id="{CEEAA719-1602-4402-B178-21672E2DE9D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716" name="AutoShape 1">
          <a:extLst>
            <a:ext uri="{FF2B5EF4-FFF2-40B4-BE49-F238E27FC236}">
              <a16:creationId xmlns:a16="http://schemas.microsoft.com/office/drawing/2014/main" id="{7D2BF634-FCC3-40DE-9985-2E19413CB7EF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717" name="AutoShape 1">
          <a:extLst>
            <a:ext uri="{FF2B5EF4-FFF2-40B4-BE49-F238E27FC236}">
              <a16:creationId xmlns:a16="http://schemas.microsoft.com/office/drawing/2014/main" id="{37B12A6D-3380-4958-9D1D-07D7AF301CB9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718" name="AutoShape 1">
          <a:extLst>
            <a:ext uri="{FF2B5EF4-FFF2-40B4-BE49-F238E27FC236}">
              <a16:creationId xmlns:a16="http://schemas.microsoft.com/office/drawing/2014/main" id="{F163C130-3E58-4EBB-BA39-581ED6069F7A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719" name="AutoShape 1">
          <a:extLst>
            <a:ext uri="{FF2B5EF4-FFF2-40B4-BE49-F238E27FC236}">
              <a16:creationId xmlns:a16="http://schemas.microsoft.com/office/drawing/2014/main" id="{063F8BE4-D423-481E-922C-20F2D741E05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720" name="AutoShape 1">
          <a:extLst>
            <a:ext uri="{FF2B5EF4-FFF2-40B4-BE49-F238E27FC236}">
              <a16:creationId xmlns:a16="http://schemas.microsoft.com/office/drawing/2014/main" id="{9E108A43-73F9-4E56-BEA2-FBCF80F25957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721" name="AutoShape 1">
          <a:extLst>
            <a:ext uri="{FF2B5EF4-FFF2-40B4-BE49-F238E27FC236}">
              <a16:creationId xmlns:a16="http://schemas.microsoft.com/office/drawing/2014/main" id="{E3DA93F0-AF59-470B-892E-AE66AF1CB676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722" name="AutoShape 1">
          <a:extLst>
            <a:ext uri="{FF2B5EF4-FFF2-40B4-BE49-F238E27FC236}">
              <a16:creationId xmlns:a16="http://schemas.microsoft.com/office/drawing/2014/main" id="{1C02AB3A-CE16-4B58-9CF1-365459AE6D4A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723" name="AutoShape 1">
          <a:extLst>
            <a:ext uri="{FF2B5EF4-FFF2-40B4-BE49-F238E27FC236}">
              <a16:creationId xmlns:a16="http://schemas.microsoft.com/office/drawing/2014/main" id="{0ECA3817-CE02-4AA4-8A4C-E4CFF1795792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724" name="AutoShape 1">
          <a:extLst>
            <a:ext uri="{FF2B5EF4-FFF2-40B4-BE49-F238E27FC236}">
              <a16:creationId xmlns:a16="http://schemas.microsoft.com/office/drawing/2014/main" id="{E6D0F12C-B4F8-40B9-BAD0-20BC49892844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725" name="AutoShape 1">
          <a:extLst>
            <a:ext uri="{FF2B5EF4-FFF2-40B4-BE49-F238E27FC236}">
              <a16:creationId xmlns:a16="http://schemas.microsoft.com/office/drawing/2014/main" id="{C09213B5-ADD6-41AF-82D4-3F4ACFFACCEA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726" name="AutoShape 1">
          <a:extLst>
            <a:ext uri="{FF2B5EF4-FFF2-40B4-BE49-F238E27FC236}">
              <a16:creationId xmlns:a16="http://schemas.microsoft.com/office/drawing/2014/main" id="{BA471D07-F659-47B0-BFBD-B4F27D27BEA0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727" name="AutoShape 1">
          <a:extLst>
            <a:ext uri="{FF2B5EF4-FFF2-40B4-BE49-F238E27FC236}">
              <a16:creationId xmlns:a16="http://schemas.microsoft.com/office/drawing/2014/main" id="{EDDB82F8-A753-47B7-88AE-AA4CC49FF563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728" name="AutoShape 1">
          <a:extLst>
            <a:ext uri="{FF2B5EF4-FFF2-40B4-BE49-F238E27FC236}">
              <a16:creationId xmlns:a16="http://schemas.microsoft.com/office/drawing/2014/main" id="{5109E81D-20A9-417B-88D0-2FE0F4C63A7F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729" name="AutoShape 1">
          <a:extLst>
            <a:ext uri="{FF2B5EF4-FFF2-40B4-BE49-F238E27FC236}">
              <a16:creationId xmlns:a16="http://schemas.microsoft.com/office/drawing/2014/main" id="{97A731AC-B0E1-465D-9276-A846E1CDABB7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730" name="AutoShape 1">
          <a:extLst>
            <a:ext uri="{FF2B5EF4-FFF2-40B4-BE49-F238E27FC236}">
              <a16:creationId xmlns:a16="http://schemas.microsoft.com/office/drawing/2014/main" id="{88CB5826-74DA-45C8-9479-DBCCF6CC4814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731" name="AutoShape 1">
          <a:extLst>
            <a:ext uri="{FF2B5EF4-FFF2-40B4-BE49-F238E27FC236}">
              <a16:creationId xmlns:a16="http://schemas.microsoft.com/office/drawing/2014/main" id="{A9801D2D-9597-46E9-9426-111DBC564F53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732" name="AutoShape 1">
          <a:extLst>
            <a:ext uri="{FF2B5EF4-FFF2-40B4-BE49-F238E27FC236}">
              <a16:creationId xmlns:a16="http://schemas.microsoft.com/office/drawing/2014/main" id="{F1B7A065-6501-4AFF-92C5-13D49D888B8A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733" name="AutoShape 1">
          <a:extLst>
            <a:ext uri="{FF2B5EF4-FFF2-40B4-BE49-F238E27FC236}">
              <a16:creationId xmlns:a16="http://schemas.microsoft.com/office/drawing/2014/main" id="{45F10FBB-1652-4C54-B871-D8E91FBC365D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734" name="AutoShape 1">
          <a:extLst>
            <a:ext uri="{FF2B5EF4-FFF2-40B4-BE49-F238E27FC236}">
              <a16:creationId xmlns:a16="http://schemas.microsoft.com/office/drawing/2014/main" id="{7146682B-1195-4484-BA11-2AEF5AC85F45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735" name="AutoShape 1">
          <a:extLst>
            <a:ext uri="{FF2B5EF4-FFF2-40B4-BE49-F238E27FC236}">
              <a16:creationId xmlns:a16="http://schemas.microsoft.com/office/drawing/2014/main" id="{D205EF14-7522-4B76-A598-3A0518B9568C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736" name="AutoShape 1">
          <a:extLst>
            <a:ext uri="{FF2B5EF4-FFF2-40B4-BE49-F238E27FC236}">
              <a16:creationId xmlns:a16="http://schemas.microsoft.com/office/drawing/2014/main" id="{F185B790-EF2D-46D1-8CCD-734F66E3CE15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737" name="AutoShape 1">
          <a:extLst>
            <a:ext uri="{FF2B5EF4-FFF2-40B4-BE49-F238E27FC236}">
              <a16:creationId xmlns:a16="http://schemas.microsoft.com/office/drawing/2014/main" id="{768499CB-564F-4002-A2B2-7FCA1CD0201F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738" name="AutoShape 1">
          <a:extLst>
            <a:ext uri="{FF2B5EF4-FFF2-40B4-BE49-F238E27FC236}">
              <a16:creationId xmlns:a16="http://schemas.microsoft.com/office/drawing/2014/main" id="{EDCC384F-886C-4D88-A7CF-FE240D701A9B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739" name="AutoShape 1">
          <a:extLst>
            <a:ext uri="{FF2B5EF4-FFF2-40B4-BE49-F238E27FC236}">
              <a16:creationId xmlns:a16="http://schemas.microsoft.com/office/drawing/2014/main" id="{439B7435-9EDA-4A79-8A6B-FA626A40D0DD}"/>
            </a:ext>
            <a:ext uri="{147F2762-F138-4A5C-976F-8EAC2B608ADB}">
              <a16:predDERef xmlns:a16="http://schemas.microsoft.com/office/drawing/2014/main" pred="{A9C9C4DB-4B97-447C-9099-E87BCB3C537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740" name="AutoShape 1">
          <a:extLst>
            <a:ext uri="{FF2B5EF4-FFF2-40B4-BE49-F238E27FC236}">
              <a16:creationId xmlns:a16="http://schemas.microsoft.com/office/drawing/2014/main" id="{9FDD63E6-34AB-40B9-8C83-142556AC1318}"/>
            </a:ext>
            <a:ext uri="{147F2762-F138-4A5C-976F-8EAC2B608ADB}">
              <a16:predDERef xmlns:a16="http://schemas.microsoft.com/office/drawing/2014/main" pred="{CD89554D-BD76-42AD-819A-278AD445B86E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741" name="AutoShape 1">
          <a:extLst>
            <a:ext uri="{FF2B5EF4-FFF2-40B4-BE49-F238E27FC236}">
              <a16:creationId xmlns:a16="http://schemas.microsoft.com/office/drawing/2014/main" id="{FE7931CD-B047-4212-9A04-CAA61946A0B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742" name="AutoShape 1">
          <a:extLst>
            <a:ext uri="{FF2B5EF4-FFF2-40B4-BE49-F238E27FC236}">
              <a16:creationId xmlns:a16="http://schemas.microsoft.com/office/drawing/2014/main" id="{FF2C793D-94DE-45B8-98AF-AAD16F050736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743" name="AutoShape 1">
          <a:extLst>
            <a:ext uri="{FF2B5EF4-FFF2-40B4-BE49-F238E27FC236}">
              <a16:creationId xmlns:a16="http://schemas.microsoft.com/office/drawing/2014/main" id="{60612B2A-9A7D-4B84-8A72-5BDA970DBF5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744" name="AutoShape 1">
          <a:extLst>
            <a:ext uri="{FF2B5EF4-FFF2-40B4-BE49-F238E27FC236}">
              <a16:creationId xmlns:a16="http://schemas.microsoft.com/office/drawing/2014/main" id="{9AACC31F-956C-4921-9205-85967A5D6ED3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745" name="AutoShape 1">
          <a:extLst>
            <a:ext uri="{FF2B5EF4-FFF2-40B4-BE49-F238E27FC236}">
              <a16:creationId xmlns:a16="http://schemas.microsoft.com/office/drawing/2014/main" id="{B039C7B2-9395-4903-9064-DD1DD7B8CCBB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746" name="AutoShape 1">
          <a:extLst>
            <a:ext uri="{FF2B5EF4-FFF2-40B4-BE49-F238E27FC236}">
              <a16:creationId xmlns:a16="http://schemas.microsoft.com/office/drawing/2014/main" id="{D89335A8-2D06-4701-AFD7-73F059C2BD7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747" name="AutoShape 1">
          <a:extLst>
            <a:ext uri="{FF2B5EF4-FFF2-40B4-BE49-F238E27FC236}">
              <a16:creationId xmlns:a16="http://schemas.microsoft.com/office/drawing/2014/main" id="{267508AC-48FB-4BA2-9B76-D32561393E93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748" name="AutoShape 1">
          <a:extLst>
            <a:ext uri="{FF2B5EF4-FFF2-40B4-BE49-F238E27FC236}">
              <a16:creationId xmlns:a16="http://schemas.microsoft.com/office/drawing/2014/main" id="{3BD4F4D1-6B33-413C-9678-0483C0DCFE1B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749" name="AutoShape 1">
          <a:extLst>
            <a:ext uri="{FF2B5EF4-FFF2-40B4-BE49-F238E27FC236}">
              <a16:creationId xmlns:a16="http://schemas.microsoft.com/office/drawing/2014/main" id="{77C3E390-DA13-44CB-AA6C-AF1524ABA224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750" name="AutoShape 1">
          <a:extLst>
            <a:ext uri="{FF2B5EF4-FFF2-40B4-BE49-F238E27FC236}">
              <a16:creationId xmlns:a16="http://schemas.microsoft.com/office/drawing/2014/main" id="{BB087FAE-08FA-4E28-90ED-3CC2BBBE8E6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751" name="AutoShape 1">
          <a:extLst>
            <a:ext uri="{FF2B5EF4-FFF2-40B4-BE49-F238E27FC236}">
              <a16:creationId xmlns:a16="http://schemas.microsoft.com/office/drawing/2014/main" id="{74264B98-EA6D-4CE8-B779-78BBD7D1E7D6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752" name="AutoShape 1">
          <a:extLst>
            <a:ext uri="{FF2B5EF4-FFF2-40B4-BE49-F238E27FC236}">
              <a16:creationId xmlns:a16="http://schemas.microsoft.com/office/drawing/2014/main" id="{B311E9F2-1AC9-4F0F-9280-10DEA039F96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753" name="AutoShape 1">
          <a:extLst>
            <a:ext uri="{FF2B5EF4-FFF2-40B4-BE49-F238E27FC236}">
              <a16:creationId xmlns:a16="http://schemas.microsoft.com/office/drawing/2014/main" id="{0414E07B-ED89-4861-8315-DD68EC6E52B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754" name="AutoShape 1">
          <a:extLst>
            <a:ext uri="{FF2B5EF4-FFF2-40B4-BE49-F238E27FC236}">
              <a16:creationId xmlns:a16="http://schemas.microsoft.com/office/drawing/2014/main" id="{51D885D2-A9C2-468D-9914-11611CA0841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755" name="AutoShape 1">
          <a:extLst>
            <a:ext uri="{FF2B5EF4-FFF2-40B4-BE49-F238E27FC236}">
              <a16:creationId xmlns:a16="http://schemas.microsoft.com/office/drawing/2014/main" id="{12AB9249-53AD-4CDE-834A-A0C3726B0133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756" name="AutoShape 1">
          <a:extLst>
            <a:ext uri="{FF2B5EF4-FFF2-40B4-BE49-F238E27FC236}">
              <a16:creationId xmlns:a16="http://schemas.microsoft.com/office/drawing/2014/main" id="{728714FC-3213-47E4-A5C5-0FC475806A0B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757" name="AutoShape 1">
          <a:extLst>
            <a:ext uri="{FF2B5EF4-FFF2-40B4-BE49-F238E27FC236}">
              <a16:creationId xmlns:a16="http://schemas.microsoft.com/office/drawing/2014/main" id="{743E3E2A-3669-41CA-91EF-D182DEB1E74B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758" name="AutoShape 1">
          <a:extLst>
            <a:ext uri="{FF2B5EF4-FFF2-40B4-BE49-F238E27FC236}">
              <a16:creationId xmlns:a16="http://schemas.microsoft.com/office/drawing/2014/main" id="{7F5116EE-355F-4C2B-AD49-38A38AACBEF8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759" name="AutoShape 1">
          <a:extLst>
            <a:ext uri="{FF2B5EF4-FFF2-40B4-BE49-F238E27FC236}">
              <a16:creationId xmlns:a16="http://schemas.microsoft.com/office/drawing/2014/main" id="{693BAEBB-8DDB-4040-AA36-981663E23CB4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760" name="AutoShape 1">
          <a:extLst>
            <a:ext uri="{FF2B5EF4-FFF2-40B4-BE49-F238E27FC236}">
              <a16:creationId xmlns:a16="http://schemas.microsoft.com/office/drawing/2014/main" id="{86562E65-FBCC-4D64-AAE4-3928C29A746C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761" name="AutoShape 1">
          <a:extLst>
            <a:ext uri="{FF2B5EF4-FFF2-40B4-BE49-F238E27FC236}">
              <a16:creationId xmlns:a16="http://schemas.microsoft.com/office/drawing/2014/main" id="{3FC1BD04-1343-4399-9D48-00A06DDC125A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762" name="AutoShape 1">
          <a:extLst>
            <a:ext uri="{FF2B5EF4-FFF2-40B4-BE49-F238E27FC236}">
              <a16:creationId xmlns:a16="http://schemas.microsoft.com/office/drawing/2014/main" id="{F019D17A-EC02-4FF5-B79E-D13808297459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763" name="AutoShape 1">
          <a:extLst>
            <a:ext uri="{FF2B5EF4-FFF2-40B4-BE49-F238E27FC236}">
              <a16:creationId xmlns:a16="http://schemas.microsoft.com/office/drawing/2014/main" id="{83A68F66-227A-4E04-A1B5-274F8B24103D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764" name="AutoShape 1">
          <a:extLst>
            <a:ext uri="{FF2B5EF4-FFF2-40B4-BE49-F238E27FC236}">
              <a16:creationId xmlns:a16="http://schemas.microsoft.com/office/drawing/2014/main" id="{FE1C6360-94C4-4DC9-8B97-94B6EF0EBCFF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765" name="AutoShape 1">
          <a:extLst>
            <a:ext uri="{FF2B5EF4-FFF2-40B4-BE49-F238E27FC236}">
              <a16:creationId xmlns:a16="http://schemas.microsoft.com/office/drawing/2014/main" id="{D1044E0A-6814-436D-8844-5855E3BEED73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766" name="AutoShape 1">
          <a:extLst>
            <a:ext uri="{FF2B5EF4-FFF2-40B4-BE49-F238E27FC236}">
              <a16:creationId xmlns:a16="http://schemas.microsoft.com/office/drawing/2014/main" id="{3811D11C-8F1D-4BAD-A2FF-09125C736F77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767" name="AutoShape 1">
          <a:extLst>
            <a:ext uri="{FF2B5EF4-FFF2-40B4-BE49-F238E27FC236}">
              <a16:creationId xmlns:a16="http://schemas.microsoft.com/office/drawing/2014/main" id="{443608B2-B9D5-401D-8A81-10D799B7863A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768" name="AutoShape 1">
          <a:extLst>
            <a:ext uri="{FF2B5EF4-FFF2-40B4-BE49-F238E27FC236}">
              <a16:creationId xmlns:a16="http://schemas.microsoft.com/office/drawing/2014/main" id="{85076605-909D-4592-A303-FC9861B6A7BC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769" name="AutoShape 1">
          <a:extLst>
            <a:ext uri="{FF2B5EF4-FFF2-40B4-BE49-F238E27FC236}">
              <a16:creationId xmlns:a16="http://schemas.microsoft.com/office/drawing/2014/main" id="{02C05857-87DB-4F45-97B6-04E4D947B3F8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770" name="AutoShape 1">
          <a:extLst>
            <a:ext uri="{FF2B5EF4-FFF2-40B4-BE49-F238E27FC236}">
              <a16:creationId xmlns:a16="http://schemas.microsoft.com/office/drawing/2014/main" id="{426FE4B1-5AC7-4EAE-84B3-2A48E0965E98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771" name="AutoShape 1">
          <a:extLst>
            <a:ext uri="{FF2B5EF4-FFF2-40B4-BE49-F238E27FC236}">
              <a16:creationId xmlns:a16="http://schemas.microsoft.com/office/drawing/2014/main" id="{ADAE8233-9B96-49EE-912D-33108007466A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772" name="AutoShape 1">
          <a:extLst>
            <a:ext uri="{FF2B5EF4-FFF2-40B4-BE49-F238E27FC236}">
              <a16:creationId xmlns:a16="http://schemas.microsoft.com/office/drawing/2014/main" id="{8FBB3394-EA98-4A8E-A080-FBF85A4BFDD4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773" name="AutoShape 1">
          <a:extLst>
            <a:ext uri="{FF2B5EF4-FFF2-40B4-BE49-F238E27FC236}">
              <a16:creationId xmlns:a16="http://schemas.microsoft.com/office/drawing/2014/main" id="{59283F26-D889-45D2-B251-032C0DC8868B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774" name="AutoShape 1">
          <a:extLst>
            <a:ext uri="{FF2B5EF4-FFF2-40B4-BE49-F238E27FC236}">
              <a16:creationId xmlns:a16="http://schemas.microsoft.com/office/drawing/2014/main" id="{3FAFF768-2DB1-4C8A-8CCA-357959C1C26E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775" name="AutoShape 1">
          <a:extLst>
            <a:ext uri="{FF2B5EF4-FFF2-40B4-BE49-F238E27FC236}">
              <a16:creationId xmlns:a16="http://schemas.microsoft.com/office/drawing/2014/main" id="{5F13EFD1-296B-4D1E-A990-36ACE272B52A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776" name="AutoShape 1">
          <a:extLst>
            <a:ext uri="{FF2B5EF4-FFF2-40B4-BE49-F238E27FC236}">
              <a16:creationId xmlns:a16="http://schemas.microsoft.com/office/drawing/2014/main" id="{3DF8FFA6-0F42-4107-BFF9-9BDD3D754582}"/>
            </a:ext>
            <a:ext uri="{147F2762-F138-4A5C-976F-8EAC2B608ADB}">
              <a16:predDERef xmlns:a16="http://schemas.microsoft.com/office/drawing/2014/main" pred="{A9C9C4DB-4B97-447C-9099-E87BCB3C537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777" name="AutoShape 1">
          <a:extLst>
            <a:ext uri="{FF2B5EF4-FFF2-40B4-BE49-F238E27FC236}">
              <a16:creationId xmlns:a16="http://schemas.microsoft.com/office/drawing/2014/main" id="{0C123E9C-707C-4DF8-AF7F-319EFA5CB272}"/>
            </a:ext>
            <a:ext uri="{147F2762-F138-4A5C-976F-8EAC2B608ADB}">
              <a16:predDERef xmlns:a16="http://schemas.microsoft.com/office/drawing/2014/main" pred="{CD89554D-BD76-42AD-819A-278AD445B86E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778" name="AutoShape 1">
          <a:extLst>
            <a:ext uri="{FF2B5EF4-FFF2-40B4-BE49-F238E27FC236}">
              <a16:creationId xmlns:a16="http://schemas.microsoft.com/office/drawing/2014/main" id="{C49D1C0B-4011-4A04-951A-44442ED1EABF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779" name="AutoShape 1">
          <a:extLst>
            <a:ext uri="{FF2B5EF4-FFF2-40B4-BE49-F238E27FC236}">
              <a16:creationId xmlns:a16="http://schemas.microsoft.com/office/drawing/2014/main" id="{BAEC36A9-123A-4D7D-A774-C1CAB71630C7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780" name="AutoShape 1">
          <a:extLst>
            <a:ext uri="{FF2B5EF4-FFF2-40B4-BE49-F238E27FC236}">
              <a16:creationId xmlns:a16="http://schemas.microsoft.com/office/drawing/2014/main" id="{7A9D91F5-CF42-4064-A1D5-FED942F6D0D3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781" name="AutoShape 1">
          <a:extLst>
            <a:ext uri="{FF2B5EF4-FFF2-40B4-BE49-F238E27FC236}">
              <a16:creationId xmlns:a16="http://schemas.microsoft.com/office/drawing/2014/main" id="{2FCF143D-5E2F-4F5F-A0C0-FE223E010B4C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782" name="AutoShape 1">
          <a:extLst>
            <a:ext uri="{FF2B5EF4-FFF2-40B4-BE49-F238E27FC236}">
              <a16:creationId xmlns:a16="http://schemas.microsoft.com/office/drawing/2014/main" id="{6F31EAAB-FD42-45A8-8BA5-DE52CCFFF129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783" name="AutoShape 1">
          <a:extLst>
            <a:ext uri="{FF2B5EF4-FFF2-40B4-BE49-F238E27FC236}">
              <a16:creationId xmlns:a16="http://schemas.microsoft.com/office/drawing/2014/main" id="{CDDAF1D6-90B2-4E7A-AC7E-D4279D4CE44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784" name="AutoShape 1">
          <a:extLst>
            <a:ext uri="{FF2B5EF4-FFF2-40B4-BE49-F238E27FC236}">
              <a16:creationId xmlns:a16="http://schemas.microsoft.com/office/drawing/2014/main" id="{5FFCB896-D976-4360-BC91-D2CB116BB053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785" name="AutoShape 1">
          <a:extLst>
            <a:ext uri="{FF2B5EF4-FFF2-40B4-BE49-F238E27FC236}">
              <a16:creationId xmlns:a16="http://schemas.microsoft.com/office/drawing/2014/main" id="{5DBD15C6-87EA-4683-AA08-CC6BBA79B957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786" name="AutoShape 1">
          <a:extLst>
            <a:ext uri="{FF2B5EF4-FFF2-40B4-BE49-F238E27FC236}">
              <a16:creationId xmlns:a16="http://schemas.microsoft.com/office/drawing/2014/main" id="{795D99BD-7766-408C-A95D-0F758B12CC8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787" name="AutoShape 1">
          <a:extLst>
            <a:ext uri="{FF2B5EF4-FFF2-40B4-BE49-F238E27FC236}">
              <a16:creationId xmlns:a16="http://schemas.microsoft.com/office/drawing/2014/main" id="{89F5320E-3DFE-4952-812A-998D5689CB7A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788" name="AutoShape 1">
          <a:extLst>
            <a:ext uri="{FF2B5EF4-FFF2-40B4-BE49-F238E27FC236}">
              <a16:creationId xmlns:a16="http://schemas.microsoft.com/office/drawing/2014/main" id="{41EE0A8C-82B4-4B82-9035-3B6F45D9BF7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789" name="AutoShape 1">
          <a:extLst>
            <a:ext uri="{FF2B5EF4-FFF2-40B4-BE49-F238E27FC236}">
              <a16:creationId xmlns:a16="http://schemas.microsoft.com/office/drawing/2014/main" id="{8D6D966A-6DDC-48FE-8800-22A4C013972F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790" name="AutoShape 1">
          <a:extLst>
            <a:ext uri="{FF2B5EF4-FFF2-40B4-BE49-F238E27FC236}">
              <a16:creationId xmlns:a16="http://schemas.microsoft.com/office/drawing/2014/main" id="{EDC24A41-19C4-4AA0-B90D-15686EEB4166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791" name="AutoShape 1">
          <a:extLst>
            <a:ext uri="{FF2B5EF4-FFF2-40B4-BE49-F238E27FC236}">
              <a16:creationId xmlns:a16="http://schemas.microsoft.com/office/drawing/2014/main" id="{7E19F7EA-AB25-4D1B-A4D3-3B8ED3549CEE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792" name="AutoShape 1">
          <a:extLst>
            <a:ext uri="{FF2B5EF4-FFF2-40B4-BE49-F238E27FC236}">
              <a16:creationId xmlns:a16="http://schemas.microsoft.com/office/drawing/2014/main" id="{9257EE86-1C56-4BEC-B003-479B0F4740D9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793" name="AutoShape 1">
          <a:extLst>
            <a:ext uri="{FF2B5EF4-FFF2-40B4-BE49-F238E27FC236}">
              <a16:creationId xmlns:a16="http://schemas.microsoft.com/office/drawing/2014/main" id="{3DCD1F92-B70F-44D5-9A8F-48D9085754C4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794" name="AutoShape 1">
          <a:extLst>
            <a:ext uri="{FF2B5EF4-FFF2-40B4-BE49-F238E27FC236}">
              <a16:creationId xmlns:a16="http://schemas.microsoft.com/office/drawing/2014/main" id="{82D3E6A2-B84B-413B-9D79-7859EFABB22B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795" name="AutoShape 1">
          <a:extLst>
            <a:ext uri="{FF2B5EF4-FFF2-40B4-BE49-F238E27FC236}">
              <a16:creationId xmlns:a16="http://schemas.microsoft.com/office/drawing/2014/main" id="{6CB8769F-B1FF-4464-B6C5-4A4A4E6FAC71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796" name="AutoShape 1">
          <a:extLst>
            <a:ext uri="{FF2B5EF4-FFF2-40B4-BE49-F238E27FC236}">
              <a16:creationId xmlns:a16="http://schemas.microsoft.com/office/drawing/2014/main" id="{7BF5FC2A-E8CC-4DB8-8002-655CB1C79C84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797" name="AutoShape 1">
          <a:extLst>
            <a:ext uri="{FF2B5EF4-FFF2-40B4-BE49-F238E27FC236}">
              <a16:creationId xmlns:a16="http://schemas.microsoft.com/office/drawing/2014/main" id="{2D510B1E-FC60-467C-ADED-5E23C8786D84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798" name="AutoShape 1">
          <a:extLst>
            <a:ext uri="{FF2B5EF4-FFF2-40B4-BE49-F238E27FC236}">
              <a16:creationId xmlns:a16="http://schemas.microsoft.com/office/drawing/2014/main" id="{0D65F589-B031-44D8-A7A6-8149AC578A29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799" name="AutoShape 1">
          <a:extLst>
            <a:ext uri="{FF2B5EF4-FFF2-40B4-BE49-F238E27FC236}">
              <a16:creationId xmlns:a16="http://schemas.microsoft.com/office/drawing/2014/main" id="{2786B6B3-0C45-4BDA-BD11-FCE255D27DE1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800" name="AutoShape 1">
          <a:extLst>
            <a:ext uri="{FF2B5EF4-FFF2-40B4-BE49-F238E27FC236}">
              <a16:creationId xmlns:a16="http://schemas.microsoft.com/office/drawing/2014/main" id="{EC1B7A57-FF08-440A-A2B3-AC6C489AA9AF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801" name="AutoShape 1">
          <a:extLst>
            <a:ext uri="{FF2B5EF4-FFF2-40B4-BE49-F238E27FC236}">
              <a16:creationId xmlns:a16="http://schemas.microsoft.com/office/drawing/2014/main" id="{4569D15E-EDF9-4E80-B121-83C380185934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802" name="AutoShape 1">
          <a:extLst>
            <a:ext uri="{FF2B5EF4-FFF2-40B4-BE49-F238E27FC236}">
              <a16:creationId xmlns:a16="http://schemas.microsoft.com/office/drawing/2014/main" id="{E537C52F-7040-46ED-83B8-51E4D979AAB7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803" name="AutoShape 1">
          <a:extLst>
            <a:ext uri="{FF2B5EF4-FFF2-40B4-BE49-F238E27FC236}">
              <a16:creationId xmlns:a16="http://schemas.microsoft.com/office/drawing/2014/main" id="{D85AADF1-3F93-4DEE-A86B-F27CBF8D2811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804" name="AutoShape 1">
          <a:extLst>
            <a:ext uri="{FF2B5EF4-FFF2-40B4-BE49-F238E27FC236}">
              <a16:creationId xmlns:a16="http://schemas.microsoft.com/office/drawing/2014/main" id="{A39B96D3-2B37-459E-9E8C-E7448238BC72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805" name="AutoShape 1">
          <a:extLst>
            <a:ext uri="{FF2B5EF4-FFF2-40B4-BE49-F238E27FC236}">
              <a16:creationId xmlns:a16="http://schemas.microsoft.com/office/drawing/2014/main" id="{48855957-CCD1-4116-B258-6A4289D799CE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806" name="AutoShape 1">
          <a:extLst>
            <a:ext uri="{FF2B5EF4-FFF2-40B4-BE49-F238E27FC236}">
              <a16:creationId xmlns:a16="http://schemas.microsoft.com/office/drawing/2014/main" id="{11CC5691-B52F-4FAE-8A19-A9832C89DC0D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807" name="AutoShape 1">
          <a:extLst>
            <a:ext uri="{FF2B5EF4-FFF2-40B4-BE49-F238E27FC236}">
              <a16:creationId xmlns:a16="http://schemas.microsoft.com/office/drawing/2014/main" id="{EAE9B601-58D1-4241-8530-0EC8FAC42E86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808" name="AutoShape 1">
          <a:extLst>
            <a:ext uri="{FF2B5EF4-FFF2-40B4-BE49-F238E27FC236}">
              <a16:creationId xmlns:a16="http://schemas.microsoft.com/office/drawing/2014/main" id="{0D9A8987-D0ED-48BB-A75B-FF7F08E7DBD9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809" name="AutoShape 1">
          <a:extLst>
            <a:ext uri="{FF2B5EF4-FFF2-40B4-BE49-F238E27FC236}">
              <a16:creationId xmlns:a16="http://schemas.microsoft.com/office/drawing/2014/main" id="{BFE88BC8-7C3B-439B-9DF3-A8226288B9BF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810" name="AutoShape 1">
          <a:extLst>
            <a:ext uri="{FF2B5EF4-FFF2-40B4-BE49-F238E27FC236}">
              <a16:creationId xmlns:a16="http://schemas.microsoft.com/office/drawing/2014/main" id="{5BCCDD61-C3D6-4EE9-9C4F-016A9339DA9A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811" name="AutoShape 1">
          <a:extLst>
            <a:ext uri="{FF2B5EF4-FFF2-40B4-BE49-F238E27FC236}">
              <a16:creationId xmlns:a16="http://schemas.microsoft.com/office/drawing/2014/main" id="{EE171B72-16A9-4DBB-8DAC-F2225DE61A06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812" name="AutoShape 1">
          <a:extLst>
            <a:ext uri="{FF2B5EF4-FFF2-40B4-BE49-F238E27FC236}">
              <a16:creationId xmlns:a16="http://schemas.microsoft.com/office/drawing/2014/main" id="{40E87932-4583-4119-8135-E3A9629BA58D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813" name="AutoShape 1">
          <a:extLst>
            <a:ext uri="{FF2B5EF4-FFF2-40B4-BE49-F238E27FC236}">
              <a16:creationId xmlns:a16="http://schemas.microsoft.com/office/drawing/2014/main" id="{21F43922-0619-40DB-8425-CB8FAA9FC606}"/>
            </a:ext>
            <a:ext uri="{147F2762-F138-4A5C-976F-8EAC2B608ADB}">
              <a16:predDERef xmlns:a16="http://schemas.microsoft.com/office/drawing/2014/main" pred="{A9C9C4DB-4B97-447C-9099-E87BCB3C537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814" name="AutoShape 1">
          <a:extLst>
            <a:ext uri="{FF2B5EF4-FFF2-40B4-BE49-F238E27FC236}">
              <a16:creationId xmlns:a16="http://schemas.microsoft.com/office/drawing/2014/main" id="{DA7E1564-32F5-45B4-A0A9-614C04BA6ABF}"/>
            </a:ext>
            <a:ext uri="{147F2762-F138-4A5C-976F-8EAC2B608ADB}">
              <a16:predDERef xmlns:a16="http://schemas.microsoft.com/office/drawing/2014/main" pred="{CD89554D-BD76-42AD-819A-278AD445B86E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815" name="AutoShape 1">
          <a:extLst>
            <a:ext uri="{FF2B5EF4-FFF2-40B4-BE49-F238E27FC236}">
              <a16:creationId xmlns:a16="http://schemas.microsoft.com/office/drawing/2014/main" id="{248EB0B7-D4B2-4B2E-BAB6-424502938FB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816" name="AutoShape 1">
          <a:extLst>
            <a:ext uri="{FF2B5EF4-FFF2-40B4-BE49-F238E27FC236}">
              <a16:creationId xmlns:a16="http://schemas.microsoft.com/office/drawing/2014/main" id="{69A55BCF-7D9E-42BB-A3AD-9A0525D8D60E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817" name="AutoShape 1">
          <a:extLst>
            <a:ext uri="{FF2B5EF4-FFF2-40B4-BE49-F238E27FC236}">
              <a16:creationId xmlns:a16="http://schemas.microsoft.com/office/drawing/2014/main" id="{D23385D8-FA25-4AE4-9C74-7ED2EB94555F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818" name="AutoShape 1">
          <a:extLst>
            <a:ext uri="{FF2B5EF4-FFF2-40B4-BE49-F238E27FC236}">
              <a16:creationId xmlns:a16="http://schemas.microsoft.com/office/drawing/2014/main" id="{595B1BE7-0BE4-46C0-913E-B2618F72BF2F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819" name="AutoShape 1">
          <a:extLst>
            <a:ext uri="{FF2B5EF4-FFF2-40B4-BE49-F238E27FC236}">
              <a16:creationId xmlns:a16="http://schemas.microsoft.com/office/drawing/2014/main" id="{5FECEA1A-BFF7-4E23-BE04-793CEEC5FAA9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820" name="AutoShape 1">
          <a:extLst>
            <a:ext uri="{FF2B5EF4-FFF2-40B4-BE49-F238E27FC236}">
              <a16:creationId xmlns:a16="http://schemas.microsoft.com/office/drawing/2014/main" id="{9A5E35DB-5367-4A6E-B2E2-25A35D244C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821" name="AutoShape 1">
          <a:extLst>
            <a:ext uri="{FF2B5EF4-FFF2-40B4-BE49-F238E27FC236}">
              <a16:creationId xmlns:a16="http://schemas.microsoft.com/office/drawing/2014/main" id="{BF67A921-3621-40E2-9E25-EC8F33487936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822" name="AutoShape 1">
          <a:extLst>
            <a:ext uri="{FF2B5EF4-FFF2-40B4-BE49-F238E27FC236}">
              <a16:creationId xmlns:a16="http://schemas.microsoft.com/office/drawing/2014/main" id="{ED7966E3-E3C7-4D38-8121-77F1C3420764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823" name="AutoShape 1">
          <a:extLst>
            <a:ext uri="{FF2B5EF4-FFF2-40B4-BE49-F238E27FC236}">
              <a16:creationId xmlns:a16="http://schemas.microsoft.com/office/drawing/2014/main" id="{0B401177-D80A-46F8-99DD-8B09D6C8602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824" name="AutoShape 1">
          <a:extLst>
            <a:ext uri="{FF2B5EF4-FFF2-40B4-BE49-F238E27FC236}">
              <a16:creationId xmlns:a16="http://schemas.microsoft.com/office/drawing/2014/main" id="{F9A34782-B1C2-4B6C-A0FB-C9B57DA5EB6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825" name="AutoShape 1">
          <a:extLst>
            <a:ext uri="{FF2B5EF4-FFF2-40B4-BE49-F238E27FC236}">
              <a16:creationId xmlns:a16="http://schemas.microsoft.com/office/drawing/2014/main" id="{A9070282-3F2D-47FA-A85A-73C5E11F2727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826" name="AutoShape 1">
          <a:extLst>
            <a:ext uri="{FF2B5EF4-FFF2-40B4-BE49-F238E27FC236}">
              <a16:creationId xmlns:a16="http://schemas.microsoft.com/office/drawing/2014/main" id="{1ADB42B3-C031-47EB-BA2A-2726DB4D765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827" name="AutoShape 1">
          <a:extLst>
            <a:ext uri="{FF2B5EF4-FFF2-40B4-BE49-F238E27FC236}">
              <a16:creationId xmlns:a16="http://schemas.microsoft.com/office/drawing/2014/main" id="{5E904F8C-6C09-4A7E-9743-16E18BA7B8D7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828" name="AutoShape 1">
          <a:extLst>
            <a:ext uri="{FF2B5EF4-FFF2-40B4-BE49-F238E27FC236}">
              <a16:creationId xmlns:a16="http://schemas.microsoft.com/office/drawing/2014/main" id="{16B356EF-3ECE-49DB-8557-275821BA4864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829" name="AutoShape 1">
          <a:extLst>
            <a:ext uri="{FF2B5EF4-FFF2-40B4-BE49-F238E27FC236}">
              <a16:creationId xmlns:a16="http://schemas.microsoft.com/office/drawing/2014/main" id="{FF378684-CF00-4AE6-A36F-6CA8D6684B4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830" name="AutoShape 1">
          <a:extLst>
            <a:ext uri="{FF2B5EF4-FFF2-40B4-BE49-F238E27FC236}">
              <a16:creationId xmlns:a16="http://schemas.microsoft.com/office/drawing/2014/main" id="{DF4A0752-6EB2-4F14-9C0B-11603D0B9996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831" name="AutoShape 1">
          <a:extLst>
            <a:ext uri="{FF2B5EF4-FFF2-40B4-BE49-F238E27FC236}">
              <a16:creationId xmlns:a16="http://schemas.microsoft.com/office/drawing/2014/main" id="{A79015A2-06A1-4D6E-8AD3-98C2C31F7DF5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832" name="AutoShape 1">
          <a:extLst>
            <a:ext uri="{FF2B5EF4-FFF2-40B4-BE49-F238E27FC236}">
              <a16:creationId xmlns:a16="http://schemas.microsoft.com/office/drawing/2014/main" id="{9E9FD162-A1F9-4169-A15A-10E4DC47C90F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833" name="AutoShape 1">
          <a:extLst>
            <a:ext uri="{FF2B5EF4-FFF2-40B4-BE49-F238E27FC236}">
              <a16:creationId xmlns:a16="http://schemas.microsoft.com/office/drawing/2014/main" id="{3269F2BA-0F85-4CCC-BDFE-B4A189918A51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834" name="AutoShape 1">
          <a:extLst>
            <a:ext uri="{FF2B5EF4-FFF2-40B4-BE49-F238E27FC236}">
              <a16:creationId xmlns:a16="http://schemas.microsoft.com/office/drawing/2014/main" id="{0FFE8508-55FB-4C69-BA90-9C1DCBEADD27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835" name="AutoShape 1">
          <a:extLst>
            <a:ext uri="{FF2B5EF4-FFF2-40B4-BE49-F238E27FC236}">
              <a16:creationId xmlns:a16="http://schemas.microsoft.com/office/drawing/2014/main" id="{B3E08557-4753-4299-968B-D8015C08EB16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836" name="AutoShape 1">
          <a:extLst>
            <a:ext uri="{FF2B5EF4-FFF2-40B4-BE49-F238E27FC236}">
              <a16:creationId xmlns:a16="http://schemas.microsoft.com/office/drawing/2014/main" id="{FCDD1E4E-C145-47B6-B703-D4F05B9FDC28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837" name="AutoShape 1">
          <a:extLst>
            <a:ext uri="{FF2B5EF4-FFF2-40B4-BE49-F238E27FC236}">
              <a16:creationId xmlns:a16="http://schemas.microsoft.com/office/drawing/2014/main" id="{99DD6D0A-E539-456D-A749-D6CC20295364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838" name="AutoShape 1">
          <a:extLst>
            <a:ext uri="{FF2B5EF4-FFF2-40B4-BE49-F238E27FC236}">
              <a16:creationId xmlns:a16="http://schemas.microsoft.com/office/drawing/2014/main" id="{EFCB1FE6-1325-421A-A436-5CDEBC2AF328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839" name="AutoShape 1">
          <a:extLst>
            <a:ext uri="{FF2B5EF4-FFF2-40B4-BE49-F238E27FC236}">
              <a16:creationId xmlns:a16="http://schemas.microsoft.com/office/drawing/2014/main" id="{5C9CC178-DCD2-4C27-A208-8EA956AA3319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840" name="AutoShape 1">
          <a:extLst>
            <a:ext uri="{FF2B5EF4-FFF2-40B4-BE49-F238E27FC236}">
              <a16:creationId xmlns:a16="http://schemas.microsoft.com/office/drawing/2014/main" id="{9A983BD2-9DA6-4FB3-AB1D-863BC1250DF3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841" name="AutoShape 1">
          <a:extLst>
            <a:ext uri="{FF2B5EF4-FFF2-40B4-BE49-F238E27FC236}">
              <a16:creationId xmlns:a16="http://schemas.microsoft.com/office/drawing/2014/main" id="{BA613D2B-9CBC-4FA2-BD29-4B2D247D44BC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842" name="AutoShape 1">
          <a:extLst>
            <a:ext uri="{FF2B5EF4-FFF2-40B4-BE49-F238E27FC236}">
              <a16:creationId xmlns:a16="http://schemas.microsoft.com/office/drawing/2014/main" id="{566B84BA-2D17-4952-A0E6-C05A10D755DD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843" name="AutoShape 1">
          <a:extLst>
            <a:ext uri="{FF2B5EF4-FFF2-40B4-BE49-F238E27FC236}">
              <a16:creationId xmlns:a16="http://schemas.microsoft.com/office/drawing/2014/main" id="{640C592D-219F-4574-B249-B30F71E09C2E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844" name="AutoShape 1">
          <a:extLst>
            <a:ext uri="{FF2B5EF4-FFF2-40B4-BE49-F238E27FC236}">
              <a16:creationId xmlns:a16="http://schemas.microsoft.com/office/drawing/2014/main" id="{CEFD9633-6C59-4416-A2A3-414392044575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845" name="AutoShape 1">
          <a:extLst>
            <a:ext uri="{FF2B5EF4-FFF2-40B4-BE49-F238E27FC236}">
              <a16:creationId xmlns:a16="http://schemas.microsoft.com/office/drawing/2014/main" id="{B320F774-EBB7-48A9-B1C5-C7CE558B5F2C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846" name="AutoShape 1">
          <a:extLst>
            <a:ext uri="{FF2B5EF4-FFF2-40B4-BE49-F238E27FC236}">
              <a16:creationId xmlns:a16="http://schemas.microsoft.com/office/drawing/2014/main" id="{40AAA400-0B5D-4463-9018-D52A3259BCC3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847" name="AutoShape 1">
          <a:extLst>
            <a:ext uri="{FF2B5EF4-FFF2-40B4-BE49-F238E27FC236}">
              <a16:creationId xmlns:a16="http://schemas.microsoft.com/office/drawing/2014/main" id="{65C450BF-329F-4196-A8F9-01968548BFB3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848" name="AutoShape 1">
          <a:extLst>
            <a:ext uri="{FF2B5EF4-FFF2-40B4-BE49-F238E27FC236}">
              <a16:creationId xmlns:a16="http://schemas.microsoft.com/office/drawing/2014/main" id="{72C80180-238E-4EC7-93CF-0F2575B66F88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849" name="AutoShape 1">
          <a:extLst>
            <a:ext uri="{FF2B5EF4-FFF2-40B4-BE49-F238E27FC236}">
              <a16:creationId xmlns:a16="http://schemas.microsoft.com/office/drawing/2014/main" id="{2FEFD07B-D300-4A7F-9520-B3B5242E6016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850" name="AutoShape 1">
          <a:extLst>
            <a:ext uri="{FF2B5EF4-FFF2-40B4-BE49-F238E27FC236}">
              <a16:creationId xmlns:a16="http://schemas.microsoft.com/office/drawing/2014/main" id="{1F835E0C-903E-45B0-9A68-3F417A6D4D8E}"/>
            </a:ext>
            <a:ext uri="{147F2762-F138-4A5C-976F-8EAC2B608ADB}">
              <a16:predDERef xmlns:a16="http://schemas.microsoft.com/office/drawing/2014/main" pred="{A9C9C4DB-4B97-447C-9099-E87BCB3C537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851" name="AutoShape 1">
          <a:extLst>
            <a:ext uri="{FF2B5EF4-FFF2-40B4-BE49-F238E27FC236}">
              <a16:creationId xmlns:a16="http://schemas.microsoft.com/office/drawing/2014/main" id="{1067F704-F01C-4F05-9C94-68577D3F39D1}"/>
            </a:ext>
            <a:ext uri="{147F2762-F138-4A5C-976F-8EAC2B608ADB}">
              <a16:predDERef xmlns:a16="http://schemas.microsoft.com/office/drawing/2014/main" pred="{CD89554D-BD76-42AD-819A-278AD445B86E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852" name="AutoShape 1">
          <a:extLst>
            <a:ext uri="{FF2B5EF4-FFF2-40B4-BE49-F238E27FC236}">
              <a16:creationId xmlns:a16="http://schemas.microsoft.com/office/drawing/2014/main" id="{49B28E0A-CA35-4B51-97DE-347D8C5B78E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853" name="AutoShape 1">
          <a:extLst>
            <a:ext uri="{FF2B5EF4-FFF2-40B4-BE49-F238E27FC236}">
              <a16:creationId xmlns:a16="http://schemas.microsoft.com/office/drawing/2014/main" id="{280EAE55-F6C0-4DA6-A0D9-F3088B2B8819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854" name="AutoShape 1">
          <a:extLst>
            <a:ext uri="{FF2B5EF4-FFF2-40B4-BE49-F238E27FC236}">
              <a16:creationId xmlns:a16="http://schemas.microsoft.com/office/drawing/2014/main" id="{6E14A963-7905-42BC-9BD9-4EA603EB5ADB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855" name="AutoShape 1">
          <a:extLst>
            <a:ext uri="{FF2B5EF4-FFF2-40B4-BE49-F238E27FC236}">
              <a16:creationId xmlns:a16="http://schemas.microsoft.com/office/drawing/2014/main" id="{5481521F-30C7-4EC1-BD8F-C6F99E555A93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856" name="AutoShape 1">
          <a:extLst>
            <a:ext uri="{FF2B5EF4-FFF2-40B4-BE49-F238E27FC236}">
              <a16:creationId xmlns:a16="http://schemas.microsoft.com/office/drawing/2014/main" id="{FDA54908-1323-4B67-86BA-1884051DD92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857" name="AutoShape 1">
          <a:extLst>
            <a:ext uri="{FF2B5EF4-FFF2-40B4-BE49-F238E27FC236}">
              <a16:creationId xmlns:a16="http://schemas.microsoft.com/office/drawing/2014/main" id="{53C444C6-D6A7-43CF-960B-02A415A931A7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858" name="AutoShape 1">
          <a:extLst>
            <a:ext uri="{FF2B5EF4-FFF2-40B4-BE49-F238E27FC236}">
              <a16:creationId xmlns:a16="http://schemas.microsoft.com/office/drawing/2014/main" id="{9A5AA98C-2EC7-45AA-B694-4BDC4A9988BB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859" name="AutoShape 1">
          <a:extLst>
            <a:ext uri="{FF2B5EF4-FFF2-40B4-BE49-F238E27FC236}">
              <a16:creationId xmlns:a16="http://schemas.microsoft.com/office/drawing/2014/main" id="{42BA98FE-EAEC-4CB3-9726-58A1EA0C0DB9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860" name="AutoShape 1">
          <a:extLst>
            <a:ext uri="{FF2B5EF4-FFF2-40B4-BE49-F238E27FC236}">
              <a16:creationId xmlns:a16="http://schemas.microsoft.com/office/drawing/2014/main" id="{8B359E73-2743-4E26-AE47-DC34D48907FF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861" name="AutoShape 1">
          <a:extLst>
            <a:ext uri="{FF2B5EF4-FFF2-40B4-BE49-F238E27FC236}">
              <a16:creationId xmlns:a16="http://schemas.microsoft.com/office/drawing/2014/main" id="{977494D2-E459-4602-9657-0EB37C7CD26C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862" name="AutoShape 1">
          <a:extLst>
            <a:ext uri="{FF2B5EF4-FFF2-40B4-BE49-F238E27FC236}">
              <a16:creationId xmlns:a16="http://schemas.microsoft.com/office/drawing/2014/main" id="{5D50FB6A-9156-4CB4-A142-1CF26EF0AD4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863" name="AutoShape 1">
          <a:extLst>
            <a:ext uri="{FF2B5EF4-FFF2-40B4-BE49-F238E27FC236}">
              <a16:creationId xmlns:a16="http://schemas.microsoft.com/office/drawing/2014/main" id="{4EBB46DA-5AFC-43DC-BEFA-5C0377F78853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864" name="AutoShape 1">
          <a:extLst>
            <a:ext uri="{FF2B5EF4-FFF2-40B4-BE49-F238E27FC236}">
              <a16:creationId xmlns:a16="http://schemas.microsoft.com/office/drawing/2014/main" id="{A90BD69C-5D69-4464-BAF5-696C81B663DA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865" name="AutoShape 1">
          <a:extLst>
            <a:ext uri="{FF2B5EF4-FFF2-40B4-BE49-F238E27FC236}">
              <a16:creationId xmlns:a16="http://schemas.microsoft.com/office/drawing/2014/main" id="{E27AF32A-06E9-4B24-B6CE-03E07EF93D34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866" name="AutoShape 1">
          <a:extLst>
            <a:ext uri="{FF2B5EF4-FFF2-40B4-BE49-F238E27FC236}">
              <a16:creationId xmlns:a16="http://schemas.microsoft.com/office/drawing/2014/main" id="{717F40B3-7B43-4BA4-A683-15AFB0E2CC8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867" name="AutoShape 1">
          <a:extLst>
            <a:ext uri="{FF2B5EF4-FFF2-40B4-BE49-F238E27FC236}">
              <a16:creationId xmlns:a16="http://schemas.microsoft.com/office/drawing/2014/main" id="{61974778-C4AD-4778-9D2F-C6CB3EA4DF3A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868" name="AutoShape 1">
          <a:extLst>
            <a:ext uri="{FF2B5EF4-FFF2-40B4-BE49-F238E27FC236}">
              <a16:creationId xmlns:a16="http://schemas.microsoft.com/office/drawing/2014/main" id="{ED294C06-18F7-4C2B-A39A-6DB2AE70B219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869" name="AutoShape 1">
          <a:extLst>
            <a:ext uri="{FF2B5EF4-FFF2-40B4-BE49-F238E27FC236}">
              <a16:creationId xmlns:a16="http://schemas.microsoft.com/office/drawing/2014/main" id="{FC0E2968-C032-4323-B195-AF569411FD7A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870" name="AutoShape 1">
          <a:extLst>
            <a:ext uri="{FF2B5EF4-FFF2-40B4-BE49-F238E27FC236}">
              <a16:creationId xmlns:a16="http://schemas.microsoft.com/office/drawing/2014/main" id="{94751853-A3A9-4241-8269-50FCA33F42DF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871" name="AutoShape 1">
          <a:extLst>
            <a:ext uri="{FF2B5EF4-FFF2-40B4-BE49-F238E27FC236}">
              <a16:creationId xmlns:a16="http://schemas.microsoft.com/office/drawing/2014/main" id="{942D9B4F-0E7A-4B0A-81C0-C8A716F96D7F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872" name="AutoShape 1">
          <a:extLst>
            <a:ext uri="{FF2B5EF4-FFF2-40B4-BE49-F238E27FC236}">
              <a16:creationId xmlns:a16="http://schemas.microsoft.com/office/drawing/2014/main" id="{1F600552-6BB3-43D0-BE02-6F0109510B2B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873" name="AutoShape 1">
          <a:extLst>
            <a:ext uri="{FF2B5EF4-FFF2-40B4-BE49-F238E27FC236}">
              <a16:creationId xmlns:a16="http://schemas.microsoft.com/office/drawing/2014/main" id="{3D559444-33E9-4EC3-80C1-3CEF9EDD79FF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874" name="AutoShape 1">
          <a:extLst>
            <a:ext uri="{FF2B5EF4-FFF2-40B4-BE49-F238E27FC236}">
              <a16:creationId xmlns:a16="http://schemas.microsoft.com/office/drawing/2014/main" id="{2DCF8D5F-1E62-4C43-9B80-4F0AACB41109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875" name="AutoShape 1">
          <a:extLst>
            <a:ext uri="{FF2B5EF4-FFF2-40B4-BE49-F238E27FC236}">
              <a16:creationId xmlns:a16="http://schemas.microsoft.com/office/drawing/2014/main" id="{28C9CFE0-BF35-4E42-8A95-1673EFFCECDE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876" name="AutoShape 1">
          <a:extLst>
            <a:ext uri="{FF2B5EF4-FFF2-40B4-BE49-F238E27FC236}">
              <a16:creationId xmlns:a16="http://schemas.microsoft.com/office/drawing/2014/main" id="{44A021C1-478B-4A30-BA55-2160E5AE94D7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877" name="AutoShape 1">
          <a:extLst>
            <a:ext uri="{FF2B5EF4-FFF2-40B4-BE49-F238E27FC236}">
              <a16:creationId xmlns:a16="http://schemas.microsoft.com/office/drawing/2014/main" id="{D9FD044D-DB09-4007-BA1A-899BDC98B0DF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878" name="AutoShape 1">
          <a:extLst>
            <a:ext uri="{FF2B5EF4-FFF2-40B4-BE49-F238E27FC236}">
              <a16:creationId xmlns:a16="http://schemas.microsoft.com/office/drawing/2014/main" id="{5A949D85-0225-4895-B98C-972FE9B5445D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879" name="AutoShape 1">
          <a:extLst>
            <a:ext uri="{FF2B5EF4-FFF2-40B4-BE49-F238E27FC236}">
              <a16:creationId xmlns:a16="http://schemas.microsoft.com/office/drawing/2014/main" id="{673BF63F-D622-4D14-9E8D-E7759385FBAE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880" name="AutoShape 1">
          <a:extLst>
            <a:ext uri="{FF2B5EF4-FFF2-40B4-BE49-F238E27FC236}">
              <a16:creationId xmlns:a16="http://schemas.microsoft.com/office/drawing/2014/main" id="{5AB2793C-18B7-4840-9C4E-C86A6DAD73AC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881" name="AutoShape 1">
          <a:extLst>
            <a:ext uri="{FF2B5EF4-FFF2-40B4-BE49-F238E27FC236}">
              <a16:creationId xmlns:a16="http://schemas.microsoft.com/office/drawing/2014/main" id="{4ECC6833-6DF3-42BD-ADDE-C5D25713B430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882" name="AutoShape 1">
          <a:extLst>
            <a:ext uri="{FF2B5EF4-FFF2-40B4-BE49-F238E27FC236}">
              <a16:creationId xmlns:a16="http://schemas.microsoft.com/office/drawing/2014/main" id="{93B0BB0C-480D-4EDE-8297-FE3B610D3749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883" name="AutoShape 1">
          <a:extLst>
            <a:ext uri="{FF2B5EF4-FFF2-40B4-BE49-F238E27FC236}">
              <a16:creationId xmlns:a16="http://schemas.microsoft.com/office/drawing/2014/main" id="{11E8BCDE-948E-46E6-BB6D-5326D4E1D6F4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884" name="AutoShape 1">
          <a:extLst>
            <a:ext uri="{FF2B5EF4-FFF2-40B4-BE49-F238E27FC236}">
              <a16:creationId xmlns:a16="http://schemas.microsoft.com/office/drawing/2014/main" id="{4C4B125D-CE80-4A38-A72C-991F74FD3850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885" name="AutoShape 1">
          <a:extLst>
            <a:ext uri="{FF2B5EF4-FFF2-40B4-BE49-F238E27FC236}">
              <a16:creationId xmlns:a16="http://schemas.microsoft.com/office/drawing/2014/main" id="{4547341C-1EE1-4E3B-8BD4-E4A7496B21CA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886" name="AutoShape 1">
          <a:extLst>
            <a:ext uri="{FF2B5EF4-FFF2-40B4-BE49-F238E27FC236}">
              <a16:creationId xmlns:a16="http://schemas.microsoft.com/office/drawing/2014/main" id="{A0A0E2EA-50A6-4152-A35A-7F6D3A49BA1B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887" name="AutoShape 1">
          <a:extLst>
            <a:ext uri="{FF2B5EF4-FFF2-40B4-BE49-F238E27FC236}">
              <a16:creationId xmlns:a16="http://schemas.microsoft.com/office/drawing/2014/main" id="{7B5E245D-80D4-4107-888A-AFDF678E06E4}"/>
            </a:ext>
            <a:ext uri="{147F2762-F138-4A5C-976F-8EAC2B608ADB}">
              <a16:predDERef xmlns:a16="http://schemas.microsoft.com/office/drawing/2014/main" pred="{A9C9C4DB-4B97-447C-9099-E87BCB3C537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716</xdr:row>
      <xdr:rowOff>0</xdr:rowOff>
    </xdr:from>
    <xdr:ext cx="304800" cy="304800"/>
    <xdr:sp macro="" textlink="">
      <xdr:nvSpPr>
        <xdr:cNvPr id="2888" name="AutoShape 1">
          <a:extLst>
            <a:ext uri="{FF2B5EF4-FFF2-40B4-BE49-F238E27FC236}">
              <a16:creationId xmlns:a16="http://schemas.microsoft.com/office/drawing/2014/main" id="{DF2D7CE3-2200-4F8E-B10C-C15F385883F4}"/>
            </a:ext>
            <a:ext uri="{147F2762-F138-4A5C-976F-8EAC2B608ADB}">
              <a16:predDERef xmlns:a16="http://schemas.microsoft.com/office/drawing/2014/main" pred="{CD89554D-BD76-42AD-819A-278AD445B86E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7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746</xdr:row>
      <xdr:rowOff>0</xdr:rowOff>
    </xdr:from>
    <xdr:ext cx="304800" cy="304800"/>
    <xdr:sp macro="" textlink="">
      <xdr:nvSpPr>
        <xdr:cNvPr id="2889" name="AutoShape 1">
          <a:extLst>
            <a:ext uri="{FF2B5EF4-FFF2-40B4-BE49-F238E27FC236}">
              <a16:creationId xmlns:a16="http://schemas.microsoft.com/office/drawing/2014/main" id="{19F7ADCA-A7E8-4478-92A1-F1DABEA85A6B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4277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746</xdr:row>
      <xdr:rowOff>0</xdr:rowOff>
    </xdr:from>
    <xdr:ext cx="304800" cy="304800"/>
    <xdr:sp macro="" textlink="">
      <xdr:nvSpPr>
        <xdr:cNvPr id="2890" name="AutoShape 1">
          <a:extLst>
            <a:ext uri="{FF2B5EF4-FFF2-40B4-BE49-F238E27FC236}">
              <a16:creationId xmlns:a16="http://schemas.microsoft.com/office/drawing/2014/main" id="{26CA0F8C-82AB-46FF-BB2C-357FC19EE08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4277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778</xdr:row>
      <xdr:rowOff>0</xdr:rowOff>
    </xdr:from>
    <xdr:ext cx="304800" cy="304800"/>
    <xdr:sp macro="" textlink="">
      <xdr:nvSpPr>
        <xdr:cNvPr id="2891" name="AutoShape 1">
          <a:extLst>
            <a:ext uri="{FF2B5EF4-FFF2-40B4-BE49-F238E27FC236}">
              <a16:creationId xmlns:a16="http://schemas.microsoft.com/office/drawing/2014/main" id="{BD34EC2E-8AAD-4C7B-90E5-1BB7DF0417DA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4896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778</xdr:row>
      <xdr:rowOff>0</xdr:rowOff>
    </xdr:from>
    <xdr:ext cx="304800" cy="304800"/>
    <xdr:sp macro="" textlink="">
      <xdr:nvSpPr>
        <xdr:cNvPr id="2892" name="AutoShape 1">
          <a:extLst>
            <a:ext uri="{FF2B5EF4-FFF2-40B4-BE49-F238E27FC236}">
              <a16:creationId xmlns:a16="http://schemas.microsoft.com/office/drawing/2014/main" id="{C7D9A0EE-3B76-4B8D-8007-1FE8B561AC59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4896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809</xdr:row>
      <xdr:rowOff>0</xdr:rowOff>
    </xdr:from>
    <xdr:ext cx="304800" cy="304800"/>
    <xdr:sp macro="" textlink="">
      <xdr:nvSpPr>
        <xdr:cNvPr id="2893" name="AutoShape 1">
          <a:extLst>
            <a:ext uri="{FF2B5EF4-FFF2-40B4-BE49-F238E27FC236}">
              <a16:creationId xmlns:a16="http://schemas.microsoft.com/office/drawing/2014/main" id="{F3513CD0-A663-4B28-8D40-57EAF4C862A6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5496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809</xdr:row>
      <xdr:rowOff>0</xdr:rowOff>
    </xdr:from>
    <xdr:ext cx="304800" cy="304800"/>
    <xdr:sp macro="" textlink="">
      <xdr:nvSpPr>
        <xdr:cNvPr id="2894" name="AutoShape 1">
          <a:extLst>
            <a:ext uri="{FF2B5EF4-FFF2-40B4-BE49-F238E27FC236}">
              <a16:creationId xmlns:a16="http://schemas.microsoft.com/office/drawing/2014/main" id="{AE5A74F8-67AA-4471-B154-B2B4D3D5FDC9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5496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849</xdr:row>
      <xdr:rowOff>0</xdr:rowOff>
    </xdr:from>
    <xdr:ext cx="304800" cy="304800"/>
    <xdr:sp macro="" textlink="">
      <xdr:nvSpPr>
        <xdr:cNvPr id="2895" name="AutoShape 1">
          <a:extLst>
            <a:ext uri="{FF2B5EF4-FFF2-40B4-BE49-F238E27FC236}">
              <a16:creationId xmlns:a16="http://schemas.microsoft.com/office/drawing/2014/main" id="{0EE1D11D-8011-4FB4-83F3-863A6DE330D1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6262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849</xdr:row>
      <xdr:rowOff>0</xdr:rowOff>
    </xdr:from>
    <xdr:ext cx="304800" cy="304800"/>
    <xdr:sp macro="" textlink="">
      <xdr:nvSpPr>
        <xdr:cNvPr id="2896" name="AutoShape 1">
          <a:extLst>
            <a:ext uri="{FF2B5EF4-FFF2-40B4-BE49-F238E27FC236}">
              <a16:creationId xmlns:a16="http://schemas.microsoft.com/office/drawing/2014/main" id="{D7DC8AB7-BB95-45F7-92F2-12D3A02E443C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6262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885</xdr:row>
      <xdr:rowOff>0</xdr:rowOff>
    </xdr:from>
    <xdr:ext cx="304800" cy="304800"/>
    <xdr:sp macro="" textlink="">
      <xdr:nvSpPr>
        <xdr:cNvPr id="2897" name="AutoShape 1">
          <a:extLst>
            <a:ext uri="{FF2B5EF4-FFF2-40B4-BE49-F238E27FC236}">
              <a16:creationId xmlns:a16="http://schemas.microsoft.com/office/drawing/2014/main" id="{0B98167B-547C-4FD3-A5E4-969015CFFB1E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6954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885</xdr:row>
      <xdr:rowOff>0</xdr:rowOff>
    </xdr:from>
    <xdr:ext cx="304800" cy="304800"/>
    <xdr:sp macro="" textlink="">
      <xdr:nvSpPr>
        <xdr:cNvPr id="2898" name="AutoShape 1">
          <a:extLst>
            <a:ext uri="{FF2B5EF4-FFF2-40B4-BE49-F238E27FC236}">
              <a16:creationId xmlns:a16="http://schemas.microsoft.com/office/drawing/2014/main" id="{883CB529-39E7-4545-9782-8591B41D016B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6954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915</xdr:row>
      <xdr:rowOff>0</xdr:rowOff>
    </xdr:from>
    <xdr:ext cx="304800" cy="304800"/>
    <xdr:sp macro="" textlink="">
      <xdr:nvSpPr>
        <xdr:cNvPr id="2899" name="AutoShape 1">
          <a:extLst>
            <a:ext uri="{FF2B5EF4-FFF2-40B4-BE49-F238E27FC236}">
              <a16:creationId xmlns:a16="http://schemas.microsoft.com/office/drawing/2014/main" id="{94AE7CB2-2C2E-47BA-BAD7-46E22C95023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7532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915</xdr:row>
      <xdr:rowOff>0</xdr:rowOff>
    </xdr:from>
    <xdr:ext cx="304800" cy="304800"/>
    <xdr:sp macro="" textlink="">
      <xdr:nvSpPr>
        <xdr:cNvPr id="2900" name="AutoShape 1">
          <a:extLst>
            <a:ext uri="{FF2B5EF4-FFF2-40B4-BE49-F238E27FC236}">
              <a16:creationId xmlns:a16="http://schemas.microsoft.com/office/drawing/2014/main" id="{11D7013D-94F3-460A-BB3E-055E4B8885CB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7532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943</xdr:row>
      <xdr:rowOff>0</xdr:rowOff>
    </xdr:from>
    <xdr:ext cx="304800" cy="304800"/>
    <xdr:sp macro="" textlink="">
      <xdr:nvSpPr>
        <xdr:cNvPr id="2901" name="AutoShape 1">
          <a:extLst>
            <a:ext uri="{FF2B5EF4-FFF2-40B4-BE49-F238E27FC236}">
              <a16:creationId xmlns:a16="http://schemas.microsoft.com/office/drawing/2014/main" id="{742D6184-D806-4740-9115-F417255265F1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8074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943</xdr:row>
      <xdr:rowOff>0</xdr:rowOff>
    </xdr:from>
    <xdr:ext cx="304800" cy="304800"/>
    <xdr:sp macro="" textlink="">
      <xdr:nvSpPr>
        <xdr:cNvPr id="2902" name="AutoShape 1">
          <a:extLst>
            <a:ext uri="{FF2B5EF4-FFF2-40B4-BE49-F238E27FC236}">
              <a16:creationId xmlns:a16="http://schemas.microsoft.com/office/drawing/2014/main" id="{A89434E0-5E46-496A-987E-620600EE64F1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8074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131</xdr:row>
      <xdr:rowOff>0</xdr:rowOff>
    </xdr:from>
    <xdr:ext cx="304800" cy="304800"/>
    <xdr:sp macro="" textlink="">
      <xdr:nvSpPr>
        <xdr:cNvPr id="2903" name="AutoShape 1">
          <a:extLst>
            <a:ext uri="{FF2B5EF4-FFF2-40B4-BE49-F238E27FC236}">
              <a16:creationId xmlns:a16="http://schemas.microsoft.com/office/drawing/2014/main" id="{63D99A2D-1ED4-4D9E-95CC-EA47F01D71AB}"/>
            </a:ext>
          </a:extLst>
        </xdr:cNvPr>
        <xdr:cNvSpPr>
          <a:spLocks noChangeAspect="1" noChangeArrowheads="1"/>
        </xdr:cNvSpPr>
      </xdr:nvSpPr>
      <xdr:spPr bwMode="auto">
        <a:xfrm>
          <a:off x="1390650" y="2510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139</xdr:row>
      <xdr:rowOff>0</xdr:rowOff>
    </xdr:from>
    <xdr:ext cx="304800" cy="304800"/>
    <xdr:sp macro="" textlink="">
      <xdr:nvSpPr>
        <xdr:cNvPr id="2904" name="AutoShape 1">
          <a:extLst>
            <a:ext uri="{FF2B5EF4-FFF2-40B4-BE49-F238E27FC236}">
              <a16:creationId xmlns:a16="http://schemas.microsoft.com/office/drawing/2014/main" id="{82267CBC-4F37-44EA-8696-34641788B2B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2657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185</xdr:row>
      <xdr:rowOff>0</xdr:rowOff>
    </xdr:from>
    <xdr:ext cx="304800" cy="304800"/>
    <xdr:sp macro="" textlink="">
      <xdr:nvSpPr>
        <xdr:cNvPr id="2905" name="AutoShape 1">
          <a:extLst>
            <a:ext uri="{FF2B5EF4-FFF2-40B4-BE49-F238E27FC236}">
              <a16:creationId xmlns:a16="http://schemas.microsoft.com/office/drawing/2014/main" id="{E39EF337-70CB-4828-A801-FB642F1F6D7A}"/>
            </a:ext>
          </a:extLst>
        </xdr:cNvPr>
        <xdr:cNvSpPr>
          <a:spLocks noChangeAspect="1" noChangeArrowheads="1"/>
        </xdr:cNvSpPr>
      </xdr:nvSpPr>
      <xdr:spPr bwMode="auto">
        <a:xfrm>
          <a:off x="1390650" y="3533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193</xdr:row>
      <xdr:rowOff>0</xdr:rowOff>
    </xdr:from>
    <xdr:ext cx="304800" cy="304800"/>
    <xdr:sp macro="" textlink="">
      <xdr:nvSpPr>
        <xdr:cNvPr id="2906" name="AutoShape 1">
          <a:extLst>
            <a:ext uri="{FF2B5EF4-FFF2-40B4-BE49-F238E27FC236}">
              <a16:creationId xmlns:a16="http://schemas.microsoft.com/office/drawing/2014/main" id="{E817076F-D14F-4265-9A38-AEDAD25B6DA1}"/>
            </a:ext>
          </a:extLst>
        </xdr:cNvPr>
        <xdr:cNvSpPr>
          <a:spLocks noChangeAspect="1" noChangeArrowheads="1"/>
        </xdr:cNvSpPr>
      </xdr:nvSpPr>
      <xdr:spPr bwMode="auto">
        <a:xfrm>
          <a:off x="1390650" y="3681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229</xdr:row>
      <xdr:rowOff>0</xdr:rowOff>
    </xdr:from>
    <xdr:ext cx="304800" cy="304800"/>
    <xdr:sp macro="" textlink="">
      <xdr:nvSpPr>
        <xdr:cNvPr id="2907" name="AutoShape 1">
          <a:extLst>
            <a:ext uri="{FF2B5EF4-FFF2-40B4-BE49-F238E27FC236}">
              <a16:creationId xmlns:a16="http://schemas.microsoft.com/office/drawing/2014/main" id="{6E545A1B-69E8-4CDB-A35C-2946D8410AD1}"/>
            </a:ext>
          </a:extLst>
        </xdr:cNvPr>
        <xdr:cNvSpPr>
          <a:spLocks noChangeAspect="1" noChangeArrowheads="1"/>
        </xdr:cNvSpPr>
      </xdr:nvSpPr>
      <xdr:spPr bwMode="auto">
        <a:xfrm>
          <a:off x="1390650" y="4369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237</xdr:row>
      <xdr:rowOff>0</xdr:rowOff>
    </xdr:from>
    <xdr:ext cx="304800" cy="304800"/>
    <xdr:sp macro="" textlink="">
      <xdr:nvSpPr>
        <xdr:cNvPr id="2908" name="AutoShape 1">
          <a:extLst>
            <a:ext uri="{FF2B5EF4-FFF2-40B4-BE49-F238E27FC236}">
              <a16:creationId xmlns:a16="http://schemas.microsoft.com/office/drawing/2014/main" id="{B82B11D9-1124-42E1-A671-3388B87072BB}"/>
            </a:ext>
          </a:extLst>
        </xdr:cNvPr>
        <xdr:cNvSpPr>
          <a:spLocks noChangeAspect="1" noChangeArrowheads="1"/>
        </xdr:cNvSpPr>
      </xdr:nvSpPr>
      <xdr:spPr bwMode="auto">
        <a:xfrm>
          <a:off x="1390650" y="4516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290</xdr:row>
      <xdr:rowOff>0</xdr:rowOff>
    </xdr:from>
    <xdr:ext cx="304800" cy="304800"/>
    <xdr:sp macro="" textlink="">
      <xdr:nvSpPr>
        <xdr:cNvPr id="2909" name="AutoShape 1">
          <a:extLst>
            <a:ext uri="{FF2B5EF4-FFF2-40B4-BE49-F238E27FC236}">
              <a16:creationId xmlns:a16="http://schemas.microsoft.com/office/drawing/2014/main" id="{80EF7306-8A8A-48A7-9BA0-8575D364A4C9}"/>
            </a:ext>
          </a:extLst>
        </xdr:cNvPr>
        <xdr:cNvSpPr>
          <a:spLocks noChangeAspect="1" noChangeArrowheads="1"/>
        </xdr:cNvSpPr>
      </xdr:nvSpPr>
      <xdr:spPr bwMode="auto">
        <a:xfrm>
          <a:off x="1390650" y="5547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298</xdr:row>
      <xdr:rowOff>0</xdr:rowOff>
    </xdr:from>
    <xdr:ext cx="304800" cy="304800"/>
    <xdr:sp macro="" textlink="">
      <xdr:nvSpPr>
        <xdr:cNvPr id="2910" name="AutoShape 1">
          <a:extLst>
            <a:ext uri="{FF2B5EF4-FFF2-40B4-BE49-F238E27FC236}">
              <a16:creationId xmlns:a16="http://schemas.microsoft.com/office/drawing/2014/main" id="{DC66B7C3-9CBA-49F8-968C-56A7614BFF49}"/>
            </a:ext>
          </a:extLst>
        </xdr:cNvPr>
        <xdr:cNvSpPr>
          <a:spLocks noChangeAspect="1" noChangeArrowheads="1"/>
        </xdr:cNvSpPr>
      </xdr:nvSpPr>
      <xdr:spPr bwMode="auto">
        <a:xfrm>
          <a:off x="1390650" y="5694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335</xdr:row>
      <xdr:rowOff>0</xdr:rowOff>
    </xdr:from>
    <xdr:ext cx="304800" cy="304800"/>
    <xdr:sp macro="" textlink="">
      <xdr:nvSpPr>
        <xdr:cNvPr id="2911" name="AutoShape 1">
          <a:extLst>
            <a:ext uri="{FF2B5EF4-FFF2-40B4-BE49-F238E27FC236}">
              <a16:creationId xmlns:a16="http://schemas.microsoft.com/office/drawing/2014/main" id="{A836076F-B619-416E-A5C0-EB8495B6DCFA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402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343</xdr:row>
      <xdr:rowOff>0</xdr:rowOff>
    </xdr:from>
    <xdr:ext cx="304800" cy="304800"/>
    <xdr:sp macro="" textlink="">
      <xdr:nvSpPr>
        <xdr:cNvPr id="2912" name="AutoShape 1">
          <a:extLst>
            <a:ext uri="{FF2B5EF4-FFF2-40B4-BE49-F238E27FC236}">
              <a16:creationId xmlns:a16="http://schemas.microsoft.com/office/drawing/2014/main" id="{7B7485FE-2802-43D5-B2DA-FF2AD699F4F9}"/>
            </a:ext>
          </a:extLst>
        </xdr:cNvPr>
        <xdr:cNvSpPr>
          <a:spLocks noChangeAspect="1" noChangeArrowheads="1"/>
        </xdr:cNvSpPr>
      </xdr:nvSpPr>
      <xdr:spPr bwMode="auto">
        <a:xfrm>
          <a:off x="1390650" y="6549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379</xdr:row>
      <xdr:rowOff>0</xdr:rowOff>
    </xdr:from>
    <xdr:ext cx="304800" cy="304800"/>
    <xdr:sp macro="" textlink="">
      <xdr:nvSpPr>
        <xdr:cNvPr id="2913" name="AutoShape 1">
          <a:extLst>
            <a:ext uri="{FF2B5EF4-FFF2-40B4-BE49-F238E27FC236}">
              <a16:creationId xmlns:a16="http://schemas.microsoft.com/office/drawing/2014/main" id="{DE01683C-4456-4202-9AF7-F11E52E501EC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7238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411</xdr:row>
      <xdr:rowOff>0</xdr:rowOff>
    </xdr:from>
    <xdr:ext cx="304800" cy="304800"/>
    <xdr:sp macro="" textlink="">
      <xdr:nvSpPr>
        <xdr:cNvPr id="2914" name="AutoShape 1">
          <a:extLst>
            <a:ext uri="{FF2B5EF4-FFF2-40B4-BE49-F238E27FC236}">
              <a16:creationId xmlns:a16="http://schemas.microsoft.com/office/drawing/2014/main" id="{F49DB026-2B62-4F64-9ABB-28C1FEC5F038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7856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419</xdr:row>
      <xdr:rowOff>0</xdr:rowOff>
    </xdr:from>
    <xdr:ext cx="304800" cy="304800"/>
    <xdr:sp macro="" textlink="">
      <xdr:nvSpPr>
        <xdr:cNvPr id="2915" name="AutoShape 1">
          <a:extLst>
            <a:ext uri="{FF2B5EF4-FFF2-40B4-BE49-F238E27FC236}">
              <a16:creationId xmlns:a16="http://schemas.microsoft.com/office/drawing/2014/main" id="{AF6A3376-7A54-460C-B7E2-15187838EBEE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003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462</xdr:row>
      <xdr:rowOff>0</xdr:rowOff>
    </xdr:from>
    <xdr:ext cx="304800" cy="304800"/>
    <xdr:sp macro="" textlink="">
      <xdr:nvSpPr>
        <xdr:cNvPr id="2916" name="AutoShape 1">
          <a:extLst>
            <a:ext uri="{FF2B5EF4-FFF2-40B4-BE49-F238E27FC236}">
              <a16:creationId xmlns:a16="http://schemas.microsoft.com/office/drawing/2014/main" id="{191AF337-0F54-4EDF-A83A-8792C7C07B0F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823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462</xdr:row>
      <xdr:rowOff>0</xdr:rowOff>
    </xdr:from>
    <xdr:ext cx="304800" cy="304800"/>
    <xdr:sp macro="" textlink="">
      <xdr:nvSpPr>
        <xdr:cNvPr id="2917" name="AutoShape 1">
          <a:extLst>
            <a:ext uri="{FF2B5EF4-FFF2-40B4-BE49-F238E27FC236}">
              <a16:creationId xmlns:a16="http://schemas.microsoft.com/office/drawing/2014/main" id="{3FD47744-3F8C-4C99-BF6E-4C1282027240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8823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516</xdr:row>
      <xdr:rowOff>0</xdr:rowOff>
    </xdr:from>
    <xdr:ext cx="304800" cy="304800"/>
    <xdr:sp macro="" textlink="">
      <xdr:nvSpPr>
        <xdr:cNvPr id="2918" name="AutoShape 1">
          <a:extLst>
            <a:ext uri="{FF2B5EF4-FFF2-40B4-BE49-F238E27FC236}">
              <a16:creationId xmlns:a16="http://schemas.microsoft.com/office/drawing/2014/main" id="{63FB3F3C-6524-497A-BDE2-ACC98543C5B6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9872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524</xdr:row>
      <xdr:rowOff>0</xdr:rowOff>
    </xdr:from>
    <xdr:ext cx="304800" cy="304800"/>
    <xdr:sp macro="" textlink="">
      <xdr:nvSpPr>
        <xdr:cNvPr id="2919" name="AutoShape 1">
          <a:extLst>
            <a:ext uri="{FF2B5EF4-FFF2-40B4-BE49-F238E27FC236}">
              <a16:creationId xmlns:a16="http://schemas.microsoft.com/office/drawing/2014/main" id="{4D419527-C81C-486C-89BE-B3BDC252E1B7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020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553</xdr:row>
      <xdr:rowOff>0</xdr:rowOff>
    </xdr:from>
    <xdr:ext cx="304800" cy="304800"/>
    <xdr:sp macro="" textlink="">
      <xdr:nvSpPr>
        <xdr:cNvPr id="2920" name="AutoShape 1">
          <a:extLst>
            <a:ext uri="{FF2B5EF4-FFF2-40B4-BE49-F238E27FC236}">
              <a16:creationId xmlns:a16="http://schemas.microsoft.com/office/drawing/2014/main" id="{DEEA4A2F-6526-4D18-8BD3-48EFAD65AC6D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580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561</xdr:row>
      <xdr:rowOff>0</xdr:rowOff>
    </xdr:from>
    <xdr:ext cx="304800" cy="304800"/>
    <xdr:sp macro="" textlink="">
      <xdr:nvSpPr>
        <xdr:cNvPr id="2921" name="AutoShape 1">
          <a:extLst>
            <a:ext uri="{FF2B5EF4-FFF2-40B4-BE49-F238E27FC236}">
              <a16:creationId xmlns:a16="http://schemas.microsoft.com/office/drawing/2014/main" id="{0DA7FA33-106B-45C5-ACE4-9519C189A001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0727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591</xdr:row>
      <xdr:rowOff>0</xdr:rowOff>
    </xdr:from>
    <xdr:ext cx="304800" cy="304800"/>
    <xdr:sp macro="" textlink="">
      <xdr:nvSpPr>
        <xdr:cNvPr id="2922" name="AutoShape 1">
          <a:extLst>
            <a:ext uri="{FF2B5EF4-FFF2-40B4-BE49-F238E27FC236}">
              <a16:creationId xmlns:a16="http://schemas.microsoft.com/office/drawing/2014/main" id="{B81A4219-19BD-4E41-A5B0-9944112B902E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308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599</xdr:row>
      <xdr:rowOff>0</xdr:rowOff>
    </xdr:from>
    <xdr:ext cx="304800" cy="304800"/>
    <xdr:sp macro="" textlink="">
      <xdr:nvSpPr>
        <xdr:cNvPr id="2923" name="AutoShape 1">
          <a:extLst>
            <a:ext uri="{FF2B5EF4-FFF2-40B4-BE49-F238E27FC236}">
              <a16:creationId xmlns:a16="http://schemas.microsoft.com/office/drawing/2014/main" id="{DD852AA6-1154-4BC5-801A-BFC36957854F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1456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635</xdr:row>
      <xdr:rowOff>0</xdr:rowOff>
    </xdr:from>
    <xdr:ext cx="304800" cy="304800"/>
    <xdr:sp macro="" textlink="">
      <xdr:nvSpPr>
        <xdr:cNvPr id="2924" name="AutoShape 1">
          <a:extLst>
            <a:ext uri="{FF2B5EF4-FFF2-40B4-BE49-F238E27FC236}">
              <a16:creationId xmlns:a16="http://schemas.microsoft.com/office/drawing/2014/main" id="{D4FF66FD-065B-458C-A7A6-553CE36473D4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147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643</xdr:row>
      <xdr:rowOff>0</xdr:rowOff>
    </xdr:from>
    <xdr:ext cx="304800" cy="304800"/>
    <xdr:sp macro="" textlink="">
      <xdr:nvSpPr>
        <xdr:cNvPr id="2925" name="AutoShape 1">
          <a:extLst>
            <a:ext uri="{FF2B5EF4-FFF2-40B4-BE49-F238E27FC236}">
              <a16:creationId xmlns:a16="http://schemas.microsoft.com/office/drawing/2014/main" id="{ADD4A2DC-2766-407A-8FE1-DE2F165F71ED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294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673</xdr:row>
      <xdr:rowOff>0</xdr:rowOff>
    </xdr:from>
    <xdr:ext cx="304800" cy="304800"/>
    <xdr:sp macro="" textlink="">
      <xdr:nvSpPr>
        <xdr:cNvPr id="2926" name="AutoShape 1">
          <a:extLst>
            <a:ext uri="{FF2B5EF4-FFF2-40B4-BE49-F238E27FC236}">
              <a16:creationId xmlns:a16="http://schemas.microsoft.com/office/drawing/2014/main" id="{65FFC836-4498-4FC1-A444-91812B8C28FE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2875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681</xdr:row>
      <xdr:rowOff>0</xdr:rowOff>
    </xdr:from>
    <xdr:ext cx="304800" cy="304800"/>
    <xdr:sp macro="" textlink="">
      <xdr:nvSpPr>
        <xdr:cNvPr id="2927" name="AutoShape 1">
          <a:extLst>
            <a:ext uri="{FF2B5EF4-FFF2-40B4-BE49-F238E27FC236}">
              <a16:creationId xmlns:a16="http://schemas.microsoft.com/office/drawing/2014/main" id="{7E19D341-CF99-448E-A08E-ACAA53E18336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3023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17</xdr:row>
      <xdr:rowOff>0</xdr:rowOff>
    </xdr:from>
    <xdr:ext cx="304800" cy="304800"/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F51E7741-9D4C-4A7A-8A0E-E66BA171DD31}"/>
            </a:ext>
          </a:extLst>
        </xdr:cNvPr>
        <xdr:cNvSpPr>
          <a:spLocks noChangeAspect="1" noChangeArrowheads="1"/>
        </xdr:cNvSpPr>
      </xdr:nvSpPr>
      <xdr:spPr bwMode="auto">
        <a:xfrm>
          <a:off x="2959100" y="333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04800"/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912D6B8C-F61A-4B3A-9323-04181D441DD1}"/>
            </a:ext>
          </a:extLst>
        </xdr:cNvPr>
        <xdr:cNvSpPr>
          <a:spLocks noChangeAspect="1" noChangeArrowheads="1"/>
        </xdr:cNvSpPr>
      </xdr:nvSpPr>
      <xdr:spPr bwMode="auto">
        <a:xfrm>
          <a:off x="2959100" y="333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04800"/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177D1E34-8ECF-482B-9C28-B20A400F28C6}"/>
            </a:ext>
          </a:extLst>
        </xdr:cNvPr>
        <xdr:cNvSpPr>
          <a:spLocks noChangeAspect="1" noChangeArrowheads="1"/>
        </xdr:cNvSpPr>
      </xdr:nvSpPr>
      <xdr:spPr bwMode="auto">
        <a:xfrm>
          <a:off x="2959100" y="333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04800"/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1F6CC77F-F5DB-42AE-B995-08A55B36829E}"/>
            </a:ext>
          </a:extLst>
        </xdr:cNvPr>
        <xdr:cNvSpPr>
          <a:spLocks noChangeAspect="1" noChangeArrowheads="1"/>
        </xdr:cNvSpPr>
      </xdr:nvSpPr>
      <xdr:spPr bwMode="auto">
        <a:xfrm>
          <a:off x="2959100" y="333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04800"/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3582F818-A540-474C-8B10-3B4A24BADD7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333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04800"/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035AD3AA-7B9A-47FF-86FC-4DA170CD8FFC}"/>
            </a:ext>
          </a:extLst>
        </xdr:cNvPr>
        <xdr:cNvSpPr>
          <a:spLocks noChangeAspect="1" noChangeArrowheads="1"/>
        </xdr:cNvSpPr>
      </xdr:nvSpPr>
      <xdr:spPr bwMode="auto">
        <a:xfrm>
          <a:off x="2959100" y="333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04800"/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B9267F34-6C20-4542-9866-571ACBB1CD0B}"/>
            </a:ext>
          </a:extLst>
        </xdr:cNvPr>
        <xdr:cNvSpPr>
          <a:spLocks noChangeAspect="1" noChangeArrowheads="1"/>
        </xdr:cNvSpPr>
      </xdr:nvSpPr>
      <xdr:spPr bwMode="auto">
        <a:xfrm>
          <a:off x="2959100" y="333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04800"/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7F3DC017-1588-4B5D-A3A5-9301DD5B2DBB}"/>
            </a:ext>
          </a:extLst>
        </xdr:cNvPr>
        <xdr:cNvSpPr>
          <a:spLocks noChangeAspect="1" noChangeArrowheads="1"/>
        </xdr:cNvSpPr>
      </xdr:nvSpPr>
      <xdr:spPr bwMode="auto">
        <a:xfrm>
          <a:off x="2959100" y="333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04800"/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1756E40D-B238-42EB-992B-EB6CD44445F3}"/>
            </a:ext>
          </a:extLst>
        </xdr:cNvPr>
        <xdr:cNvSpPr>
          <a:spLocks noChangeAspect="1" noChangeArrowheads="1"/>
        </xdr:cNvSpPr>
      </xdr:nvSpPr>
      <xdr:spPr bwMode="auto">
        <a:xfrm>
          <a:off x="2959100" y="333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04800"/>
    <xdr:sp macro="" textlink="">
      <xdr:nvSpPr>
        <xdr:cNvPr id="11" name="AutoShape 1">
          <a:extLst>
            <a:ext uri="{FF2B5EF4-FFF2-40B4-BE49-F238E27FC236}">
              <a16:creationId xmlns:a16="http://schemas.microsoft.com/office/drawing/2014/main" id="{DC7D3A28-4FB7-4D2F-9FF3-A8FC8CC1A1AE}"/>
            </a:ext>
          </a:extLst>
        </xdr:cNvPr>
        <xdr:cNvSpPr>
          <a:spLocks noChangeAspect="1" noChangeArrowheads="1"/>
        </xdr:cNvSpPr>
      </xdr:nvSpPr>
      <xdr:spPr bwMode="auto">
        <a:xfrm>
          <a:off x="2959100" y="333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04800"/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819F6376-C97D-4385-BF06-FE87157A17C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333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04800"/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4BDBBA96-D7E6-4840-B906-F2563B0E6581}"/>
            </a:ext>
          </a:extLst>
        </xdr:cNvPr>
        <xdr:cNvSpPr>
          <a:spLocks noChangeAspect="1" noChangeArrowheads="1"/>
        </xdr:cNvSpPr>
      </xdr:nvSpPr>
      <xdr:spPr bwMode="auto">
        <a:xfrm>
          <a:off x="2959100" y="333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04800"/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A57AA6CD-DCD1-43CC-B7B0-4A86102BE126}"/>
            </a:ext>
          </a:extLst>
        </xdr:cNvPr>
        <xdr:cNvSpPr>
          <a:spLocks noChangeAspect="1" noChangeArrowheads="1"/>
        </xdr:cNvSpPr>
      </xdr:nvSpPr>
      <xdr:spPr bwMode="auto">
        <a:xfrm>
          <a:off x="2959100" y="333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04800"/>
    <xdr:sp macro="" textlink="">
      <xdr:nvSpPr>
        <xdr:cNvPr id="15" name="AutoShape 1">
          <a:extLst>
            <a:ext uri="{FF2B5EF4-FFF2-40B4-BE49-F238E27FC236}">
              <a16:creationId xmlns:a16="http://schemas.microsoft.com/office/drawing/2014/main" id="{7BB333F1-D950-4B25-BD3A-1F36805E4059}"/>
            </a:ext>
          </a:extLst>
        </xdr:cNvPr>
        <xdr:cNvSpPr>
          <a:spLocks noChangeAspect="1" noChangeArrowheads="1"/>
        </xdr:cNvSpPr>
      </xdr:nvSpPr>
      <xdr:spPr bwMode="auto">
        <a:xfrm>
          <a:off x="2959100" y="333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04800"/>
    <xdr:sp macro="" textlink="">
      <xdr:nvSpPr>
        <xdr:cNvPr id="16" name="AutoShape 1">
          <a:extLst>
            <a:ext uri="{FF2B5EF4-FFF2-40B4-BE49-F238E27FC236}">
              <a16:creationId xmlns:a16="http://schemas.microsoft.com/office/drawing/2014/main" id="{DACE738A-78E2-4E50-BCA9-CEFC9056016B}"/>
            </a:ext>
          </a:extLst>
        </xdr:cNvPr>
        <xdr:cNvSpPr>
          <a:spLocks noChangeAspect="1" noChangeArrowheads="1"/>
        </xdr:cNvSpPr>
      </xdr:nvSpPr>
      <xdr:spPr bwMode="auto">
        <a:xfrm>
          <a:off x="2959100" y="333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04800"/>
    <xdr:sp macro="" textlink="">
      <xdr:nvSpPr>
        <xdr:cNvPr id="17" name="AutoShape 1">
          <a:extLst>
            <a:ext uri="{FF2B5EF4-FFF2-40B4-BE49-F238E27FC236}">
              <a16:creationId xmlns:a16="http://schemas.microsoft.com/office/drawing/2014/main" id="{215C619C-9EA0-4D60-BA24-50B4B6B93864}"/>
            </a:ext>
          </a:extLst>
        </xdr:cNvPr>
        <xdr:cNvSpPr>
          <a:spLocks noChangeAspect="1" noChangeArrowheads="1"/>
        </xdr:cNvSpPr>
      </xdr:nvSpPr>
      <xdr:spPr bwMode="auto">
        <a:xfrm>
          <a:off x="2959100" y="333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04800"/>
    <xdr:sp macro="" textlink="">
      <xdr:nvSpPr>
        <xdr:cNvPr id="18" name="AutoShape 1">
          <a:extLst>
            <a:ext uri="{FF2B5EF4-FFF2-40B4-BE49-F238E27FC236}">
              <a16:creationId xmlns:a16="http://schemas.microsoft.com/office/drawing/2014/main" id="{4E7DAC09-DEDA-4E76-AC8C-13A81ECD882A}"/>
            </a:ext>
          </a:extLst>
        </xdr:cNvPr>
        <xdr:cNvSpPr>
          <a:spLocks noChangeAspect="1" noChangeArrowheads="1"/>
        </xdr:cNvSpPr>
      </xdr:nvSpPr>
      <xdr:spPr bwMode="auto">
        <a:xfrm>
          <a:off x="2959100" y="333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04800"/>
    <xdr:sp macro="" textlink="">
      <xdr:nvSpPr>
        <xdr:cNvPr id="19" name="AutoShape 1">
          <a:extLst>
            <a:ext uri="{FF2B5EF4-FFF2-40B4-BE49-F238E27FC236}">
              <a16:creationId xmlns:a16="http://schemas.microsoft.com/office/drawing/2014/main" id="{7A20AB90-4B57-4235-BB57-4B800562AC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333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04800"/>
    <xdr:sp macro="" textlink="">
      <xdr:nvSpPr>
        <xdr:cNvPr id="20" name="AutoShape 1">
          <a:extLst>
            <a:ext uri="{FF2B5EF4-FFF2-40B4-BE49-F238E27FC236}">
              <a16:creationId xmlns:a16="http://schemas.microsoft.com/office/drawing/2014/main" id="{8ED1F469-0561-4DEB-A781-6D9EEB762580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333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04800"/>
    <xdr:sp macro="" textlink="">
      <xdr:nvSpPr>
        <xdr:cNvPr id="21" name="AutoShape 1">
          <a:extLst>
            <a:ext uri="{FF2B5EF4-FFF2-40B4-BE49-F238E27FC236}">
              <a16:creationId xmlns:a16="http://schemas.microsoft.com/office/drawing/2014/main" id="{7C44D59C-661B-47EF-BDDF-16CCBDC3CE60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333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04800"/>
    <xdr:sp macro="" textlink="">
      <xdr:nvSpPr>
        <xdr:cNvPr id="22" name="AutoShape 1">
          <a:extLst>
            <a:ext uri="{FF2B5EF4-FFF2-40B4-BE49-F238E27FC236}">
              <a16:creationId xmlns:a16="http://schemas.microsoft.com/office/drawing/2014/main" id="{5CE4A4AB-4E79-4415-A671-12F1A0CDE054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333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04800"/>
    <xdr:sp macro="" textlink="">
      <xdr:nvSpPr>
        <xdr:cNvPr id="23" name="AutoShape 1">
          <a:extLst>
            <a:ext uri="{FF2B5EF4-FFF2-40B4-BE49-F238E27FC236}">
              <a16:creationId xmlns:a16="http://schemas.microsoft.com/office/drawing/2014/main" id="{B2407047-C99E-4E2E-A222-E3757E2545F3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333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04800"/>
    <xdr:sp macro="" textlink="">
      <xdr:nvSpPr>
        <xdr:cNvPr id="24" name="AutoShape 1">
          <a:extLst>
            <a:ext uri="{FF2B5EF4-FFF2-40B4-BE49-F238E27FC236}">
              <a16:creationId xmlns:a16="http://schemas.microsoft.com/office/drawing/2014/main" id="{47C68286-F2DE-45F5-AF1E-24941746C689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333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04800"/>
    <xdr:sp macro="" textlink="">
      <xdr:nvSpPr>
        <xdr:cNvPr id="25" name="AutoShape 1">
          <a:extLst>
            <a:ext uri="{FF2B5EF4-FFF2-40B4-BE49-F238E27FC236}">
              <a16:creationId xmlns:a16="http://schemas.microsoft.com/office/drawing/2014/main" id="{501012C5-E3AD-43DF-A975-A1327F0D52BF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333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04800"/>
    <xdr:sp macro="" textlink="">
      <xdr:nvSpPr>
        <xdr:cNvPr id="26" name="AutoShape 1">
          <a:extLst>
            <a:ext uri="{FF2B5EF4-FFF2-40B4-BE49-F238E27FC236}">
              <a16:creationId xmlns:a16="http://schemas.microsoft.com/office/drawing/2014/main" id="{A9AEEA54-709F-4777-9E09-80A355537D08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333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04800"/>
    <xdr:sp macro="" textlink="">
      <xdr:nvSpPr>
        <xdr:cNvPr id="27" name="AutoShape 1">
          <a:extLst>
            <a:ext uri="{FF2B5EF4-FFF2-40B4-BE49-F238E27FC236}">
              <a16:creationId xmlns:a16="http://schemas.microsoft.com/office/drawing/2014/main" id="{28EFF5E7-CDD2-43BF-B5FD-C37A118E3C66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333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04800"/>
    <xdr:sp macro="" textlink="">
      <xdr:nvSpPr>
        <xdr:cNvPr id="28" name="AutoShape 1">
          <a:extLst>
            <a:ext uri="{FF2B5EF4-FFF2-40B4-BE49-F238E27FC236}">
              <a16:creationId xmlns:a16="http://schemas.microsoft.com/office/drawing/2014/main" id="{E8E92AEE-C938-4EFE-9619-4A9420A8769E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333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04800"/>
    <xdr:sp macro="" textlink="">
      <xdr:nvSpPr>
        <xdr:cNvPr id="29" name="AutoShape 1">
          <a:extLst>
            <a:ext uri="{FF2B5EF4-FFF2-40B4-BE49-F238E27FC236}">
              <a16:creationId xmlns:a16="http://schemas.microsoft.com/office/drawing/2014/main" id="{D30935A2-1500-42F5-9AD1-232E6903310B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333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04800"/>
    <xdr:sp macro="" textlink="">
      <xdr:nvSpPr>
        <xdr:cNvPr id="30" name="AutoShape 1">
          <a:extLst>
            <a:ext uri="{FF2B5EF4-FFF2-40B4-BE49-F238E27FC236}">
              <a16:creationId xmlns:a16="http://schemas.microsoft.com/office/drawing/2014/main" id="{C229478D-88EA-4288-BA98-8532DE83BA5C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333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04800"/>
    <xdr:sp macro="" textlink="">
      <xdr:nvSpPr>
        <xdr:cNvPr id="31" name="AutoShape 1">
          <a:extLst>
            <a:ext uri="{FF2B5EF4-FFF2-40B4-BE49-F238E27FC236}">
              <a16:creationId xmlns:a16="http://schemas.microsoft.com/office/drawing/2014/main" id="{E15E5156-D870-4F83-95A2-30A08C7697AB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333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04800"/>
    <xdr:sp macro="" textlink="">
      <xdr:nvSpPr>
        <xdr:cNvPr id="32" name="AutoShape 1">
          <a:extLst>
            <a:ext uri="{FF2B5EF4-FFF2-40B4-BE49-F238E27FC236}">
              <a16:creationId xmlns:a16="http://schemas.microsoft.com/office/drawing/2014/main" id="{A61D5549-9E5B-42E2-9168-371104DAE446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333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04800"/>
    <xdr:sp macro="" textlink="">
      <xdr:nvSpPr>
        <xdr:cNvPr id="33" name="AutoShape 1">
          <a:extLst>
            <a:ext uri="{FF2B5EF4-FFF2-40B4-BE49-F238E27FC236}">
              <a16:creationId xmlns:a16="http://schemas.microsoft.com/office/drawing/2014/main" id="{02645862-CBE3-48DD-90A2-D45FA72EEBE4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333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04800"/>
    <xdr:sp macro="" textlink="">
      <xdr:nvSpPr>
        <xdr:cNvPr id="34" name="AutoShape 1">
          <a:extLst>
            <a:ext uri="{FF2B5EF4-FFF2-40B4-BE49-F238E27FC236}">
              <a16:creationId xmlns:a16="http://schemas.microsoft.com/office/drawing/2014/main" id="{638BF653-222B-452A-AD70-AABA768A3FA5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333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04800"/>
    <xdr:sp macro="" textlink="">
      <xdr:nvSpPr>
        <xdr:cNvPr id="35" name="AutoShape 1">
          <a:extLst>
            <a:ext uri="{FF2B5EF4-FFF2-40B4-BE49-F238E27FC236}">
              <a16:creationId xmlns:a16="http://schemas.microsoft.com/office/drawing/2014/main" id="{9F26FC63-6F6A-4008-9107-498A3FA61C8E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333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04800"/>
    <xdr:sp macro="" textlink="">
      <xdr:nvSpPr>
        <xdr:cNvPr id="36" name="AutoShape 1">
          <a:extLst>
            <a:ext uri="{FF2B5EF4-FFF2-40B4-BE49-F238E27FC236}">
              <a16:creationId xmlns:a16="http://schemas.microsoft.com/office/drawing/2014/main" id="{E302200F-8610-442B-97A3-EA9C67D136A5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333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04800"/>
    <xdr:sp macro="" textlink="">
      <xdr:nvSpPr>
        <xdr:cNvPr id="37" name="AutoShape 1">
          <a:extLst>
            <a:ext uri="{FF2B5EF4-FFF2-40B4-BE49-F238E27FC236}">
              <a16:creationId xmlns:a16="http://schemas.microsoft.com/office/drawing/2014/main" id="{7EB3B3F9-96CF-49BF-90DB-06574189767D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333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04800"/>
    <xdr:sp macro="" textlink="">
      <xdr:nvSpPr>
        <xdr:cNvPr id="38" name="AutoShape 1">
          <a:extLst>
            <a:ext uri="{FF2B5EF4-FFF2-40B4-BE49-F238E27FC236}">
              <a16:creationId xmlns:a16="http://schemas.microsoft.com/office/drawing/2014/main" id="{A76D7959-C0C3-4583-BA05-3FF9812E54E5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2959100" y="333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04800"/>
    <xdr:sp macro="" textlink="">
      <xdr:nvSpPr>
        <xdr:cNvPr id="39" name="AutoShape 1">
          <a:extLst>
            <a:ext uri="{FF2B5EF4-FFF2-40B4-BE49-F238E27FC236}">
              <a16:creationId xmlns:a16="http://schemas.microsoft.com/office/drawing/2014/main" id="{7494C5EB-D2C8-4F36-B1A8-326BA16F6643}"/>
            </a:ext>
            <a:ext uri="{147F2762-F138-4A5C-976F-8EAC2B608ADB}">
              <a16:predDERef xmlns:a16="http://schemas.microsoft.com/office/drawing/2014/main" pred="{A9C9C4DB-4B97-447C-9099-E87BCB3C537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333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44450</xdr:colOff>
      <xdr:row>18</xdr:row>
      <xdr:rowOff>6350</xdr:rowOff>
    </xdr:from>
    <xdr:ext cx="304800" cy="304800"/>
    <xdr:sp macro="" textlink="">
      <xdr:nvSpPr>
        <xdr:cNvPr id="40" name="AutoShape 1">
          <a:extLst>
            <a:ext uri="{FF2B5EF4-FFF2-40B4-BE49-F238E27FC236}">
              <a16:creationId xmlns:a16="http://schemas.microsoft.com/office/drawing/2014/main" id="{DCDE60C2-A53D-4B06-AA53-27C1BCB77489}"/>
            </a:ext>
            <a:ext uri="{147F2762-F138-4A5C-976F-8EAC2B608ADB}">
              <a16:predDERef xmlns:a16="http://schemas.microsoft.com/office/drawing/2014/main" pred="{CD89554D-BD76-42AD-819A-278AD445B86E}"/>
            </a:ext>
          </a:extLst>
        </xdr:cNvPr>
        <xdr:cNvSpPr>
          <a:spLocks noChangeAspect="1" noChangeArrowheads="1"/>
        </xdr:cNvSpPr>
      </xdr:nvSpPr>
      <xdr:spPr bwMode="auto">
        <a:xfrm>
          <a:off x="3005137" y="352583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54</xdr:row>
      <xdr:rowOff>0</xdr:rowOff>
    </xdr:from>
    <xdr:ext cx="304800" cy="304800"/>
    <xdr:sp macro="" textlink="">
      <xdr:nvSpPr>
        <xdr:cNvPr id="41" name="AutoShape 1">
          <a:extLst>
            <a:ext uri="{FF2B5EF4-FFF2-40B4-BE49-F238E27FC236}">
              <a16:creationId xmlns:a16="http://schemas.microsoft.com/office/drawing/2014/main" id="{ABDC6DBF-B0ED-4383-9B5F-77D5A4494C59}"/>
            </a:ext>
          </a:extLst>
        </xdr:cNvPr>
        <xdr:cNvSpPr>
          <a:spLocks noChangeAspect="1" noChangeArrowheads="1"/>
        </xdr:cNvSpPr>
      </xdr:nvSpPr>
      <xdr:spPr bwMode="auto">
        <a:xfrm>
          <a:off x="2959100" y="1014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54</xdr:row>
      <xdr:rowOff>0</xdr:rowOff>
    </xdr:from>
    <xdr:ext cx="304800" cy="304800"/>
    <xdr:sp macro="" textlink="">
      <xdr:nvSpPr>
        <xdr:cNvPr id="42" name="AutoShape 1">
          <a:extLst>
            <a:ext uri="{FF2B5EF4-FFF2-40B4-BE49-F238E27FC236}">
              <a16:creationId xmlns:a16="http://schemas.microsoft.com/office/drawing/2014/main" id="{A62DEF88-AE3F-47D2-8957-9A7B0078C68D}"/>
            </a:ext>
          </a:extLst>
        </xdr:cNvPr>
        <xdr:cNvSpPr>
          <a:spLocks noChangeAspect="1" noChangeArrowheads="1"/>
        </xdr:cNvSpPr>
      </xdr:nvSpPr>
      <xdr:spPr bwMode="auto">
        <a:xfrm>
          <a:off x="2959100" y="1014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54</xdr:row>
      <xdr:rowOff>0</xdr:rowOff>
    </xdr:from>
    <xdr:ext cx="304800" cy="304800"/>
    <xdr:sp macro="" textlink="">
      <xdr:nvSpPr>
        <xdr:cNvPr id="43" name="AutoShape 1">
          <a:extLst>
            <a:ext uri="{FF2B5EF4-FFF2-40B4-BE49-F238E27FC236}">
              <a16:creationId xmlns:a16="http://schemas.microsoft.com/office/drawing/2014/main" id="{7C12E376-D8C6-4840-A785-29AD2DD7AD3E}"/>
            </a:ext>
          </a:extLst>
        </xdr:cNvPr>
        <xdr:cNvSpPr>
          <a:spLocks noChangeAspect="1" noChangeArrowheads="1"/>
        </xdr:cNvSpPr>
      </xdr:nvSpPr>
      <xdr:spPr bwMode="auto">
        <a:xfrm>
          <a:off x="2959100" y="1014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54</xdr:row>
      <xdr:rowOff>0</xdr:rowOff>
    </xdr:from>
    <xdr:ext cx="304800" cy="304800"/>
    <xdr:sp macro="" textlink="">
      <xdr:nvSpPr>
        <xdr:cNvPr id="44" name="AutoShape 1">
          <a:extLst>
            <a:ext uri="{FF2B5EF4-FFF2-40B4-BE49-F238E27FC236}">
              <a16:creationId xmlns:a16="http://schemas.microsoft.com/office/drawing/2014/main" id="{7A814E9F-C0B3-4D0D-AF9B-4AA7918219C9}"/>
            </a:ext>
          </a:extLst>
        </xdr:cNvPr>
        <xdr:cNvSpPr>
          <a:spLocks noChangeAspect="1" noChangeArrowheads="1"/>
        </xdr:cNvSpPr>
      </xdr:nvSpPr>
      <xdr:spPr bwMode="auto">
        <a:xfrm>
          <a:off x="2959100" y="1014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54</xdr:row>
      <xdr:rowOff>0</xdr:rowOff>
    </xdr:from>
    <xdr:ext cx="304800" cy="304800"/>
    <xdr:sp macro="" textlink="">
      <xdr:nvSpPr>
        <xdr:cNvPr id="45" name="AutoShape 1">
          <a:extLst>
            <a:ext uri="{FF2B5EF4-FFF2-40B4-BE49-F238E27FC236}">
              <a16:creationId xmlns:a16="http://schemas.microsoft.com/office/drawing/2014/main" id="{8A82922C-D34C-4131-942E-E3F54CAE2DB7}"/>
            </a:ext>
          </a:extLst>
        </xdr:cNvPr>
        <xdr:cNvSpPr>
          <a:spLocks noChangeAspect="1" noChangeArrowheads="1"/>
        </xdr:cNvSpPr>
      </xdr:nvSpPr>
      <xdr:spPr bwMode="auto">
        <a:xfrm>
          <a:off x="2959100" y="1014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54</xdr:row>
      <xdr:rowOff>0</xdr:rowOff>
    </xdr:from>
    <xdr:ext cx="304800" cy="304800"/>
    <xdr:sp macro="" textlink="">
      <xdr:nvSpPr>
        <xdr:cNvPr id="46" name="AutoShape 1">
          <a:extLst>
            <a:ext uri="{FF2B5EF4-FFF2-40B4-BE49-F238E27FC236}">
              <a16:creationId xmlns:a16="http://schemas.microsoft.com/office/drawing/2014/main" id="{9A6BAE69-1632-4375-9193-AC138FBCC9F6}"/>
            </a:ext>
          </a:extLst>
        </xdr:cNvPr>
        <xdr:cNvSpPr>
          <a:spLocks noChangeAspect="1" noChangeArrowheads="1"/>
        </xdr:cNvSpPr>
      </xdr:nvSpPr>
      <xdr:spPr bwMode="auto">
        <a:xfrm>
          <a:off x="2959100" y="1014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54</xdr:row>
      <xdr:rowOff>0</xdr:rowOff>
    </xdr:from>
    <xdr:ext cx="304800" cy="304800"/>
    <xdr:sp macro="" textlink="">
      <xdr:nvSpPr>
        <xdr:cNvPr id="47" name="AutoShape 1">
          <a:extLst>
            <a:ext uri="{FF2B5EF4-FFF2-40B4-BE49-F238E27FC236}">
              <a16:creationId xmlns:a16="http://schemas.microsoft.com/office/drawing/2014/main" id="{1B377866-75E5-4CB3-86B0-92C9128457E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1014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54</xdr:row>
      <xdr:rowOff>0</xdr:rowOff>
    </xdr:from>
    <xdr:ext cx="304800" cy="304800"/>
    <xdr:sp macro="" textlink="">
      <xdr:nvSpPr>
        <xdr:cNvPr id="48" name="AutoShape 1">
          <a:extLst>
            <a:ext uri="{FF2B5EF4-FFF2-40B4-BE49-F238E27FC236}">
              <a16:creationId xmlns:a16="http://schemas.microsoft.com/office/drawing/2014/main" id="{A8E98E02-C378-4424-93F7-D08BAC1FB226}"/>
            </a:ext>
          </a:extLst>
        </xdr:cNvPr>
        <xdr:cNvSpPr>
          <a:spLocks noChangeAspect="1" noChangeArrowheads="1"/>
        </xdr:cNvSpPr>
      </xdr:nvSpPr>
      <xdr:spPr bwMode="auto">
        <a:xfrm>
          <a:off x="2959100" y="1014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54</xdr:row>
      <xdr:rowOff>0</xdr:rowOff>
    </xdr:from>
    <xdr:ext cx="304800" cy="304800"/>
    <xdr:sp macro="" textlink="">
      <xdr:nvSpPr>
        <xdr:cNvPr id="49" name="AutoShape 1">
          <a:extLst>
            <a:ext uri="{FF2B5EF4-FFF2-40B4-BE49-F238E27FC236}">
              <a16:creationId xmlns:a16="http://schemas.microsoft.com/office/drawing/2014/main" id="{69104799-DF17-4F76-956E-967E575FD75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1014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54</xdr:row>
      <xdr:rowOff>0</xdr:rowOff>
    </xdr:from>
    <xdr:ext cx="304800" cy="304800"/>
    <xdr:sp macro="" textlink="">
      <xdr:nvSpPr>
        <xdr:cNvPr id="50" name="AutoShape 1">
          <a:extLst>
            <a:ext uri="{FF2B5EF4-FFF2-40B4-BE49-F238E27FC236}">
              <a16:creationId xmlns:a16="http://schemas.microsoft.com/office/drawing/2014/main" id="{DDCB7A64-4364-4C04-B845-B631FB54D903}"/>
            </a:ext>
          </a:extLst>
        </xdr:cNvPr>
        <xdr:cNvSpPr>
          <a:spLocks noChangeAspect="1" noChangeArrowheads="1"/>
        </xdr:cNvSpPr>
      </xdr:nvSpPr>
      <xdr:spPr bwMode="auto">
        <a:xfrm>
          <a:off x="2959100" y="1014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54</xdr:row>
      <xdr:rowOff>0</xdr:rowOff>
    </xdr:from>
    <xdr:ext cx="304800" cy="304800"/>
    <xdr:sp macro="" textlink="">
      <xdr:nvSpPr>
        <xdr:cNvPr id="51" name="AutoShape 1">
          <a:extLst>
            <a:ext uri="{FF2B5EF4-FFF2-40B4-BE49-F238E27FC236}">
              <a16:creationId xmlns:a16="http://schemas.microsoft.com/office/drawing/2014/main" id="{F332FA3F-0E9F-4CF5-9DA4-D22B3130120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1014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54</xdr:row>
      <xdr:rowOff>0</xdr:rowOff>
    </xdr:from>
    <xdr:ext cx="304800" cy="304800"/>
    <xdr:sp macro="" textlink="">
      <xdr:nvSpPr>
        <xdr:cNvPr id="52" name="AutoShape 1">
          <a:extLst>
            <a:ext uri="{FF2B5EF4-FFF2-40B4-BE49-F238E27FC236}">
              <a16:creationId xmlns:a16="http://schemas.microsoft.com/office/drawing/2014/main" id="{A3EC8FD9-E6E7-448F-A373-2CD616DB80E6}"/>
            </a:ext>
          </a:extLst>
        </xdr:cNvPr>
        <xdr:cNvSpPr>
          <a:spLocks noChangeAspect="1" noChangeArrowheads="1"/>
        </xdr:cNvSpPr>
      </xdr:nvSpPr>
      <xdr:spPr bwMode="auto">
        <a:xfrm>
          <a:off x="2959100" y="1014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54</xdr:row>
      <xdr:rowOff>0</xdr:rowOff>
    </xdr:from>
    <xdr:ext cx="304800" cy="304800"/>
    <xdr:sp macro="" textlink="">
      <xdr:nvSpPr>
        <xdr:cNvPr id="53" name="AutoShape 1">
          <a:extLst>
            <a:ext uri="{FF2B5EF4-FFF2-40B4-BE49-F238E27FC236}">
              <a16:creationId xmlns:a16="http://schemas.microsoft.com/office/drawing/2014/main" id="{7A88374E-7A3E-4295-B850-661B9BDE626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1014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54</xdr:row>
      <xdr:rowOff>0</xdr:rowOff>
    </xdr:from>
    <xdr:ext cx="304800" cy="304800"/>
    <xdr:sp macro="" textlink="">
      <xdr:nvSpPr>
        <xdr:cNvPr id="54" name="AutoShape 1">
          <a:extLst>
            <a:ext uri="{FF2B5EF4-FFF2-40B4-BE49-F238E27FC236}">
              <a16:creationId xmlns:a16="http://schemas.microsoft.com/office/drawing/2014/main" id="{DB29FA35-98C7-433C-86C7-0F57B1B79C1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1014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54</xdr:row>
      <xdr:rowOff>0</xdr:rowOff>
    </xdr:from>
    <xdr:ext cx="304800" cy="304800"/>
    <xdr:sp macro="" textlink="">
      <xdr:nvSpPr>
        <xdr:cNvPr id="55" name="AutoShape 1">
          <a:extLst>
            <a:ext uri="{FF2B5EF4-FFF2-40B4-BE49-F238E27FC236}">
              <a16:creationId xmlns:a16="http://schemas.microsoft.com/office/drawing/2014/main" id="{4571D19A-334E-4D26-9B2F-755151B35CD6}"/>
            </a:ext>
          </a:extLst>
        </xdr:cNvPr>
        <xdr:cNvSpPr>
          <a:spLocks noChangeAspect="1" noChangeArrowheads="1"/>
        </xdr:cNvSpPr>
      </xdr:nvSpPr>
      <xdr:spPr bwMode="auto">
        <a:xfrm>
          <a:off x="2959100" y="1014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54</xdr:row>
      <xdr:rowOff>0</xdr:rowOff>
    </xdr:from>
    <xdr:ext cx="304800" cy="304800"/>
    <xdr:sp macro="" textlink="">
      <xdr:nvSpPr>
        <xdr:cNvPr id="56" name="AutoShape 1">
          <a:extLst>
            <a:ext uri="{FF2B5EF4-FFF2-40B4-BE49-F238E27FC236}">
              <a16:creationId xmlns:a16="http://schemas.microsoft.com/office/drawing/2014/main" id="{D097EA43-1B62-4A9A-B49B-869235A0E379}"/>
            </a:ext>
          </a:extLst>
        </xdr:cNvPr>
        <xdr:cNvSpPr>
          <a:spLocks noChangeAspect="1" noChangeArrowheads="1"/>
        </xdr:cNvSpPr>
      </xdr:nvSpPr>
      <xdr:spPr bwMode="auto">
        <a:xfrm>
          <a:off x="2959100" y="1014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54</xdr:row>
      <xdr:rowOff>0</xdr:rowOff>
    </xdr:from>
    <xdr:ext cx="304800" cy="304800"/>
    <xdr:sp macro="" textlink="">
      <xdr:nvSpPr>
        <xdr:cNvPr id="57" name="AutoShape 1">
          <a:extLst>
            <a:ext uri="{FF2B5EF4-FFF2-40B4-BE49-F238E27FC236}">
              <a16:creationId xmlns:a16="http://schemas.microsoft.com/office/drawing/2014/main" id="{7156BD16-8848-4C45-9373-66CF36DC2351}"/>
            </a:ext>
          </a:extLst>
        </xdr:cNvPr>
        <xdr:cNvSpPr>
          <a:spLocks noChangeAspect="1" noChangeArrowheads="1"/>
        </xdr:cNvSpPr>
      </xdr:nvSpPr>
      <xdr:spPr bwMode="auto">
        <a:xfrm>
          <a:off x="2959100" y="1014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54</xdr:row>
      <xdr:rowOff>0</xdr:rowOff>
    </xdr:from>
    <xdr:ext cx="304800" cy="304800"/>
    <xdr:sp macro="" textlink="">
      <xdr:nvSpPr>
        <xdr:cNvPr id="58" name="AutoShape 1">
          <a:extLst>
            <a:ext uri="{FF2B5EF4-FFF2-40B4-BE49-F238E27FC236}">
              <a16:creationId xmlns:a16="http://schemas.microsoft.com/office/drawing/2014/main" id="{F462D696-E12E-4870-B015-88775FA45C4E}"/>
            </a:ext>
          </a:extLst>
        </xdr:cNvPr>
        <xdr:cNvSpPr>
          <a:spLocks noChangeAspect="1" noChangeArrowheads="1"/>
        </xdr:cNvSpPr>
      </xdr:nvSpPr>
      <xdr:spPr bwMode="auto">
        <a:xfrm>
          <a:off x="2959100" y="1014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54</xdr:row>
      <xdr:rowOff>0</xdr:rowOff>
    </xdr:from>
    <xdr:ext cx="304800" cy="304800"/>
    <xdr:sp macro="" textlink="">
      <xdr:nvSpPr>
        <xdr:cNvPr id="59" name="AutoShape 1">
          <a:extLst>
            <a:ext uri="{FF2B5EF4-FFF2-40B4-BE49-F238E27FC236}">
              <a16:creationId xmlns:a16="http://schemas.microsoft.com/office/drawing/2014/main" id="{51CB3C3B-AECD-4109-8A9C-2A72B7A43F3F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1014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54</xdr:row>
      <xdr:rowOff>0</xdr:rowOff>
    </xdr:from>
    <xdr:ext cx="304800" cy="304800"/>
    <xdr:sp macro="" textlink="">
      <xdr:nvSpPr>
        <xdr:cNvPr id="60" name="AutoShape 1">
          <a:extLst>
            <a:ext uri="{FF2B5EF4-FFF2-40B4-BE49-F238E27FC236}">
              <a16:creationId xmlns:a16="http://schemas.microsoft.com/office/drawing/2014/main" id="{C11C47D4-5E76-494C-95CD-98379927F486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1014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54</xdr:row>
      <xdr:rowOff>0</xdr:rowOff>
    </xdr:from>
    <xdr:ext cx="304800" cy="304800"/>
    <xdr:sp macro="" textlink="">
      <xdr:nvSpPr>
        <xdr:cNvPr id="61" name="AutoShape 1">
          <a:extLst>
            <a:ext uri="{FF2B5EF4-FFF2-40B4-BE49-F238E27FC236}">
              <a16:creationId xmlns:a16="http://schemas.microsoft.com/office/drawing/2014/main" id="{038099E6-924A-4B0A-9E21-35E0538CC681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1014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54</xdr:row>
      <xdr:rowOff>0</xdr:rowOff>
    </xdr:from>
    <xdr:ext cx="304800" cy="304800"/>
    <xdr:sp macro="" textlink="">
      <xdr:nvSpPr>
        <xdr:cNvPr id="62" name="AutoShape 1">
          <a:extLst>
            <a:ext uri="{FF2B5EF4-FFF2-40B4-BE49-F238E27FC236}">
              <a16:creationId xmlns:a16="http://schemas.microsoft.com/office/drawing/2014/main" id="{E46BB33F-DD15-44F2-9BF7-3EB44F283E75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1014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54</xdr:row>
      <xdr:rowOff>0</xdr:rowOff>
    </xdr:from>
    <xdr:ext cx="304800" cy="304800"/>
    <xdr:sp macro="" textlink="">
      <xdr:nvSpPr>
        <xdr:cNvPr id="63" name="AutoShape 1">
          <a:extLst>
            <a:ext uri="{FF2B5EF4-FFF2-40B4-BE49-F238E27FC236}">
              <a16:creationId xmlns:a16="http://schemas.microsoft.com/office/drawing/2014/main" id="{1FB49694-9176-4F94-AF0B-A4DFFF0FA2AA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1014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54</xdr:row>
      <xdr:rowOff>0</xdr:rowOff>
    </xdr:from>
    <xdr:ext cx="304800" cy="304800"/>
    <xdr:sp macro="" textlink="">
      <xdr:nvSpPr>
        <xdr:cNvPr id="64" name="AutoShape 1">
          <a:extLst>
            <a:ext uri="{FF2B5EF4-FFF2-40B4-BE49-F238E27FC236}">
              <a16:creationId xmlns:a16="http://schemas.microsoft.com/office/drawing/2014/main" id="{7C473ABD-2B9D-49B3-AC30-4051012C27DE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1014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54</xdr:row>
      <xdr:rowOff>0</xdr:rowOff>
    </xdr:from>
    <xdr:ext cx="304800" cy="304800"/>
    <xdr:sp macro="" textlink="">
      <xdr:nvSpPr>
        <xdr:cNvPr id="65" name="AutoShape 1">
          <a:extLst>
            <a:ext uri="{FF2B5EF4-FFF2-40B4-BE49-F238E27FC236}">
              <a16:creationId xmlns:a16="http://schemas.microsoft.com/office/drawing/2014/main" id="{173EB7BB-D19C-474B-884E-005B42CFD48E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1014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54</xdr:row>
      <xdr:rowOff>0</xdr:rowOff>
    </xdr:from>
    <xdr:ext cx="304800" cy="304800"/>
    <xdr:sp macro="" textlink="">
      <xdr:nvSpPr>
        <xdr:cNvPr id="66" name="AutoShape 1">
          <a:extLst>
            <a:ext uri="{FF2B5EF4-FFF2-40B4-BE49-F238E27FC236}">
              <a16:creationId xmlns:a16="http://schemas.microsoft.com/office/drawing/2014/main" id="{5E84FC6D-415B-4762-AB6E-7A7422C1B9D7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1014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54</xdr:row>
      <xdr:rowOff>0</xdr:rowOff>
    </xdr:from>
    <xdr:ext cx="304800" cy="304800"/>
    <xdr:sp macro="" textlink="">
      <xdr:nvSpPr>
        <xdr:cNvPr id="67" name="AutoShape 1">
          <a:extLst>
            <a:ext uri="{FF2B5EF4-FFF2-40B4-BE49-F238E27FC236}">
              <a16:creationId xmlns:a16="http://schemas.microsoft.com/office/drawing/2014/main" id="{E352552F-7BCF-4B75-9E79-4D302A8DC7F8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1014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54</xdr:row>
      <xdr:rowOff>0</xdr:rowOff>
    </xdr:from>
    <xdr:ext cx="304800" cy="304800"/>
    <xdr:sp macro="" textlink="">
      <xdr:nvSpPr>
        <xdr:cNvPr id="68" name="AutoShape 1">
          <a:extLst>
            <a:ext uri="{FF2B5EF4-FFF2-40B4-BE49-F238E27FC236}">
              <a16:creationId xmlns:a16="http://schemas.microsoft.com/office/drawing/2014/main" id="{3D36CE60-3173-4962-81FF-300D84D32611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1014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54</xdr:row>
      <xdr:rowOff>0</xdr:rowOff>
    </xdr:from>
    <xdr:ext cx="304800" cy="304800"/>
    <xdr:sp macro="" textlink="">
      <xdr:nvSpPr>
        <xdr:cNvPr id="69" name="AutoShape 1">
          <a:extLst>
            <a:ext uri="{FF2B5EF4-FFF2-40B4-BE49-F238E27FC236}">
              <a16:creationId xmlns:a16="http://schemas.microsoft.com/office/drawing/2014/main" id="{CECDC8FA-3F5E-4A4E-AA15-4B7239E31F98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1014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54</xdr:row>
      <xdr:rowOff>0</xdr:rowOff>
    </xdr:from>
    <xdr:ext cx="304800" cy="304800"/>
    <xdr:sp macro="" textlink="">
      <xdr:nvSpPr>
        <xdr:cNvPr id="70" name="AutoShape 1">
          <a:extLst>
            <a:ext uri="{FF2B5EF4-FFF2-40B4-BE49-F238E27FC236}">
              <a16:creationId xmlns:a16="http://schemas.microsoft.com/office/drawing/2014/main" id="{445E8D72-8FB8-48BE-9798-C9A3CB330298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1014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54</xdr:row>
      <xdr:rowOff>0</xdr:rowOff>
    </xdr:from>
    <xdr:ext cx="304800" cy="304800"/>
    <xdr:sp macro="" textlink="">
      <xdr:nvSpPr>
        <xdr:cNvPr id="71" name="AutoShape 1">
          <a:extLst>
            <a:ext uri="{FF2B5EF4-FFF2-40B4-BE49-F238E27FC236}">
              <a16:creationId xmlns:a16="http://schemas.microsoft.com/office/drawing/2014/main" id="{94EECA14-C325-4171-B740-22EB650203E2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1014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54</xdr:row>
      <xdr:rowOff>0</xdr:rowOff>
    </xdr:from>
    <xdr:ext cx="304800" cy="304800"/>
    <xdr:sp macro="" textlink="">
      <xdr:nvSpPr>
        <xdr:cNvPr id="72" name="AutoShape 1">
          <a:extLst>
            <a:ext uri="{FF2B5EF4-FFF2-40B4-BE49-F238E27FC236}">
              <a16:creationId xmlns:a16="http://schemas.microsoft.com/office/drawing/2014/main" id="{EBBC4F80-14CE-4858-AFF8-88D2DB1058A3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1014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54</xdr:row>
      <xdr:rowOff>0</xdr:rowOff>
    </xdr:from>
    <xdr:ext cx="304800" cy="304800"/>
    <xdr:sp macro="" textlink="">
      <xdr:nvSpPr>
        <xdr:cNvPr id="73" name="AutoShape 1">
          <a:extLst>
            <a:ext uri="{FF2B5EF4-FFF2-40B4-BE49-F238E27FC236}">
              <a16:creationId xmlns:a16="http://schemas.microsoft.com/office/drawing/2014/main" id="{7BFC23AB-711D-4A0E-9B78-571C162C4C16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1014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54</xdr:row>
      <xdr:rowOff>0</xdr:rowOff>
    </xdr:from>
    <xdr:ext cx="304800" cy="304800"/>
    <xdr:sp macro="" textlink="">
      <xdr:nvSpPr>
        <xdr:cNvPr id="74" name="AutoShape 1">
          <a:extLst>
            <a:ext uri="{FF2B5EF4-FFF2-40B4-BE49-F238E27FC236}">
              <a16:creationId xmlns:a16="http://schemas.microsoft.com/office/drawing/2014/main" id="{52598540-4A1D-4B78-9E22-9ED1929F3852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1014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54</xdr:row>
      <xdr:rowOff>0</xdr:rowOff>
    </xdr:from>
    <xdr:ext cx="304800" cy="304800"/>
    <xdr:sp macro="" textlink="">
      <xdr:nvSpPr>
        <xdr:cNvPr id="75" name="AutoShape 1">
          <a:extLst>
            <a:ext uri="{FF2B5EF4-FFF2-40B4-BE49-F238E27FC236}">
              <a16:creationId xmlns:a16="http://schemas.microsoft.com/office/drawing/2014/main" id="{1CAD3BBF-5B0E-4553-8FEF-61690BBA2713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1014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54</xdr:row>
      <xdr:rowOff>0</xdr:rowOff>
    </xdr:from>
    <xdr:ext cx="304800" cy="304800"/>
    <xdr:sp macro="" textlink="">
      <xdr:nvSpPr>
        <xdr:cNvPr id="76" name="AutoShape 1">
          <a:extLst>
            <a:ext uri="{FF2B5EF4-FFF2-40B4-BE49-F238E27FC236}">
              <a16:creationId xmlns:a16="http://schemas.microsoft.com/office/drawing/2014/main" id="{47C8DE8A-3435-4F8A-8E14-FE4739FBA5FF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1014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54</xdr:row>
      <xdr:rowOff>0</xdr:rowOff>
    </xdr:from>
    <xdr:ext cx="304800" cy="304800"/>
    <xdr:sp macro="" textlink="">
      <xdr:nvSpPr>
        <xdr:cNvPr id="77" name="AutoShape 1">
          <a:extLst>
            <a:ext uri="{FF2B5EF4-FFF2-40B4-BE49-F238E27FC236}">
              <a16:creationId xmlns:a16="http://schemas.microsoft.com/office/drawing/2014/main" id="{4312B6C7-DDF3-40D4-847B-9788930D3F4C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2959100" y="1014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54</xdr:row>
      <xdr:rowOff>0</xdr:rowOff>
    </xdr:from>
    <xdr:ext cx="304800" cy="304800"/>
    <xdr:sp macro="" textlink="">
      <xdr:nvSpPr>
        <xdr:cNvPr id="78" name="AutoShape 1">
          <a:extLst>
            <a:ext uri="{FF2B5EF4-FFF2-40B4-BE49-F238E27FC236}">
              <a16:creationId xmlns:a16="http://schemas.microsoft.com/office/drawing/2014/main" id="{3E43591C-ED4C-4C58-BC57-FAFFCF8149D2}"/>
            </a:ext>
            <a:ext uri="{147F2762-F138-4A5C-976F-8EAC2B608ADB}">
              <a16:predDERef xmlns:a16="http://schemas.microsoft.com/office/drawing/2014/main" pred="{A9C9C4DB-4B97-447C-9099-E87BCB3C537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1014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54</xdr:row>
      <xdr:rowOff>0</xdr:rowOff>
    </xdr:from>
    <xdr:ext cx="304800" cy="304800"/>
    <xdr:sp macro="" textlink="">
      <xdr:nvSpPr>
        <xdr:cNvPr id="79" name="AutoShape 1">
          <a:extLst>
            <a:ext uri="{FF2B5EF4-FFF2-40B4-BE49-F238E27FC236}">
              <a16:creationId xmlns:a16="http://schemas.microsoft.com/office/drawing/2014/main" id="{771DFABA-F55D-4C1C-B50D-176172F8404A}"/>
            </a:ext>
            <a:ext uri="{147F2762-F138-4A5C-976F-8EAC2B608ADB}">
              <a16:predDERef xmlns:a16="http://schemas.microsoft.com/office/drawing/2014/main" pred="{CD89554D-BD76-42AD-819A-278AD445B86E}"/>
            </a:ext>
          </a:extLst>
        </xdr:cNvPr>
        <xdr:cNvSpPr>
          <a:spLocks noChangeAspect="1" noChangeArrowheads="1"/>
        </xdr:cNvSpPr>
      </xdr:nvSpPr>
      <xdr:spPr bwMode="auto">
        <a:xfrm>
          <a:off x="2959100" y="1014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78</xdr:row>
      <xdr:rowOff>0</xdr:rowOff>
    </xdr:from>
    <xdr:ext cx="304800" cy="304800"/>
    <xdr:sp macro="" textlink="">
      <xdr:nvSpPr>
        <xdr:cNvPr id="80" name="AutoShape 1">
          <a:extLst>
            <a:ext uri="{FF2B5EF4-FFF2-40B4-BE49-F238E27FC236}">
              <a16:creationId xmlns:a16="http://schemas.microsoft.com/office/drawing/2014/main" id="{C127AC88-A321-4D99-9BB4-4D444EBD7AE3}"/>
            </a:ext>
          </a:extLst>
        </xdr:cNvPr>
        <xdr:cNvSpPr>
          <a:spLocks noChangeAspect="1" noChangeArrowheads="1"/>
        </xdr:cNvSpPr>
      </xdr:nvSpPr>
      <xdr:spPr bwMode="auto">
        <a:xfrm>
          <a:off x="2959100" y="1456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78</xdr:row>
      <xdr:rowOff>0</xdr:rowOff>
    </xdr:from>
    <xdr:ext cx="304800" cy="304800"/>
    <xdr:sp macro="" textlink="">
      <xdr:nvSpPr>
        <xdr:cNvPr id="81" name="AutoShape 1">
          <a:extLst>
            <a:ext uri="{FF2B5EF4-FFF2-40B4-BE49-F238E27FC236}">
              <a16:creationId xmlns:a16="http://schemas.microsoft.com/office/drawing/2014/main" id="{27716003-DC0C-43A4-A934-A2E518B79FFB}"/>
            </a:ext>
          </a:extLst>
        </xdr:cNvPr>
        <xdr:cNvSpPr>
          <a:spLocks noChangeAspect="1" noChangeArrowheads="1"/>
        </xdr:cNvSpPr>
      </xdr:nvSpPr>
      <xdr:spPr bwMode="auto">
        <a:xfrm>
          <a:off x="2959100" y="1456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78</xdr:row>
      <xdr:rowOff>0</xdr:rowOff>
    </xdr:from>
    <xdr:ext cx="304800" cy="304800"/>
    <xdr:sp macro="" textlink="">
      <xdr:nvSpPr>
        <xdr:cNvPr id="82" name="AutoShape 1">
          <a:extLst>
            <a:ext uri="{FF2B5EF4-FFF2-40B4-BE49-F238E27FC236}">
              <a16:creationId xmlns:a16="http://schemas.microsoft.com/office/drawing/2014/main" id="{9333F738-AB5E-4D00-9637-6738B6D2BBCD}"/>
            </a:ext>
          </a:extLst>
        </xdr:cNvPr>
        <xdr:cNvSpPr>
          <a:spLocks noChangeAspect="1" noChangeArrowheads="1"/>
        </xdr:cNvSpPr>
      </xdr:nvSpPr>
      <xdr:spPr bwMode="auto">
        <a:xfrm>
          <a:off x="2959100" y="1456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78</xdr:row>
      <xdr:rowOff>0</xdr:rowOff>
    </xdr:from>
    <xdr:ext cx="304800" cy="304800"/>
    <xdr:sp macro="" textlink="">
      <xdr:nvSpPr>
        <xdr:cNvPr id="83" name="AutoShape 1">
          <a:extLst>
            <a:ext uri="{FF2B5EF4-FFF2-40B4-BE49-F238E27FC236}">
              <a16:creationId xmlns:a16="http://schemas.microsoft.com/office/drawing/2014/main" id="{9980E6C7-C7DC-4115-B1F3-061EA0FB0FCE}"/>
            </a:ext>
          </a:extLst>
        </xdr:cNvPr>
        <xdr:cNvSpPr>
          <a:spLocks noChangeAspect="1" noChangeArrowheads="1"/>
        </xdr:cNvSpPr>
      </xdr:nvSpPr>
      <xdr:spPr bwMode="auto">
        <a:xfrm>
          <a:off x="2959100" y="1456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78</xdr:row>
      <xdr:rowOff>0</xdr:rowOff>
    </xdr:from>
    <xdr:ext cx="304800" cy="304800"/>
    <xdr:sp macro="" textlink="">
      <xdr:nvSpPr>
        <xdr:cNvPr id="84" name="AutoShape 1">
          <a:extLst>
            <a:ext uri="{FF2B5EF4-FFF2-40B4-BE49-F238E27FC236}">
              <a16:creationId xmlns:a16="http://schemas.microsoft.com/office/drawing/2014/main" id="{FB1A1C44-552C-4F2E-9413-E72809C38B4E}"/>
            </a:ext>
          </a:extLst>
        </xdr:cNvPr>
        <xdr:cNvSpPr>
          <a:spLocks noChangeAspect="1" noChangeArrowheads="1"/>
        </xdr:cNvSpPr>
      </xdr:nvSpPr>
      <xdr:spPr bwMode="auto">
        <a:xfrm>
          <a:off x="2959100" y="1456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78</xdr:row>
      <xdr:rowOff>0</xdr:rowOff>
    </xdr:from>
    <xdr:ext cx="304800" cy="304800"/>
    <xdr:sp macro="" textlink="">
      <xdr:nvSpPr>
        <xdr:cNvPr id="85" name="AutoShape 1">
          <a:extLst>
            <a:ext uri="{FF2B5EF4-FFF2-40B4-BE49-F238E27FC236}">
              <a16:creationId xmlns:a16="http://schemas.microsoft.com/office/drawing/2014/main" id="{F02E7657-7B50-436F-AFFB-3D31AEF82AB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1456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78</xdr:row>
      <xdr:rowOff>0</xdr:rowOff>
    </xdr:from>
    <xdr:ext cx="304800" cy="304800"/>
    <xdr:sp macro="" textlink="">
      <xdr:nvSpPr>
        <xdr:cNvPr id="86" name="AutoShape 1">
          <a:extLst>
            <a:ext uri="{FF2B5EF4-FFF2-40B4-BE49-F238E27FC236}">
              <a16:creationId xmlns:a16="http://schemas.microsoft.com/office/drawing/2014/main" id="{5F168B59-1575-40E6-AC43-E2AB1FD2FD1D}"/>
            </a:ext>
          </a:extLst>
        </xdr:cNvPr>
        <xdr:cNvSpPr>
          <a:spLocks noChangeAspect="1" noChangeArrowheads="1"/>
        </xdr:cNvSpPr>
      </xdr:nvSpPr>
      <xdr:spPr bwMode="auto">
        <a:xfrm>
          <a:off x="2959100" y="1456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78</xdr:row>
      <xdr:rowOff>0</xdr:rowOff>
    </xdr:from>
    <xdr:ext cx="304800" cy="304800"/>
    <xdr:sp macro="" textlink="">
      <xdr:nvSpPr>
        <xdr:cNvPr id="87" name="AutoShape 1">
          <a:extLst>
            <a:ext uri="{FF2B5EF4-FFF2-40B4-BE49-F238E27FC236}">
              <a16:creationId xmlns:a16="http://schemas.microsoft.com/office/drawing/2014/main" id="{E43AEC38-5F6B-4146-9067-CEE439383406}"/>
            </a:ext>
          </a:extLst>
        </xdr:cNvPr>
        <xdr:cNvSpPr>
          <a:spLocks noChangeAspect="1" noChangeArrowheads="1"/>
        </xdr:cNvSpPr>
      </xdr:nvSpPr>
      <xdr:spPr bwMode="auto">
        <a:xfrm>
          <a:off x="2959100" y="1456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78</xdr:row>
      <xdr:rowOff>0</xdr:rowOff>
    </xdr:from>
    <xdr:ext cx="304800" cy="304800"/>
    <xdr:sp macro="" textlink="">
      <xdr:nvSpPr>
        <xdr:cNvPr id="88" name="AutoShape 1">
          <a:extLst>
            <a:ext uri="{FF2B5EF4-FFF2-40B4-BE49-F238E27FC236}">
              <a16:creationId xmlns:a16="http://schemas.microsoft.com/office/drawing/2014/main" id="{83D5CBFC-9DB3-44CB-BD41-9232C5D4CDB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1456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78</xdr:row>
      <xdr:rowOff>0</xdr:rowOff>
    </xdr:from>
    <xdr:ext cx="304800" cy="304800"/>
    <xdr:sp macro="" textlink="">
      <xdr:nvSpPr>
        <xdr:cNvPr id="89" name="AutoShape 1">
          <a:extLst>
            <a:ext uri="{FF2B5EF4-FFF2-40B4-BE49-F238E27FC236}">
              <a16:creationId xmlns:a16="http://schemas.microsoft.com/office/drawing/2014/main" id="{AB93FC66-3AE8-462D-BE03-0D0C634163FE}"/>
            </a:ext>
          </a:extLst>
        </xdr:cNvPr>
        <xdr:cNvSpPr>
          <a:spLocks noChangeAspect="1" noChangeArrowheads="1"/>
        </xdr:cNvSpPr>
      </xdr:nvSpPr>
      <xdr:spPr bwMode="auto">
        <a:xfrm>
          <a:off x="2959100" y="1456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78</xdr:row>
      <xdr:rowOff>0</xdr:rowOff>
    </xdr:from>
    <xdr:ext cx="304800" cy="304800"/>
    <xdr:sp macro="" textlink="">
      <xdr:nvSpPr>
        <xdr:cNvPr id="90" name="AutoShape 1">
          <a:extLst>
            <a:ext uri="{FF2B5EF4-FFF2-40B4-BE49-F238E27FC236}">
              <a16:creationId xmlns:a16="http://schemas.microsoft.com/office/drawing/2014/main" id="{2D7BB1E7-2FAA-481A-ABBA-78911D6573A6}"/>
            </a:ext>
          </a:extLst>
        </xdr:cNvPr>
        <xdr:cNvSpPr>
          <a:spLocks noChangeAspect="1" noChangeArrowheads="1"/>
        </xdr:cNvSpPr>
      </xdr:nvSpPr>
      <xdr:spPr bwMode="auto">
        <a:xfrm>
          <a:off x="2959100" y="1456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78</xdr:row>
      <xdr:rowOff>0</xdr:rowOff>
    </xdr:from>
    <xdr:ext cx="304800" cy="304800"/>
    <xdr:sp macro="" textlink="">
      <xdr:nvSpPr>
        <xdr:cNvPr id="91" name="AutoShape 1">
          <a:extLst>
            <a:ext uri="{FF2B5EF4-FFF2-40B4-BE49-F238E27FC236}">
              <a16:creationId xmlns:a16="http://schemas.microsoft.com/office/drawing/2014/main" id="{C4C79502-32D1-4156-87AA-99A9D04C938A}"/>
            </a:ext>
          </a:extLst>
        </xdr:cNvPr>
        <xdr:cNvSpPr>
          <a:spLocks noChangeAspect="1" noChangeArrowheads="1"/>
        </xdr:cNvSpPr>
      </xdr:nvSpPr>
      <xdr:spPr bwMode="auto">
        <a:xfrm>
          <a:off x="2959100" y="1456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78</xdr:row>
      <xdr:rowOff>0</xdr:rowOff>
    </xdr:from>
    <xdr:ext cx="304800" cy="304800"/>
    <xdr:sp macro="" textlink="">
      <xdr:nvSpPr>
        <xdr:cNvPr id="92" name="AutoShape 1">
          <a:extLst>
            <a:ext uri="{FF2B5EF4-FFF2-40B4-BE49-F238E27FC236}">
              <a16:creationId xmlns:a16="http://schemas.microsoft.com/office/drawing/2014/main" id="{10BD278A-BA18-4940-8865-A4A3A36034BD}"/>
            </a:ext>
          </a:extLst>
        </xdr:cNvPr>
        <xdr:cNvSpPr>
          <a:spLocks noChangeAspect="1" noChangeArrowheads="1"/>
        </xdr:cNvSpPr>
      </xdr:nvSpPr>
      <xdr:spPr bwMode="auto">
        <a:xfrm>
          <a:off x="2959100" y="1456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78</xdr:row>
      <xdr:rowOff>0</xdr:rowOff>
    </xdr:from>
    <xdr:ext cx="304800" cy="304800"/>
    <xdr:sp macro="" textlink="">
      <xdr:nvSpPr>
        <xdr:cNvPr id="93" name="AutoShape 1">
          <a:extLst>
            <a:ext uri="{FF2B5EF4-FFF2-40B4-BE49-F238E27FC236}">
              <a16:creationId xmlns:a16="http://schemas.microsoft.com/office/drawing/2014/main" id="{E0C2B219-2EBE-4712-9486-48DA0C0AD136}"/>
            </a:ext>
          </a:extLst>
        </xdr:cNvPr>
        <xdr:cNvSpPr>
          <a:spLocks noChangeAspect="1" noChangeArrowheads="1"/>
        </xdr:cNvSpPr>
      </xdr:nvSpPr>
      <xdr:spPr bwMode="auto">
        <a:xfrm>
          <a:off x="2959100" y="1456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78</xdr:row>
      <xdr:rowOff>0</xdr:rowOff>
    </xdr:from>
    <xdr:ext cx="304800" cy="304800"/>
    <xdr:sp macro="" textlink="">
      <xdr:nvSpPr>
        <xdr:cNvPr id="94" name="AutoShape 1">
          <a:extLst>
            <a:ext uri="{FF2B5EF4-FFF2-40B4-BE49-F238E27FC236}">
              <a16:creationId xmlns:a16="http://schemas.microsoft.com/office/drawing/2014/main" id="{E5B86C25-E16B-449B-8131-00F4ADF2559F}"/>
            </a:ext>
          </a:extLst>
        </xdr:cNvPr>
        <xdr:cNvSpPr>
          <a:spLocks noChangeAspect="1" noChangeArrowheads="1"/>
        </xdr:cNvSpPr>
      </xdr:nvSpPr>
      <xdr:spPr bwMode="auto">
        <a:xfrm>
          <a:off x="2959100" y="1456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78</xdr:row>
      <xdr:rowOff>0</xdr:rowOff>
    </xdr:from>
    <xdr:ext cx="304800" cy="304800"/>
    <xdr:sp macro="" textlink="">
      <xdr:nvSpPr>
        <xdr:cNvPr id="95" name="AutoShape 1">
          <a:extLst>
            <a:ext uri="{FF2B5EF4-FFF2-40B4-BE49-F238E27FC236}">
              <a16:creationId xmlns:a16="http://schemas.microsoft.com/office/drawing/2014/main" id="{92804DA5-3A2A-472A-953C-AD0C2B4F63A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1456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78</xdr:row>
      <xdr:rowOff>0</xdr:rowOff>
    </xdr:from>
    <xdr:ext cx="304800" cy="304800"/>
    <xdr:sp macro="" textlink="">
      <xdr:nvSpPr>
        <xdr:cNvPr id="96" name="AutoShape 1">
          <a:extLst>
            <a:ext uri="{FF2B5EF4-FFF2-40B4-BE49-F238E27FC236}">
              <a16:creationId xmlns:a16="http://schemas.microsoft.com/office/drawing/2014/main" id="{DC0AF916-4CD7-4644-BD07-A4BFEF9C9BDA}"/>
            </a:ext>
          </a:extLst>
        </xdr:cNvPr>
        <xdr:cNvSpPr>
          <a:spLocks noChangeAspect="1" noChangeArrowheads="1"/>
        </xdr:cNvSpPr>
      </xdr:nvSpPr>
      <xdr:spPr bwMode="auto">
        <a:xfrm>
          <a:off x="2959100" y="1456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78</xdr:row>
      <xdr:rowOff>0</xdr:rowOff>
    </xdr:from>
    <xdr:ext cx="304800" cy="304800"/>
    <xdr:sp macro="" textlink="">
      <xdr:nvSpPr>
        <xdr:cNvPr id="97" name="AutoShape 1">
          <a:extLst>
            <a:ext uri="{FF2B5EF4-FFF2-40B4-BE49-F238E27FC236}">
              <a16:creationId xmlns:a16="http://schemas.microsoft.com/office/drawing/2014/main" id="{B6BF49B6-EE5B-4BED-B569-23BE5752E894}"/>
            </a:ext>
          </a:extLst>
        </xdr:cNvPr>
        <xdr:cNvSpPr>
          <a:spLocks noChangeAspect="1" noChangeArrowheads="1"/>
        </xdr:cNvSpPr>
      </xdr:nvSpPr>
      <xdr:spPr bwMode="auto">
        <a:xfrm>
          <a:off x="2959100" y="1456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78</xdr:row>
      <xdr:rowOff>0</xdr:rowOff>
    </xdr:from>
    <xdr:ext cx="304800" cy="304800"/>
    <xdr:sp macro="" textlink="">
      <xdr:nvSpPr>
        <xdr:cNvPr id="98" name="AutoShape 1">
          <a:extLst>
            <a:ext uri="{FF2B5EF4-FFF2-40B4-BE49-F238E27FC236}">
              <a16:creationId xmlns:a16="http://schemas.microsoft.com/office/drawing/2014/main" id="{9E687A6B-34CC-4627-A40E-F0FC4A473BED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1456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78</xdr:row>
      <xdr:rowOff>0</xdr:rowOff>
    </xdr:from>
    <xdr:ext cx="304800" cy="304800"/>
    <xdr:sp macro="" textlink="">
      <xdr:nvSpPr>
        <xdr:cNvPr id="99" name="AutoShape 1">
          <a:extLst>
            <a:ext uri="{FF2B5EF4-FFF2-40B4-BE49-F238E27FC236}">
              <a16:creationId xmlns:a16="http://schemas.microsoft.com/office/drawing/2014/main" id="{DEE0BC6C-1FAD-4140-B3AE-434B350CB615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1456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78</xdr:row>
      <xdr:rowOff>0</xdr:rowOff>
    </xdr:from>
    <xdr:ext cx="304800" cy="304800"/>
    <xdr:sp macro="" textlink="">
      <xdr:nvSpPr>
        <xdr:cNvPr id="100" name="AutoShape 1">
          <a:extLst>
            <a:ext uri="{FF2B5EF4-FFF2-40B4-BE49-F238E27FC236}">
              <a16:creationId xmlns:a16="http://schemas.microsoft.com/office/drawing/2014/main" id="{9CEAE6F8-3FE6-47AE-BA1A-C0F5CCFF12BC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1456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78</xdr:row>
      <xdr:rowOff>0</xdr:rowOff>
    </xdr:from>
    <xdr:ext cx="304800" cy="304800"/>
    <xdr:sp macro="" textlink="">
      <xdr:nvSpPr>
        <xdr:cNvPr id="101" name="AutoShape 1">
          <a:extLst>
            <a:ext uri="{FF2B5EF4-FFF2-40B4-BE49-F238E27FC236}">
              <a16:creationId xmlns:a16="http://schemas.microsoft.com/office/drawing/2014/main" id="{3E764A61-3D5C-4C9B-AB18-09B2BB7467EF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1456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78</xdr:row>
      <xdr:rowOff>0</xdr:rowOff>
    </xdr:from>
    <xdr:ext cx="304800" cy="304800"/>
    <xdr:sp macro="" textlink="">
      <xdr:nvSpPr>
        <xdr:cNvPr id="102" name="AutoShape 1">
          <a:extLst>
            <a:ext uri="{FF2B5EF4-FFF2-40B4-BE49-F238E27FC236}">
              <a16:creationId xmlns:a16="http://schemas.microsoft.com/office/drawing/2014/main" id="{BEEACA1E-A6CB-4AA7-98C1-46A41B2EBE40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1456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78</xdr:row>
      <xdr:rowOff>0</xdr:rowOff>
    </xdr:from>
    <xdr:ext cx="304800" cy="304800"/>
    <xdr:sp macro="" textlink="">
      <xdr:nvSpPr>
        <xdr:cNvPr id="103" name="AutoShape 1">
          <a:extLst>
            <a:ext uri="{FF2B5EF4-FFF2-40B4-BE49-F238E27FC236}">
              <a16:creationId xmlns:a16="http://schemas.microsoft.com/office/drawing/2014/main" id="{9F1E2339-7F88-4A36-A95C-F5A08A0FAD16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1456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78</xdr:row>
      <xdr:rowOff>0</xdr:rowOff>
    </xdr:from>
    <xdr:ext cx="304800" cy="304800"/>
    <xdr:sp macro="" textlink="">
      <xdr:nvSpPr>
        <xdr:cNvPr id="104" name="AutoShape 1">
          <a:extLst>
            <a:ext uri="{FF2B5EF4-FFF2-40B4-BE49-F238E27FC236}">
              <a16:creationId xmlns:a16="http://schemas.microsoft.com/office/drawing/2014/main" id="{1B004652-23E4-4F78-9A90-A8B7E87AA28F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1456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78</xdr:row>
      <xdr:rowOff>0</xdr:rowOff>
    </xdr:from>
    <xdr:ext cx="304800" cy="304800"/>
    <xdr:sp macro="" textlink="">
      <xdr:nvSpPr>
        <xdr:cNvPr id="105" name="AutoShape 1">
          <a:extLst>
            <a:ext uri="{FF2B5EF4-FFF2-40B4-BE49-F238E27FC236}">
              <a16:creationId xmlns:a16="http://schemas.microsoft.com/office/drawing/2014/main" id="{1773DDB6-DAEF-4621-ADDE-67929633B558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1456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78</xdr:row>
      <xdr:rowOff>0</xdr:rowOff>
    </xdr:from>
    <xdr:ext cx="304800" cy="304800"/>
    <xdr:sp macro="" textlink="">
      <xdr:nvSpPr>
        <xdr:cNvPr id="106" name="AutoShape 1">
          <a:extLst>
            <a:ext uri="{FF2B5EF4-FFF2-40B4-BE49-F238E27FC236}">
              <a16:creationId xmlns:a16="http://schemas.microsoft.com/office/drawing/2014/main" id="{E542B00D-1CBE-4CE5-8137-3F0818B7F708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1456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78</xdr:row>
      <xdr:rowOff>0</xdr:rowOff>
    </xdr:from>
    <xdr:ext cx="304800" cy="304800"/>
    <xdr:sp macro="" textlink="">
      <xdr:nvSpPr>
        <xdr:cNvPr id="107" name="AutoShape 1">
          <a:extLst>
            <a:ext uri="{FF2B5EF4-FFF2-40B4-BE49-F238E27FC236}">
              <a16:creationId xmlns:a16="http://schemas.microsoft.com/office/drawing/2014/main" id="{4B491E42-8627-466D-AF1D-5F19A10BE1B7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1456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78</xdr:row>
      <xdr:rowOff>0</xdr:rowOff>
    </xdr:from>
    <xdr:ext cx="304800" cy="304800"/>
    <xdr:sp macro="" textlink="">
      <xdr:nvSpPr>
        <xdr:cNvPr id="108" name="AutoShape 1">
          <a:extLst>
            <a:ext uri="{FF2B5EF4-FFF2-40B4-BE49-F238E27FC236}">
              <a16:creationId xmlns:a16="http://schemas.microsoft.com/office/drawing/2014/main" id="{68C1443A-EA84-4C11-A187-68319C1D493E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1456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78</xdr:row>
      <xdr:rowOff>0</xdr:rowOff>
    </xdr:from>
    <xdr:ext cx="304800" cy="304800"/>
    <xdr:sp macro="" textlink="">
      <xdr:nvSpPr>
        <xdr:cNvPr id="109" name="AutoShape 1">
          <a:extLst>
            <a:ext uri="{FF2B5EF4-FFF2-40B4-BE49-F238E27FC236}">
              <a16:creationId xmlns:a16="http://schemas.microsoft.com/office/drawing/2014/main" id="{442CC2AA-3F97-488C-9BC7-0DA2B83C559B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1456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78</xdr:row>
      <xdr:rowOff>0</xdr:rowOff>
    </xdr:from>
    <xdr:ext cx="304800" cy="304800"/>
    <xdr:sp macro="" textlink="">
      <xdr:nvSpPr>
        <xdr:cNvPr id="110" name="AutoShape 1">
          <a:extLst>
            <a:ext uri="{FF2B5EF4-FFF2-40B4-BE49-F238E27FC236}">
              <a16:creationId xmlns:a16="http://schemas.microsoft.com/office/drawing/2014/main" id="{F7A067C0-9F2C-4CC4-A24E-AEF9EDE87C0D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1456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78</xdr:row>
      <xdr:rowOff>0</xdr:rowOff>
    </xdr:from>
    <xdr:ext cx="304800" cy="304800"/>
    <xdr:sp macro="" textlink="">
      <xdr:nvSpPr>
        <xdr:cNvPr id="111" name="AutoShape 1">
          <a:extLst>
            <a:ext uri="{FF2B5EF4-FFF2-40B4-BE49-F238E27FC236}">
              <a16:creationId xmlns:a16="http://schemas.microsoft.com/office/drawing/2014/main" id="{9637DC71-6BF7-455C-B70F-A6B173B11ED9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1456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78</xdr:row>
      <xdr:rowOff>0</xdr:rowOff>
    </xdr:from>
    <xdr:ext cx="304800" cy="304800"/>
    <xdr:sp macro="" textlink="">
      <xdr:nvSpPr>
        <xdr:cNvPr id="112" name="AutoShape 1">
          <a:extLst>
            <a:ext uri="{FF2B5EF4-FFF2-40B4-BE49-F238E27FC236}">
              <a16:creationId xmlns:a16="http://schemas.microsoft.com/office/drawing/2014/main" id="{8D5FB56C-90F0-4366-9778-C8D64FF98E8C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1456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78</xdr:row>
      <xdr:rowOff>0</xdr:rowOff>
    </xdr:from>
    <xdr:ext cx="304800" cy="304800"/>
    <xdr:sp macro="" textlink="">
      <xdr:nvSpPr>
        <xdr:cNvPr id="113" name="AutoShape 1">
          <a:extLst>
            <a:ext uri="{FF2B5EF4-FFF2-40B4-BE49-F238E27FC236}">
              <a16:creationId xmlns:a16="http://schemas.microsoft.com/office/drawing/2014/main" id="{29B781BC-830E-4926-A1EA-B394177E68B5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1456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78</xdr:row>
      <xdr:rowOff>0</xdr:rowOff>
    </xdr:from>
    <xdr:ext cx="304800" cy="304800"/>
    <xdr:sp macro="" textlink="">
      <xdr:nvSpPr>
        <xdr:cNvPr id="114" name="AutoShape 1">
          <a:extLst>
            <a:ext uri="{FF2B5EF4-FFF2-40B4-BE49-F238E27FC236}">
              <a16:creationId xmlns:a16="http://schemas.microsoft.com/office/drawing/2014/main" id="{C9A118AD-510E-45F5-B26D-9A023CEDF9CA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1456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78</xdr:row>
      <xdr:rowOff>0</xdr:rowOff>
    </xdr:from>
    <xdr:ext cx="304800" cy="304800"/>
    <xdr:sp macro="" textlink="">
      <xdr:nvSpPr>
        <xdr:cNvPr id="115" name="AutoShape 1">
          <a:extLst>
            <a:ext uri="{FF2B5EF4-FFF2-40B4-BE49-F238E27FC236}">
              <a16:creationId xmlns:a16="http://schemas.microsoft.com/office/drawing/2014/main" id="{B0680FF7-412A-4E0E-A057-795D420B076E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1456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78</xdr:row>
      <xdr:rowOff>0</xdr:rowOff>
    </xdr:from>
    <xdr:ext cx="304800" cy="304800"/>
    <xdr:sp macro="" textlink="">
      <xdr:nvSpPr>
        <xdr:cNvPr id="116" name="AutoShape 1">
          <a:extLst>
            <a:ext uri="{FF2B5EF4-FFF2-40B4-BE49-F238E27FC236}">
              <a16:creationId xmlns:a16="http://schemas.microsoft.com/office/drawing/2014/main" id="{39ADBF4D-28B1-438D-B41E-BE08C829AD10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2959100" y="1456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78</xdr:row>
      <xdr:rowOff>0</xdr:rowOff>
    </xdr:from>
    <xdr:ext cx="304800" cy="304800"/>
    <xdr:sp macro="" textlink="">
      <xdr:nvSpPr>
        <xdr:cNvPr id="117" name="AutoShape 1">
          <a:extLst>
            <a:ext uri="{FF2B5EF4-FFF2-40B4-BE49-F238E27FC236}">
              <a16:creationId xmlns:a16="http://schemas.microsoft.com/office/drawing/2014/main" id="{C38B4B36-D9F0-42FB-B4F1-8C5C0DD78344}"/>
            </a:ext>
            <a:ext uri="{147F2762-F138-4A5C-976F-8EAC2B608ADB}">
              <a16:predDERef xmlns:a16="http://schemas.microsoft.com/office/drawing/2014/main" pred="{A9C9C4DB-4B97-447C-9099-E87BCB3C537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1456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78</xdr:row>
      <xdr:rowOff>0</xdr:rowOff>
    </xdr:from>
    <xdr:ext cx="304800" cy="304800"/>
    <xdr:sp macro="" textlink="">
      <xdr:nvSpPr>
        <xdr:cNvPr id="118" name="AutoShape 1">
          <a:extLst>
            <a:ext uri="{FF2B5EF4-FFF2-40B4-BE49-F238E27FC236}">
              <a16:creationId xmlns:a16="http://schemas.microsoft.com/office/drawing/2014/main" id="{605C9C1A-0DD7-4838-8009-55055C10A6E3}"/>
            </a:ext>
            <a:ext uri="{147F2762-F138-4A5C-976F-8EAC2B608ADB}">
              <a16:predDERef xmlns:a16="http://schemas.microsoft.com/office/drawing/2014/main" pred="{CD89554D-BD76-42AD-819A-278AD445B86E}"/>
            </a:ext>
          </a:extLst>
        </xdr:cNvPr>
        <xdr:cNvSpPr>
          <a:spLocks noChangeAspect="1" noChangeArrowheads="1"/>
        </xdr:cNvSpPr>
      </xdr:nvSpPr>
      <xdr:spPr bwMode="auto">
        <a:xfrm>
          <a:off x="2959100" y="1456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120</xdr:row>
      <xdr:rowOff>0</xdr:rowOff>
    </xdr:from>
    <xdr:ext cx="304800" cy="304800"/>
    <xdr:sp macro="" textlink="">
      <xdr:nvSpPr>
        <xdr:cNvPr id="119" name="AutoShape 1">
          <a:extLst>
            <a:ext uri="{FF2B5EF4-FFF2-40B4-BE49-F238E27FC236}">
              <a16:creationId xmlns:a16="http://schemas.microsoft.com/office/drawing/2014/main" id="{FA3CAD7B-2730-436A-9B8F-75299EE16447}"/>
            </a:ext>
          </a:extLst>
        </xdr:cNvPr>
        <xdr:cNvSpPr>
          <a:spLocks noChangeAspect="1" noChangeArrowheads="1"/>
        </xdr:cNvSpPr>
      </xdr:nvSpPr>
      <xdr:spPr bwMode="auto">
        <a:xfrm>
          <a:off x="2959100" y="2230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120</xdr:row>
      <xdr:rowOff>0</xdr:rowOff>
    </xdr:from>
    <xdr:ext cx="304800" cy="304800"/>
    <xdr:sp macro="" textlink="">
      <xdr:nvSpPr>
        <xdr:cNvPr id="120" name="AutoShape 1">
          <a:extLst>
            <a:ext uri="{FF2B5EF4-FFF2-40B4-BE49-F238E27FC236}">
              <a16:creationId xmlns:a16="http://schemas.microsoft.com/office/drawing/2014/main" id="{9F813BE5-E8B9-4A93-9CBB-91BDCBC88054}"/>
            </a:ext>
          </a:extLst>
        </xdr:cNvPr>
        <xdr:cNvSpPr>
          <a:spLocks noChangeAspect="1" noChangeArrowheads="1"/>
        </xdr:cNvSpPr>
      </xdr:nvSpPr>
      <xdr:spPr bwMode="auto">
        <a:xfrm>
          <a:off x="2959100" y="2230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151</xdr:row>
      <xdr:rowOff>0</xdr:rowOff>
    </xdr:from>
    <xdr:ext cx="304800" cy="304800"/>
    <xdr:sp macro="" textlink="">
      <xdr:nvSpPr>
        <xdr:cNvPr id="121" name="AutoShape 1">
          <a:extLst>
            <a:ext uri="{FF2B5EF4-FFF2-40B4-BE49-F238E27FC236}">
              <a16:creationId xmlns:a16="http://schemas.microsoft.com/office/drawing/2014/main" id="{556C0F2C-1322-4FAE-9585-A92AFCF12E33}"/>
            </a:ext>
          </a:extLst>
        </xdr:cNvPr>
        <xdr:cNvSpPr>
          <a:spLocks noChangeAspect="1" noChangeArrowheads="1"/>
        </xdr:cNvSpPr>
      </xdr:nvSpPr>
      <xdr:spPr bwMode="auto">
        <a:xfrm>
          <a:off x="2959100" y="2800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151</xdr:row>
      <xdr:rowOff>0</xdr:rowOff>
    </xdr:from>
    <xdr:ext cx="304800" cy="304800"/>
    <xdr:sp macro="" textlink="">
      <xdr:nvSpPr>
        <xdr:cNvPr id="122" name="AutoShape 1">
          <a:extLst>
            <a:ext uri="{FF2B5EF4-FFF2-40B4-BE49-F238E27FC236}">
              <a16:creationId xmlns:a16="http://schemas.microsoft.com/office/drawing/2014/main" id="{3A2B1007-F103-4A44-B2AE-83952C892A6D}"/>
            </a:ext>
          </a:extLst>
        </xdr:cNvPr>
        <xdr:cNvSpPr>
          <a:spLocks noChangeAspect="1" noChangeArrowheads="1"/>
        </xdr:cNvSpPr>
      </xdr:nvSpPr>
      <xdr:spPr bwMode="auto">
        <a:xfrm>
          <a:off x="2959100" y="2800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151</xdr:row>
      <xdr:rowOff>0</xdr:rowOff>
    </xdr:from>
    <xdr:ext cx="304800" cy="304800"/>
    <xdr:sp macro="" textlink="">
      <xdr:nvSpPr>
        <xdr:cNvPr id="123" name="AutoShape 1">
          <a:extLst>
            <a:ext uri="{FF2B5EF4-FFF2-40B4-BE49-F238E27FC236}">
              <a16:creationId xmlns:a16="http://schemas.microsoft.com/office/drawing/2014/main" id="{04625407-924B-4AAC-A491-F531BD83658F}"/>
            </a:ext>
          </a:extLst>
        </xdr:cNvPr>
        <xdr:cNvSpPr>
          <a:spLocks noChangeAspect="1" noChangeArrowheads="1"/>
        </xdr:cNvSpPr>
      </xdr:nvSpPr>
      <xdr:spPr bwMode="auto">
        <a:xfrm>
          <a:off x="2959100" y="2800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151</xdr:row>
      <xdr:rowOff>0</xdr:rowOff>
    </xdr:from>
    <xdr:ext cx="304800" cy="304800"/>
    <xdr:sp macro="" textlink="">
      <xdr:nvSpPr>
        <xdr:cNvPr id="124" name="AutoShape 1">
          <a:extLst>
            <a:ext uri="{FF2B5EF4-FFF2-40B4-BE49-F238E27FC236}">
              <a16:creationId xmlns:a16="http://schemas.microsoft.com/office/drawing/2014/main" id="{BD736375-DA7C-4AC0-BB82-14EBA8481659}"/>
            </a:ext>
          </a:extLst>
        </xdr:cNvPr>
        <xdr:cNvSpPr>
          <a:spLocks noChangeAspect="1" noChangeArrowheads="1"/>
        </xdr:cNvSpPr>
      </xdr:nvSpPr>
      <xdr:spPr bwMode="auto">
        <a:xfrm>
          <a:off x="2959100" y="2800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151</xdr:row>
      <xdr:rowOff>0</xdr:rowOff>
    </xdr:from>
    <xdr:ext cx="304800" cy="304800"/>
    <xdr:sp macro="" textlink="">
      <xdr:nvSpPr>
        <xdr:cNvPr id="125" name="AutoShape 1">
          <a:extLst>
            <a:ext uri="{FF2B5EF4-FFF2-40B4-BE49-F238E27FC236}">
              <a16:creationId xmlns:a16="http://schemas.microsoft.com/office/drawing/2014/main" id="{95076EEC-D199-4E68-A054-0AE07EB9FF8B}"/>
            </a:ext>
          </a:extLst>
        </xdr:cNvPr>
        <xdr:cNvSpPr>
          <a:spLocks noChangeAspect="1" noChangeArrowheads="1"/>
        </xdr:cNvSpPr>
      </xdr:nvSpPr>
      <xdr:spPr bwMode="auto">
        <a:xfrm>
          <a:off x="2959100" y="2800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151</xdr:row>
      <xdr:rowOff>0</xdr:rowOff>
    </xdr:from>
    <xdr:ext cx="304800" cy="304800"/>
    <xdr:sp macro="" textlink="">
      <xdr:nvSpPr>
        <xdr:cNvPr id="126" name="AutoShape 1">
          <a:extLst>
            <a:ext uri="{FF2B5EF4-FFF2-40B4-BE49-F238E27FC236}">
              <a16:creationId xmlns:a16="http://schemas.microsoft.com/office/drawing/2014/main" id="{291C1216-E256-4A9C-A521-6A806C87ACB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2800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151</xdr:row>
      <xdr:rowOff>0</xdr:rowOff>
    </xdr:from>
    <xdr:ext cx="304800" cy="304800"/>
    <xdr:sp macro="" textlink="">
      <xdr:nvSpPr>
        <xdr:cNvPr id="127" name="AutoShape 1">
          <a:extLst>
            <a:ext uri="{FF2B5EF4-FFF2-40B4-BE49-F238E27FC236}">
              <a16:creationId xmlns:a16="http://schemas.microsoft.com/office/drawing/2014/main" id="{985910E0-2420-49C2-8CE3-3FCE31D905C1}"/>
            </a:ext>
          </a:extLst>
        </xdr:cNvPr>
        <xdr:cNvSpPr>
          <a:spLocks noChangeAspect="1" noChangeArrowheads="1"/>
        </xdr:cNvSpPr>
      </xdr:nvSpPr>
      <xdr:spPr bwMode="auto">
        <a:xfrm>
          <a:off x="2959100" y="2800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151</xdr:row>
      <xdr:rowOff>0</xdr:rowOff>
    </xdr:from>
    <xdr:ext cx="304800" cy="304800"/>
    <xdr:sp macro="" textlink="">
      <xdr:nvSpPr>
        <xdr:cNvPr id="128" name="AutoShape 1">
          <a:extLst>
            <a:ext uri="{FF2B5EF4-FFF2-40B4-BE49-F238E27FC236}">
              <a16:creationId xmlns:a16="http://schemas.microsoft.com/office/drawing/2014/main" id="{C592D8D1-B9E0-49E0-B352-BAD9C9B3369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2800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151</xdr:row>
      <xdr:rowOff>0</xdr:rowOff>
    </xdr:from>
    <xdr:ext cx="304800" cy="304800"/>
    <xdr:sp macro="" textlink="">
      <xdr:nvSpPr>
        <xdr:cNvPr id="129" name="AutoShape 1">
          <a:extLst>
            <a:ext uri="{FF2B5EF4-FFF2-40B4-BE49-F238E27FC236}">
              <a16:creationId xmlns:a16="http://schemas.microsoft.com/office/drawing/2014/main" id="{F9000E32-996B-48ED-9C95-57BC82C8A281}"/>
            </a:ext>
          </a:extLst>
        </xdr:cNvPr>
        <xdr:cNvSpPr>
          <a:spLocks noChangeAspect="1" noChangeArrowheads="1"/>
        </xdr:cNvSpPr>
      </xdr:nvSpPr>
      <xdr:spPr bwMode="auto">
        <a:xfrm>
          <a:off x="2959100" y="2800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151</xdr:row>
      <xdr:rowOff>0</xdr:rowOff>
    </xdr:from>
    <xdr:ext cx="304800" cy="304800"/>
    <xdr:sp macro="" textlink="">
      <xdr:nvSpPr>
        <xdr:cNvPr id="130" name="AutoShape 1">
          <a:extLst>
            <a:ext uri="{FF2B5EF4-FFF2-40B4-BE49-F238E27FC236}">
              <a16:creationId xmlns:a16="http://schemas.microsoft.com/office/drawing/2014/main" id="{95E7DEB5-ABE3-4252-B6F9-0DCBDB10C5BE}"/>
            </a:ext>
          </a:extLst>
        </xdr:cNvPr>
        <xdr:cNvSpPr>
          <a:spLocks noChangeAspect="1" noChangeArrowheads="1"/>
        </xdr:cNvSpPr>
      </xdr:nvSpPr>
      <xdr:spPr bwMode="auto">
        <a:xfrm>
          <a:off x="2959100" y="2800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151</xdr:row>
      <xdr:rowOff>0</xdr:rowOff>
    </xdr:from>
    <xdr:ext cx="304800" cy="304800"/>
    <xdr:sp macro="" textlink="">
      <xdr:nvSpPr>
        <xdr:cNvPr id="131" name="AutoShape 1">
          <a:extLst>
            <a:ext uri="{FF2B5EF4-FFF2-40B4-BE49-F238E27FC236}">
              <a16:creationId xmlns:a16="http://schemas.microsoft.com/office/drawing/2014/main" id="{FD5034AE-52A4-4BA6-B6DA-6E50AB54270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2800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151</xdr:row>
      <xdr:rowOff>0</xdr:rowOff>
    </xdr:from>
    <xdr:ext cx="304800" cy="304800"/>
    <xdr:sp macro="" textlink="">
      <xdr:nvSpPr>
        <xdr:cNvPr id="132" name="AutoShape 1">
          <a:extLst>
            <a:ext uri="{FF2B5EF4-FFF2-40B4-BE49-F238E27FC236}">
              <a16:creationId xmlns:a16="http://schemas.microsoft.com/office/drawing/2014/main" id="{7287926F-8D5E-4D84-9440-2E6DB47481AC}"/>
            </a:ext>
          </a:extLst>
        </xdr:cNvPr>
        <xdr:cNvSpPr>
          <a:spLocks noChangeAspect="1" noChangeArrowheads="1"/>
        </xdr:cNvSpPr>
      </xdr:nvSpPr>
      <xdr:spPr bwMode="auto">
        <a:xfrm>
          <a:off x="2959100" y="2800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151</xdr:row>
      <xdr:rowOff>0</xdr:rowOff>
    </xdr:from>
    <xdr:ext cx="304800" cy="304800"/>
    <xdr:sp macro="" textlink="">
      <xdr:nvSpPr>
        <xdr:cNvPr id="133" name="AutoShape 1">
          <a:extLst>
            <a:ext uri="{FF2B5EF4-FFF2-40B4-BE49-F238E27FC236}">
              <a16:creationId xmlns:a16="http://schemas.microsoft.com/office/drawing/2014/main" id="{D1556FDE-F702-44E7-8D28-3F20AF433B01}"/>
            </a:ext>
          </a:extLst>
        </xdr:cNvPr>
        <xdr:cNvSpPr>
          <a:spLocks noChangeAspect="1" noChangeArrowheads="1"/>
        </xdr:cNvSpPr>
      </xdr:nvSpPr>
      <xdr:spPr bwMode="auto">
        <a:xfrm>
          <a:off x="2959100" y="2800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151</xdr:row>
      <xdr:rowOff>0</xdr:rowOff>
    </xdr:from>
    <xdr:ext cx="304800" cy="304800"/>
    <xdr:sp macro="" textlink="">
      <xdr:nvSpPr>
        <xdr:cNvPr id="134" name="AutoShape 1">
          <a:extLst>
            <a:ext uri="{FF2B5EF4-FFF2-40B4-BE49-F238E27FC236}">
              <a16:creationId xmlns:a16="http://schemas.microsoft.com/office/drawing/2014/main" id="{6F7F377D-545C-4335-8BB2-32ED34E47823}"/>
            </a:ext>
          </a:extLst>
        </xdr:cNvPr>
        <xdr:cNvSpPr>
          <a:spLocks noChangeAspect="1" noChangeArrowheads="1"/>
        </xdr:cNvSpPr>
      </xdr:nvSpPr>
      <xdr:spPr bwMode="auto">
        <a:xfrm>
          <a:off x="2959100" y="2800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151</xdr:row>
      <xdr:rowOff>0</xdr:rowOff>
    </xdr:from>
    <xdr:ext cx="304800" cy="304800"/>
    <xdr:sp macro="" textlink="">
      <xdr:nvSpPr>
        <xdr:cNvPr id="135" name="AutoShape 1">
          <a:extLst>
            <a:ext uri="{FF2B5EF4-FFF2-40B4-BE49-F238E27FC236}">
              <a16:creationId xmlns:a16="http://schemas.microsoft.com/office/drawing/2014/main" id="{F00E2BB3-2A7A-4B2E-AE64-8416FCC1CF9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2800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151</xdr:row>
      <xdr:rowOff>0</xdr:rowOff>
    </xdr:from>
    <xdr:ext cx="304800" cy="304800"/>
    <xdr:sp macro="" textlink="">
      <xdr:nvSpPr>
        <xdr:cNvPr id="136" name="AutoShape 1">
          <a:extLst>
            <a:ext uri="{FF2B5EF4-FFF2-40B4-BE49-F238E27FC236}">
              <a16:creationId xmlns:a16="http://schemas.microsoft.com/office/drawing/2014/main" id="{B4DABAD5-BC88-49E4-8C87-59A3D0A0A7BD}"/>
            </a:ext>
          </a:extLst>
        </xdr:cNvPr>
        <xdr:cNvSpPr>
          <a:spLocks noChangeAspect="1" noChangeArrowheads="1"/>
        </xdr:cNvSpPr>
      </xdr:nvSpPr>
      <xdr:spPr bwMode="auto">
        <a:xfrm>
          <a:off x="2959100" y="2800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151</xdr:row>
      <xdr:rowOff>0</xdr:rowOff>
    </xdr:from>
    <xdr:ext cx="304800" cy="304800"/>
    <xdr:sp macro="" textlink="">
      <xdr:nvSpPr>
        <xdr:cNvPr id="137" name="AutoShape 1">
          <a:extLst>
            <a:ext uri="{FF2B5EF4-FFF2-40B4-BE49-F238E27FC236}">
              <a16:creationId xmlns:a16="http://schemas.microsoft.com/office/drawing/2014/main" id="{0430E7AB-8865-43AE-8FCE-9E4C2C2DD616}"/>
            </a:ext>
          </a:extLst>
        </xdr:cNvPr>
        <xdr:cNvSpPr>
          <a:spLocks noChangeAspect="1" noChangeArrowheads="1"/>
        </xdr:cNvSpPr>
      </xdr:nvSpPr>
      <xdr:spPr bwMode="auto">
        <a:xfrm>
          <a:off x="2959100" y="2800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151</xdr:row>
      <xdr:rowOff>0</xdr:rowOff>
    </xdr:from>
    <xdr:ext cx="304800" cy="304800"/>
    <xdr:sp macro="" textlink="">
      <xdr:nvSpPr>
        <xdr:cNvPr id="138" name="AutoShape 1">
          <a:extLst>
            <a:ext uri="{FF2B5EF4-FFF2-40B4-BE49-F238E27FC236}">
              <a16:creationId xmlns:a16="http://schemas.microsoft.com/office/drawing/2014/main" id="{FD5B91E8-ACD9-4E4C-A449-101E63E894FC}"/>
            </a:ext>
          </a:extLst>
        </xdr:cNvPr>
        <xdr:cNvSpPr>
          <a:spLocks noChangeAspect="1" noChangeArrowheads="1"/>
        </xdr:cNvSpPr>
      </xdr:nvSpPr>
      <xdr:spPr bwMode="auto">
        <a:xfrm>
          <a:off x="2959100" y="2800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151</xdr:row>
      <xdr:rowOff>0</xdr:rowOff>
    </xdr:from>
    <xdr:ext cx="304800" cy="304800"/>
    <xdr:sp macro="" textlink="">
      <xdr:nvSpPr>
        <xdr:cNvPr id="139" name="AutoShape 1">
          <a:extLst>
            <a:ext uri="{FF2B5EF4-FFF2-40B4-BE49-F238E27FC236}">
              <a16:creationId xmlns:a16="http://schemas.microsoft.com/office/drawing/2014/main" id="{5B8E1B49-5A1B-4B1C-8AA7-C29E4DA387C2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2800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151</xdr:row>
      <xdr:rowOff>0</xdr:rowOff>
    </xdr:from>
    <xdr:ext cx="304800" cy="304800"/>
    <xdr:sp macro="" textlink="">
      <xdr:nvSpPr>
        <xdr:cNvPr id="140" name="AutoShape 1">
          <a:extLst>
            <a:ext uri="{FF2B5EF4-FFF2-40B4-BE49-F238E27FC236}">
              <a16:creationId xmlns:a16="http://schemas.microsoft.com/office/drawing/2014/main" id="{941462CE-B3B7-4912-9F6D-3D80FE39BA86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2800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151</xdr:row>
      <xdr:rowOff>0</xdr:rowOff>
    </xdr:from>
    <xdr:ext cx="304800" cy="304800"/>
    <xdr:sp macro="" textlink="">
      <xdr:nvSpPr>
        <xdr:cNvPr id="141" name="AutoShape 1">
          <a:extLst>
            <a:ext uri="{FF2B5EF4-FFF2-40B4-BE49-F238E27FC236}">
              <a16:creationId xmlns:a16="http://schemas.microsoft.com/office/drawing/2014/main" id="{806D0393-4310-42C7-85CE-B38DF89B6B49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2800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151</xdr:row>
      <xdr:rowOff>0</xdr:rowOff>
    </xdr:from>
    <xdr:ext cx="304800" cy="304800"/>
    <xdr:sp macro="" textlink="">
      <xdr:nvSpPr>
        <xdr:cNvPr id="142" name="AutoShape 1">
          <a:extLst>
            <a:ext uri="{FF2B5EF4-FFF2-40B4-BE49-F238E27FC236}">
              <a16:creationId xmlns:a16="http://schemas.microsoft.com/office/drawing/2014/main" id="{6B75E2AB-2D09-4896-A740-21A30529108F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2800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151</xdr:row>
      <xdr:rowOff>0</xdr:rowOff>
    </xdr:from>
    <xdr:ext cx="304800" cy="304800"/>
    <xdr:sp macro="" textlink="">
      <xdr:nvSpPr>
        <xdr:cNvPr id="143" name="AutoShape 1">
          <a:extLst>
            <a:ext uri="{FF2B5EF4-FFF2-40B4-BE49-F238E27FC236}">
              <a16:creationId xmlns:a16="http://schemas.microsoft.com/office/drawing/2014/main" id="{3B87639B-205A-44A2-BFFA-C770ACFD6FAB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2800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151</xdr:row>
      <xdr:rowOff>0</xdr:rowOff>
    </xdr:from>
    <xdr:ext cx="304800" cy="304800"/>
    <xdr:sp macro="" textlink="">
      <xdr:nvSpPr>
        <xdr:cNvPr id="144" name="AutoShape 1">
          <a:extLst>
            <a:ext uri="{FF2B5EF4-FFF2-40B4-BE49-F238E27FC236}">
              <a16:creationId xmlns:a16="http://schemas.microsoft.com/office/drawing/2014/main" id="{5A4879DA-E0EB-46DE-B8CE-A14F1202DC03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2800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151</xdr:row>
      <xdr:rowOff>0</xdr:rowOff>
    </xdr:from>
    <xdr:ext cx="304800" cy="304800"/>
    <xdr:sp macro="" textlink="">
      <xdr:nvSpPr>
        <xdr:cNvPr id="145" name="AutoShape 1">
          <a:extLst>
            <a:ext uri="{FF2B5EF4-FFF2-40B4-BE49-F238E27FC236}">
              <a16:creationId xmlns:a16="http://schemas.microsoft.com/office/drawing/2014/main" id="{921798D4-5303-436C-9768-616C4B57233D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2800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151</xdr:row>
      <xdr:rowOff>0</xdr:rowOff>
    </xdr:from>
    <xdr:ext cx="304800" cy="304800"/>
    <xdr:sp macro="" textlink="">
      <xdr:nvSpPr>
        <xdr:cNvPr id="146" name="AutoShape 1">
          <a:extLst>
            <a:ext uri="{FF2B5EF4-FFF2-40B4-BE49-F238E27FC236}">
              <a16:creationId xmlns:a16="http://schemas.microsoft.com/office/drawing/2014/main" id="{AB2EABD1-216E-4D28-9440-419FF2490989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2800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151</xdr:row>
      <xdr:rowOff>0</xdr:rowOff>
    </xdr:from>
    <xdr:ext cx="304800" cy="304800"/>
    <xdr:sp macro="" textlink="">
      <xdr:nvSpPr>
        <xdr:cNvPr id="147" name="AutoShape 1">
          <a:extLst>
            <a:ext uri="{FF2B5EF4-FFF2-40B4-BE49-F238E27FC236}">
              <a16:creationId xmlns:a16="http://schemas.microsoft.com/office/drawing/2014/main" id="{9A904510-2350-4A79-BD3A-0F88BF0CE57E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2800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151</xdr:row>
      <xdr:rowOff>0</xdr:rowOff>
    </xdr:from>
    <xdr:ext cx="304800" cy="304800"/>
    <xdr:sp macro="" textlink="">
      <xdr:nvSpPr>
        <xdr:cNvPr id="148" name="AutoShape 1">
          <a:extLst>
            <a:ext uri="{FF2B5EF4-FFF2-40B4-BE49-F238E27FC236}">
              <a16:creationId xmlns:a16="http://schemas.microsoft.com/office/drawing/2014/main" id="{9215AC9D-4A0C-4792-8A84-6C76E03F8815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2800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151</xdr:row>
      <xdr:rowOff>0</xdr:rowOff>
    </xdr:from>
    <xdr:ext cx="304800" cy="304800"/>
    <xdr:sp macro="" textlink="">
      <xdr:nvSpPr>
        <xdr:cNvPr id="149" name="AutoShape 1">
          <a:extLst>
            <a:ext uri="{FF2B5EF4-FFF2-40B4-BE49-F238E27FC236}">
              <a16:creationId xmlns:a16="http://schemas.microsoft.com/office/drawing/2014/main" id="{3F02959B-73F8-4ADE-BCD3-7EDD647348DC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2800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151</xdr:row>
      <xdr:rowOff>0</xdr:rowOff>
    </xdr:from>
    <xdr:ext cx="304800" cy="304800"/>
    <xdr:sp macro="" textlink="">
      <xdr:nvSpPr>
        <xdr:cNvPr id="150" name="AutoShape 1">
          <a:extLst>
            <a:ext uri="{FF2B5EF4-FFF2-40B4-BE49-F238E27FC236}">
              <a16:creationId xmlns:a16="http://schemas.microsoft.com/office/drawing/2014/main" id="{1F445EDF-C7CA-4B6C-89AC-08EAC6E5AC66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2800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151</xdr:row>
      <xdr:rowOff>0</xdr:rowOff>
    </xdr:from>
    <xdr:ext cx="304800" cy="304800"/>
    <xdr:sp macro="" textlink="">
      <xdr:nvSpPr>
        <xdr:cNvPr id="151" name="AutoShape 1">
          <a:extLst>
            <a:ext uri="{FF2B5EF4-FFF2-40B4-BE49-F238E27FC236}">
              <a16:creationId xmlns:a16="http://schemas.microsoft.com/office/drawing/2014/main" id="{808EA23C-DEBE-407C-8172-C33B4DFAEB00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2800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151</xdr:row>
      <xdr:rowOff>0</xdr:rowOff>
    </xdr:from>
    <xdr:ext cx="304800" cy="304800"/>
    <xdr:sp macro="" textlink="">
      <xdr:nvSpPr>
        <xdr:cNvPr id="152" name="AutoShape 1">
          <a:extLst>
            <a:ext uri="{FF2B5EF4-FFF2-40B4-BE49-F238E27FC236}">
              <a16:creationId xmlns:a16="http://schemas.microsoft.com/office/drawing/2014/main" id="{640492C8-6381-4575-89B6-1EB107B87044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2800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151</xdr:row>
      <xdr:rowOff>0</xdr:rowOff>
    </xdr:from>
    <xdr:ext cx="304800" cy="304800"/>
    <xdr:sp macro="" textlink="">
      <xdr:nvSpPr>
        <xdr:cNvPr id="153" name="AutoShape 1">
          <a:extLst>
            <a:ext uri="{FF2B5EF4-FFF2-40B4-BE49-F238E27FC236}">
              <a16:creationId xmlns:a16="http://schemas.microsoft.com/office/drawing/2014/main" id="{2B59624C-8F3B-4F21-A7AF-E4530D5D251C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2800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151</xdr:row>
      <xdr:rowOff>0</xdr:rowOff>
    </xdr:from>
    <xdr:ext cx="304800" cy="304800"/>
    <xdr:sp macro="" textlink="">
      <xdr:nvSpPr>
        <xdr:cNvPr id="154" name="AutoShape 1">
          <a:extLst>
            <a:ext uri="{FF2B5EF4-FFF2-40B4-BE49-F238E27FC236}">
              <a16:creationId xmlns:a16="http://schemas.microsoft.com/office/drawing/2014/main" id="{538E3A0D-9FF0-4799-B967-6BD58AE30D42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2800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151</xdr:row>
      <xdr:rowOff>0</xdr:rowOff>
    </xdr:from>
    <xdr:ext cx="304800" cy="304800"/>
    <xdr:sp macro="" textlink="">
      <xdr:nvSpPr>
        <xdr:cNvPr id="155" name="AutoShape 1">
          <a:extLst>
            <a:ext uri="{FF2B5EF4-FFF2-40B4-BE49-F238E27FC236}">
              <a16:creationId xmlns:a16="http://schemas.microsoft.com/office/drawing/2014/main" id="{693C41C7-31E1-43FD-BD09-3A9AF3D7B87C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2800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151</xdr:row>
      <xdr:rowOff>0</xdr:rowOff>
    </xdr:from>
    <xdr:ext cx="304800" cy="304800"/>
    <xdr:sp macro="" textlink="">
      <xdr:nvSpPr>
        <xdr:cNvPr id="156" name="AutoShape 1">
          <a:extLst>
            <a:ext uri="{FF2B5EF4-FFF2-40B4-BE49-F238E27FC236}">
              <a16:creationId xmlns:a16="http://schemas.microsoft.com/office/drawing/2014/main" id="{69C0037B-62CC-4577-B1FC-2C3C2264CDDA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2800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151</xdr:row>
      <xdr:rowOff>0</xdr:rowOff>
    </xdr:from>
    <xdr:ext cx="304800" cy="304800"/>
    <xdr:sp macro="" textlink="">
      <xdr:nvSpPr>
        <xdr:cNvPr id="157" name="AutoShape 1">
          <a:extLst>
            <a:ext uri="{FF2B5EF4-FFF2-40B4-BE49-F238E27FC236}">
              <a16:creationId xmlns:a16="http://schemas.microsoft.com/office/drawing/2014/main" id="{5A552EE1-E33E-4959-BFA1-0EC99CE086A3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2959100" y="2800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151</xdr:row>
      <xdr:rowOff>0</xdr:rowOff>
    </xdr:from>
    <xdr:ext cx="304800" cy="304800"/>
    <xdr:sp macro="" textlink="">
      <xdr:nvSpPr>
        <xdr:cNvPr id="158" name="AutoShape 1">
          <a:extLst>
            <a:ext uri="{FF2B5EF4-FFF2-40B4-BE49-F238E27FC236}">
              <a16:creationId xmlns:a16="http://schemas.microsoft.com/office/drawing/2014/main" id="{8DA7F172-915F-46AB-9AB5-224EE4C0D9A6}"/>
            </a:ext>
            <a:ext uri="{147F2762-F138-4A5C-976F-8EAC2B608ADB}">
              <a16:predDERef xmlns:a16="http://schemas.microsoft.com/office/drawing/2014/main" pred="{A9C9C4DB-4B97-447C-9099-E87BCB3C537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2800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151</xdr:row>
      <xdr:rowOff>0</xdr:rowOff>
    </xdr:from>
    <xdr:ext cx="304800" cy="304800"/>
    <xdr:sp macro="" textlink="">
      <xdr:nvSpPr>
        <xdr:cNvPr id="159" name="AutoShape 1">
          <a:extLst>
            <a:ext uri="{FF2B5EF4-FFF2-40B4-BE49-F238E27FC236}">
              <a16:creationId xmlns:a16="http://schemas.microsoft.com/office/drawing/2014/main" id="{9C68E561-5571-46B1-AD41-3B00E5F4513B}"/>
            </a:ext>
            <a:ext uri="{147F2762-F138-4A5C-976F-8EAC2B608ADB}">
              <a16:predDERef xmlns:a16="http://schemas.microsoft.com/office/drawing/2014/main" pred="{CD89554D-BD76-42AD-819A-278AD445B86E}"/>
            </a:ext>
          </a:extLst>
        </xdr:cNvPr>
        <xdr:cNvSpPr>
          <a:spLocks noChangeAspect="1" noChangeArrowheads="1"/>
        </xdr:cNvSpPr>
      </xdr:nvSpPr>
      <xdr:spPr bwMode="auto">
        <a:xfrm>
          <a:off x="2959100" y="2800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181</xdr:row>
      <xdr:rowOff>0</xdr:rowOff>
    </xdr:from>
    <xdr:ext cx="304800" cy="304800"/>
    <xdr:sp macro="" textlink="">
      <xdr:nvSpPr>
        <xdr:cNvPr id="160" name="AutoShape 1">
          <a:extLst>
            <a:ext uri="{FF2B5EF4-FFF2-40B4-BE49-F238E27FC236}">
              <a16:creationId xmlns:a16="http://schemas.microsoft.com/office/drawing/2014/main" id="{D9499EBD-C769-481A-8019-BFD4667BBE49}"/>
            </a:ext>
          </a:extLst>
        </xdr:cNvPr>
        <xdr:cNvSpPr>
          <a:spLocks noChangeAspect="1" noChangeArrowheads="1"/>
        </xdr:cNvSpPr>
      </xdr:nvSpPr>
      <xdr:spPr bwMode="auto">
        <a:xfrm>
          <a:off x="2959100" y="3353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181</xdr:row>
      <xdr:rowOff>0</xdr:rowOff>
    </xdr:from>
    <xdr:ext cx="304800" cy="304800"/>
    <xdr:sp macro="" textlink="">
      <xdr:nvSpPr>
        <xdr:cNvPr id="161" name="AutoShape 1">
          <a:extLst>
            <a:ext uri="{FF2B5EF4-FFF2-40B4-BE49-F238E27FC236}">
              <a16:creationId xmlns:a16="http://schemas.microsoft.com/office/drawing/2014/main" id="{B7432F46-A30E-43E1-873F-F4E9E3FB956F}"/>
            </a:ext>
          </a:extLst>
        </xdr:cNvPr>
        <xdr:cNvSpPr>
          <a:spLocks noChangeAspect="1" noChangeArrowheads="1"/>
        </xdr:cNvSpPr>
      </xdr:nvSpPr>
      <xdr:spPr bwMode="auto">
        <a:xfrm>
          <a:off x="2959100" y="3353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187</xdr:row>
      <xdr:rowOff>0</xdr:rowOff>
    </xdr:from>
    <xdr:ext cx="304800" cy="304800"/>
    <xdr:sp macro="" textlink="">
      <xdr:nvSpPr>
        <xdr:cNvPr id="162" name="AutoShape 1">
          <a:extLst>
            <a:ext uri="{FF2B5EF4-FFF2-40B4-BE49-F238E27FC236}">
              <a16:creationId xmlns:a16="http://schemas.microsoft.com/office/drawing/2014/main" id="{3A6A11CC-5BF1-4A2B-92BA-721C07FE21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3463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187</xdr:row>
      <xdr:rowOff>0</xdr:rowOff>
    </xdr:from>
    <xdr:ext cx="304800" cy="304800"/>
    <xdr:sp macro="" textlink="">
      <xdr:nvSpPr>
        <xdr:cNvPr id="163" name="AutoShape 1">
          <a:extLst>
            <a:ext uri="{FF2B5EF4-FFF2-40B4-BE49-F238E27FC236}">
              <a16:creationId xmlns:a16="http://schemas.microsoft.com/office/drawing/2014/main" id="{49CDB67B-D787-4D7D-A3DA-AFE678573104}"/>
            </a:ext>
          </a:extLst>
        </xdr:cNvPr>
        <xdr:cNvSpPr>
          <a:spLocks noChangeAspect="1" noChangeArrowheads="1"/>
        </xdr:cNvSpPr>
      </xdr:nvSpPr>
      <xdr:spPr bwMode="auto">
        <a:xfrm>
          <a:off x="2959100" y="3463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187</xdr:row>
      <xdr:rowOff>0</xdr:rowOff>
    </xdr:from>
    <xdr:ext cx="304800" cy="304800"/>
    <xdr:sp macro="" textlink="">
      <xdr:nvSpPr>
        <xdr:cNvPr id="164" name="AutoShape 1">
          <a:extLst>
            <a:ext uri="{FF2B5EF4-FFF2-40B4-BE49-F238E27FC236}">
              <a16:creationId xmlns:a16="http://schemas.microsoft.com/office/drawing/2014/main" id="{5425A123-8935-45E1-8D68-251BE4EF2099}"/>
            </a:ext>
          </a:extLst>
        </xdr:cNvPr>
        <xdr:cNvSpPr>
          <a:spLocks noChangeAspect="1" noChangeArrowheads="1"/>
        </xdr:cNvSpPr>
      </xdr:nvSpPr>
      <xdr:spPr bwMode="auto">
        <a:xfrm>
          <a:off x="2959100" y="3463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187</xdr:row>
      <xdr:rowOff>0</xdr:rowOff>
    </xdr:from>
    <xdr:ext cx="304800" cy="304800"/>
    <xdr:sp macro="" textlink="">
      <xdr:nvSpPr>
        <xdr:cNvPr id="165" name="AutoShape 1">
          <a:extLst>
            <a:ext uri="{FF2B5EF4-FFF2-40B4-BE49-F238E27FC236}">
              <a16:creationId xmlns:a16="http://schemas.microsoft.com/office/drawing/2014/main" id="{C9867D24-39D3-46C1-8245-44BD2ADCE8DB}"/>
            </a:ext>
          </a:extLst>
        </xdr:cNvPr>
        <xdr:cNvSpPr>
          <a:spLocks noChangeAspect="1" noChangeArrowheads="1"/>
        </xdr:cNvSpPr>
      </xdr:nvSpPr>
      <xdr:spPr bwMode="auto">
        <a:xfrm>
          <a:off x="2959100" y="3463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187</xdr:row>
      <xdr:rowOff>0</xdr:rowOff>
    </xdr:from>
    <xdr:ext cx="304800" cy="304800"/>
    <xdr:sp macro="" textlink="">
      <xdr:nvSpPr>
        <xdr:cNvPr id="166" name="AutoShape 1">
          <a:extLst>
            <a:ext uri="{FF2B5EF4-FFF2-40B4-BE49-F238E27FC236}">
              <a16:creationId xmlns:a16="http://schemas.microsoft.com/office/drawing/2014/main" id="{7536B79D-E323-4A03-A5D1-D8A896922E2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3463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187</xdr:row>
      <xdr:rowOff>0</xdr:rowOff>
    </xdr:from>
    <xdr:ext cx="304800" cy="304800"/>
    <xdr:sp macro="" textlink="">
      <xdr:nvSpPr>
        <xdr:cNvPr id="167" name="AutoShape 1">
          <a:extLst>
            <a:ext uri="{FF2B5EF4-FFF2-40B4-BE49-F238E27FC236}">
              <a16:creationId xmlns:a16="http://schemas.microsoft.com/office/drawing/2014/main" id="{6DF64254-B505-497D-9065-D8E92D60596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3463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187</xdr:row>
      <xdr:rowOff>0</xdr:rowOff>
    </xdr:from>
    <xdr:ext cx="304800" cy="304800"/>
    <xdr:sp macro="" textlink="">
      <xdr:nvSpPr>
        <xdr:cNvPr id="168" name="AutoShape 1">
          <a:extLst>
            <a:ext uri="{FF2B5EF4-FFF2-40B4-BE49-F238E27FC236}">
              <a16:creationId xmlns:a16="http://schemas.microsoft.com/office/drawing/2014/main" id="{6854D31A-C5C9-4EA1-A2CB-B2902724F5ED}"/>
            </a:ext>
          </a:extLst>
        </xdr:cNvPr>
        <xdr:cNvSpPr>
          <a:spLocks noChangeAspect="1" noChangeArrowheads="1"/>
        </xdr:cNvSpPr>
      </xdr:nvSpPr>
      <xdr:spPr bwMode="auto">
        <a:xfrm>
          <a:off x="2959100" y="3463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187</xdr:row>
      <xdr:rowOff>0</xdr:rowOff>
    </xdr:from>
    <xdr:ext cx="304800" cy="304800"/>
    <xdr:sp macro="" textlink="">
      <xdr:nvSpPr>
        <xdr:cNvPr id="169" name="AutoShape 1">
          <a:extLst>
            <a:ext uri="{FF2B5EF4-FFF2-40B4-BE49-F238E27FC236}">
              <a16:creationId xmlns:a16="http://schemas.microsoft.com/office/drawing/2014/main" id="{B2DC3A90-593D-400E-8058-3F2881173894}"/>
            </a:ext>
          </a:extLst>
        </xdr:cNvPr>
        <xdr:cNvSpPr>
          <a:spLocks noChangeAspect="1" noChangeArrowheads="1"/>
        </xdr:cNvSpPr>
      </xdr:nvSpPr>
      <xdr:spPr bwMode="auto">
        <a:xfrm>
          <a:off x="2959100" y="3463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187</xdr:row>
      <xdr:rowOff>0</xdr:rowOff>
    </xdr:from>
    <xdr:ext cx="304800" cy="304800"/>
    <xdr:sp macro="" textlink="">
      <xdr:nvSpPr>
        <xdr:cNvPr id="170" name="AutoShape 1">
          <a:extLst>
            <a:ext uri="{FF2B5EF4-FFF2-40B4-BE49-F238E27FC236}">
              <a16:creationId xmlns:a16="http://schemas.microsoft.com/office/drawing/2014/main" id="{FEE13F94-9BCE-4974-AB6E-A1B50C121291}"/>
            </a:ext>
          </a:extLst>
        </xdr:cNvPr>
        <xdr:cNvSpPr>
          <a:spLocks noChangeAspect="1" noChangeArrowheads="1"/>
        </xdr:cNvSpPr>
      </xdr:nvSpPr>
      <xdr:spPr bwMode="auto">
        <a:xfrm>
          <a:off x="2959100" y="3463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187</xdr:row>
      <xdr:rowOff>0</xdr:rowOff>
    </xdr:from>
    <xdr:ext cx="304800" cy="304800"/>
    <xdr:sp macro="" textlink="">
      <xdr:nvSpPr>
        <xdr:cNvPr id="171" name="AutoShape 1">
          <a:extLst>
            <a:ext uri="{FF2B5EF4-FFF2-40B4-BE49-F238E27FC236}">
              <a16:creationId xmlns:a16="http://schemas.microsoft.com/office/drawing/2014/main" id="{2F3B2CB3-4CCF-461B-863D-41CF320CCBE9}"/>
            </a:ext>
          </a:extLst>
        </xdr:cNvPr>
        <xdr:cNvSpPr>
          <a:spLocks noChangeAspect="1" noChangeArrowheads="1"/>
        </xdr:cNvSpPr>
      </xdr:nvSpPr>
      <xdr:spPr bwMode="auto">
        <a:xfrm>
          <a:off x="2959100" y="3463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187</xdr:row>
      <xdr:rowOff>0</xdr:rowOff>
    </xdr:from>
    <xdr:ext cx="304800" cy="304800"/>
    <xdr:sp macro="" textlink="">
      <xdr:nvSpPr>
        <xdr:cNvPr id="172" name="AutoShape 1">
          <a:extLst>
            <a:ext uri="{FF2B5EF4-FFF2-40B4-BE49-F238E27FC236}">
              <a16:creationId xmlns:a16="http://schemas.microsoft.com/office/drawing/2014/main" id="{348D5898-37AC-4F79-8031-42C91A85902A}"/>
            </a:ext>
          </a:extLst>
        </xdr:cNvPr>
        <xdr:cNvSpPr>
          <a:spLocks noChangeAspect="1" noChangeArrowheads="1"/>
        </xdr:cNvSpPr>
      </xdr:nvSpPr>
      <xdr:spPr bwMode="auto">
        <a:xfrm>
          <a:off x="2959100" y="3463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187</xdr:row>
      <xdr:rowOff>0</xdr:rowOff>
    </xdr:from>
    <xdr:ext cx="304800" cy="304800"/>
    <xdr:sp macro="" textlink="">
      <xdr:nvSpPr>
        <xdr:cNvPr id="173" name="AutoShape 1">
          <a:extLst>
            <a:ext uri="{FF2B5EF4-FFF2-40B4-BE49-F238E27FC236}">
              <a16:creationId xmlns:a16="http://schemas.microsoft.com/office/drawing/2014/main" id="{C55B1958-087E-4729-8CC0-099999CB05B6}"/>
            </a:ext>
          </a:extLst>
        </xdr:cNvPr>
        <xdr:cNvSpPr>
          <a:spLocks noChangeAspect="1" noChangeArrowheads="1"/>
        </xdr:cNvSpPr>
      </xdr:nvSpPr>
      <xdr:spPr bwMode="auto">
        <a:xfrm>
          <a:off x="2959100" y="3463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187</xdr:row>
      <xdr:rowOff>0</xdr:rowOff>
    </xdr:from>
    <xdr:ext cx="304800" cy="304800"/>
    <xdr:sp macro="" textlink="">
      <xdr:nvSpPr>
        <xdr:cNvPr id="174" name="AutoShape 1">
          <a:extLst>
            <a:ext uri="{FF2B5EF4-FFF2-40B4-BE49-F238E27FC236}">
              <a16:creationId xmlns:a16="http://schemas.microsoft.com/office/drawing/2014/main" id="{EA81DC37-0C6C-46D6-AC47-238938CCE0FE}"/>
            </a:ext>
          </a:extLst>
        </xdr:cNvPr>
        <xdr:cNvSpPr>
          <a:spLocks noChangeAspect="1" noChangeArrowheads="1"/>
        </xdr:cNvSpPr>
      </xdr:nvSpPr>
      <xdr:spPr bwMode="auto">
        <a:xfrm>
          <a:off x="2959100" y="3463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187</xdr:row>
      <xdr:rowOff>0</xdr:rowOff>
    </xdr:from>
    <xdr:ext cx="304800" cy="304800"/>
    <xdr:sp macro="" textlink="">
      <xdr:nvSpPr>
        <xdr:cNvPr id="175" name="AutoShape 1">
          <a:extLst>
            <a:ext uri="{FF2B5EF4-FFF2-40B4-BE49-F238E27FC236}">
              <a16:creationId xmlns:a16="http://schemas.microsoft.com/office/drawing/2014/main" id="{DACEA14B-9E41-47FA-9C34-179A52C98699}"/>
            </a:ext>
          </a:extLst>
        </xdr:cNvPr>
        <xdr:cNvSpPr>
          <a:spLocks noChangeAspect="1" noChangeArrowheads="1"/>
        </xdr:cNvSpPr>
      </xdr:nvSpPr>
      <xdr:spPr bwMode="auto">
        <a:xfrm>
          <a:off x="2959100" y="3463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187</xdr:row>
      <xdr:rowOff>0</xdr:rowOff>
    </xdr:from>
    <xdr:ext cx="304800" cy="304800"/>
    <xdr:sp macro="" textlink="">
      <xdr:nvSpPr>
        <xdr:cNvPr id="176" name="AutoShape 1">
          <a:extLst>
            <a:ext uri="{FF2B5EF4-FFF2-40B4-BE49-F238E27FC236}">
              <a16:creationId xmlns:a16="http://schemas.microsoft.com/office/drawing/2014/main" id="{8D86F3C3-8200-4030-92C2-80862EA14E89}"/>
            </a:ext>
          </a:extLst>
        </xdr:cNvPr>
        <xdr:cNvSpPr>
          <a:spLocks noChangeAspect="1" noChangeArrowheads="1"/>
        </xdr:cNvSpPr>
      </xdr:nvSpPr>
      <xdr:spPr bwMode="auto">
        <a:xfrm>
          <a:off x="2959100" y="3463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187</xdr:row>
      <xdr:rowOff>0</xdr:rowOff>
    </xdr:from>
    <xdr:ext cx="304800" cy="304800"/>
    <xdr:sp macro="" textlink="">
      <xdr:nvSpPr>
        <xdr:cNvPr id="177" name="AutoShape 1">
          <a:extLst>
            <a:ext uri="{FF2B5EF4-FFF2-40B4-BE49-F238E27FC236}">
              <a16:creationId xmlns:a16="http://schemas.microsoft.com/office/drawing/2014/main" id="{EBBB6260-36DF-43FC-B59D-26E88CA796BC}"/>
            </a:ext>
          </a:extLst>
        </xdr:cNvPr>
        <xdr:cNvSpPr>
          <a:spLocks noChangeAspect="1" noChangeArrowheads="1"/>
        </xdr:cNvSpPr>
      </xdr:nvSpPr>
      <xdr:spPr bwMode="auto">
        <a:xfrm>
          <a:off x="2959100" y="3463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187</xdr:row>
      <xdr:rowOff>0</xdr:rowOff>
    </xdr:from>
    <xdr:ext cx="304800" cy="304800"/>
    <xdr:sp macro="" textlink="">
      <xdr:nvSpPr>
        <xdr:cNvPr id="178" name="AutoShape 1">
          <a:extLst>
            <a:ext uri="{FF2B5EF4-FFF2-40B4-BE49-F238E27FC236}">
              <a16:creationId xmlns:a16="http://schemas.microsoft.com/office/drawing/2014/main" id="{EE09DC67-B755-4FD1-8DDA-1D48CFB1F3FA}"/>
            </a:ext>
          </a:extLst>
        </xdr:cNvPr>
        <xdr:cNvSpPr>
          <a:spLocks noChangeAspect="1" noChangeArrowheads="1"/>
        </xdr:cNvSpPr>
      </xdr:nvSpPr>
      <xdr:spPr bwMode="auto">
        <a:xfrm>
          <a:off x="2959100" y="3463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187</xdr:row>
      <xdr:rowOff>0</xdr:rowOff>
    </xdr:from>
    <xdr:ext cx="304800" cy="304800"/>
    <xdr:sp macro="" textlink="">
      <xdr:nvSpPr>
        <xdr:cNvPr id="179" name="AutoShape 1">
          <a:extLst>
            <a:ext uri="{FF2B5EF4-FFF2-40B4-BE49-F238E27FC236}">
              <a16:creationId xmlns:a16="http://schemas.microsoft.com/office/drawing/2014/main" id="{9002F91C-AD4F-4D3E-9A7D-F5118286B2AE}"/>
            </a:ext>
          </a:extLst>
        </xdr:cNvPr>
        <xdr:cNvSpPr>
          <a:spLocks noChangeAspect="1" noChangeArrowheads="1"/>
        </xdr:cNvSpPr>
      </xdr:nvSpPr>
      <xdr:spPr bwMode="auto">
        <a:xfrm>
          <a:off x="2959100" y="3463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187</xdr:row>
      <xdr:rowOff>0</xdr:rowOff>
    </xdr:from>
    <xdr:ext cx="304800" cy="304800"/>
    <xdr:sp macro="" textlink="">
      <xdr:nvSpPr>
        <xdr:cNvPr id="180" name="AutoShape 1">
          <a:extLst>
            <a:ext uri="{FF2B5EF4-FFF2-40B4-BE49-F238E27FC236}">
              <a16:creationId xmlns:a16="http://schemas.microsoft.com/office/drawing/2014/main" id="{788F14AB-908A-482F-B3F8-4E715868B179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3463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187</xdr:row>
      <xdr:rowOff>0</xdr:rowOff>
    </xdr:from>
    <xdr:ext cx="304800" cy="304800"/>
    <xdr:sp macro="" textlink="">
      <xdr:nvSpPr>
        <xdr:cNvPr id="181" name="AutoShape 1">
          <a:extLst>
            <a:ext uri="{FF2B5EF4-FFF2-40B4-BE49-F238E27FC236}">
              <a16:creationId xmlns:a16="http://schemas.microsoft.com/office/drawing/2014/main" id="{7D682862-40FD-484C-BE0D-A01D0152A9E2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3463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187</xdr:row>
      <xdr:rowOff>0</xdr:rowOff>
    </xdr:from>
    <xdr:ext cx="304800" cy="304800"/>
    <xdr:sp macro="" textlink="">
      <xdr:nvSpPr>
        <xdr:cNvPr id="182" name="AutoShape 1">
          <a:extLst>
            <a:ext uri="{FF2B5EF4-FFF2-40B4-BE49-F238E27FC236}">
              <a16:creationId xmlns:a16="http://schemas.microsoft.com/office/drawing/2014/main" id="{E7AF8389-E25F-465D-835C-962F9596D3C7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3463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187</xdr:row>
      <xdr:rowOff>0</xdr:rowOff>
    </xdr:from>
    <xdr:ext cx="304800" cy="304800"/>
    <xdr:sp macro="" textlink="">
      <xdr:nvSpPr>
        <xdr:cNvPr id="183" name="AutoShape 1">
          <a:extLst>
            <a:ext uri="{FF2B5EF4-FFF2-40B4-BE49-F238E27FC236}">
              <a16:creationId xmlns:a16="http://schemas.microsoft.com/office/drawing/2014/main" id="{D3A673DA-44DE-4EE1-97C7-8A17D1B5747B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3463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187</xdr:row>
      <xdr:rowOff>0</xdr:rowOff>
    </xdr:from>
    <xdr:ext cx="304800" cy="304800"/>
    <xdr:sp macro="" textlink="">
      <xdr:nvSpPr>
        <xdr:cNvPr id="184" name="AutoShape 1">
          <a:extLst>
            <a:ext uri="{FF2B5EF4-FFF2-40B4-BE49-F238E27FC236}">
              <a16:creationId xmlns:a16="http://schemas.microsoft.com/office/drawing/2014/main" id="{A60C388A-B387-4D08-BE35-8ACBB7E2B706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3463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187</xdr:row>
      <xdr:rowOff>0</xdr:rowOff>
    </xdr:from>
    <xdr:ext cx="304800" cy="304800"/>
    <xdr:sp macro="" textlink="">
      <xdr:nvSpPr>
        <xdr:cNvPr id="185" name="AutoShape 1">
          <a:extLst>
            <a:ext uri="{FF2B5EF4-FFF2-40B4-BE49-F238E27FC236}">
              <a16:creationId xmlns:a16="http://schemas.microsoft.com/office/drawing/2014/main" id="{9824C179-0B2F-4F6A-ADBB-267C247AB667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3463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187</xdr:row>
      <xdr:rowOff>0</xdr:rowOff>
    </xdr:from>
    <xdr:ext cx="304800" cy="304800"/>
    <xdr:sp macro="" textlink="">
      <xdr:nvSpPr>
        <xdr:cNvPr id="186" name="AutoShape 1">
          <a:extLst>
            <a:ext uri="{FF2B5EF4-FFF2-40B4-BE49-F238E27FC236}">
              <a16:creationId xmlns:a16="http://schemas.microsoft.com/office/drawing/2014/main" id="{FACC8222-720D-4E02-8653-BDB6E3D20ACA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3463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187</xdr:row>
      <xdr:rowOff>0</xdr:rowOff>
    </xdr:from>
    <xdr:ext cx="304800" cy="304800"/>
    <xdr:sp macro="" textlink="">
      <xdr:nvSpPr>
        <xdr:cNvPr id="187" name="AutoShape 1">
          <a:extLst>
            <a:ext uri="{FF2B5EF4-FFF2-40B4-BE49-F238E27FC236}">
              <a16:creationId xmlns:a16="http://schemas.microsoft.com/office/drawing/2014/main" id="{EEE1F465-E3EC-4B16-A54F-F138CA6FC96C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3463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187</xdr:row>
      <xdr:rowOff>0</xdr:rowOff>
    </xdr:from>
    <xdr:ext cx="304800" cy="304800"/>
    <xdr:sp macro="" textlink="">
      <xdr:nvSpPr>
        <xdr:cNvPr id="188" name="AutoShape 1">
          <a:extLst>
            <a:ext uri="{FF2B5EF4-FFF2-40B4-BE49-F238E27FC236}">
              <a16:creationId xmlns:a16="http://schemas.microsoft.com/office/drawing/2014/main" id="{4BF51C2D-5D19-488A-AB79-CE3A0AA50BF3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3463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187</xdr:row>
      <xdr:rowOff>0</xdr:rowOff>
    </xdr:from>
    <xdr:ext cx="304800" cy="304800"/>
    <xdr:sp macro="" textlink="">
      <xdr:nvSpPr>
        <xdr:cNvPr id="189" name="AutoShape 1">
          <a:extLst>
            <a:ext uri="{FF2B5EF4-FFF2-40B4-BE49-F238E27FC236}">
              <a16:creationId xmlns:a16="http://schemas.microsoft.com/office/drawing/2014/main" id="{FE48987F-3142-4F4C-BDC2-55977671ACBB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3463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187</xdr:row>
      <xdr:rowOff>0</xdr:rowOff>
    </xdr:from>
    <xdr:ext cx="304800" cy="304800"/>
    <xdr:sp macro="" textlink="">
      <xdr:nvSpPr>
        <xdr:cNvPr id="190" name="AutoShape 1">
          <a:extLst>
            <a:ext uri="{FF2B5EF4-FFF2-40B4-BE49-F238E27FC236}">
              <a16:creationId xmlns:a16="http://schemas.microsoft.com/office/drawing/2014/main" id="{80D740A9-52F9-46EC-AC04-EBFCF5876B89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3463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187</xdr:row>
      <xdr:rowOff>0</xdr:rowOff>
    </xdr:from>
    <xdr:ext cx="304800" cy="304800"/>
    <xdr:sp macro="" textlink="">
      <xdr:nvSpPr>
        <xdr:cNvPr id="191" name="AutoShape 1">
          <a:extLst>
            <a:ext uri="{FF2B5EF4-FFF2-40B4-BE49-F238E27FC236}">
              <a16:creationId xmlns:a16="http://schemas.microsoft.com/office/drawing/2014/main" id="{EBC84E41-92C9-4177-853C-A8AD06A03667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3463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187</xdr:row>
      <xdr:rowOff>0</xdr:rowOff>
    </xdr:from>
    <xdr:ext cx="304800" cy="304800"/>
    <xdr:sp macro="" textlink="">
      <xdr:nvSpPr>
        <xdr:cNvPr id="192" name="AutoShape 1">
          <a:extLst>
            <a:ext uri="{FF2B5EF4-FFF2-40B4-BE49-F238E27FC236}">
              <a16:creationId xmlns:a16="http://schemas.microsoft.com/office/drawing/2014/main" id="{64A41C6F-9E28-4488-B32C-3D7CC5155BFF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3463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187</xdr:row>
      <xdr:rowOff>0</xdr:rowOff>
    </xdr:from>
    <xdr:ext cx="304800" cy="304800"/>
    <xdr:sp macro="" textlink="">
      <xdr:nvSpPr>
        <xdr:cNvPr id="193" name="AutoShape 1">
          <a:extLst>
            <a:ext uri="{FF2B5EF4-FFF2-40B4-BE49-F238E27FC236}">
              <a16:creationId xmlns:a16="http://schemas.microsoft.com/office/drawing/2014/main" id="{A645857A-E3B9-49AF-ABBF-1E5DC94686A2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3463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187</xdr:row>
      <xdr:rowOff>0</xdr:rowOff>
    </xdr:from>
    <xdr:ext cx="304800" cy="304800"/>
    <xdr:sp macro="" textlink="">
      <xdr:nvSpPr>
        <xdr:cNvPr id="194" name="AutoShape 1">
          <a:extLst>
            <a:ext uri="{FF2B5EF4-FFF2-40B4-BE49-F238E27FC236}">
              <a16:creationId xmlns:a16="http://schemas.microsoft.com/office/drawing/2014/main" id="{ED41180A-C477-4BFC-A808-2FFCBB957D1D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3463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187</xdr:row>
      <xdr:rowOff>0</xdr:rowOff>
    </xdr:from>
    <xdr:ext cx="304800" cy="304800"/>
    <xdr:sp macro="" textlink="">
      <xdr:nvSpPr>
        <xdr:cNvPr id="195" name="AutoShape 1">
          <a:extLst>
            <a:ext uri="{FF2B5EF4-FFF2-40B4-BE49-F238E27FC236}">
              <a16:creationId xmlns:a16="http://schemas.microsoft.com/office/drawing/2014/main" id="{855861AF-C68E-4EC5-B987-012337B58E80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3463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187</xdr:row>
      <xdr:rowOff>0</xdr:rowOff>
    </xdr:from>
    <xdr:ext cx="304800" cy="304800"/>
    <xdr:sp macro="" textlink="">
      <xdr:nvSpPr>
        <xdr:cNvPr id="196" name="AutoShape 1">
          <a:extLst>
            <a:ext uri="{FF2B5EF4-FFF2-40B4-BE49-F238E27FC236}">
              <a16:creationId xmlns:a16="http://schemas.microsoft.com/office/drawing/2014/main" id="{3158F730-1034-4B36-9876-D91283FACA36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3463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187</xdr:row>
      <xdr:rowOff>0</xdr:rowOff>
    </xdr:from>
    <xdr:ext cx="304800" cy="304800"/>
    <xdr:sp macro="" textlink="">
      <xdr:nvSpPr>
        <xdr:cNvPr id="197" name="AutoShape 1">
          <a:extLst>
            <a:ext uri="{FF2B5EF4-FFF2-40B4-BE49-F238E27FC236}">
              <a16:creationId xmlns:a16="http://schemas.microsoft.com/office/drawing/2014/main" id="{9312C466-B74F-4B94-9AC0-C14280804677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3463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187</xdr:row>
      <xdr:rowOff>0</xdr:rowOff>
    </xdr:from>
    <xdr:ext cx="304800" cy="304800"/>
    <xdr:sp macro="" textlink="">
      <xdr:nvSpPr>
        <xdr:cNvPr id="198" name="AutoShape 1">
          <a:extLst>
            <a:ext uri="{FF2B5EF4-FFF2-40B4-BE49-F238E27FC236}">
              <a16:creationId xmlns:a16="http://schemas.microsoft.com/office/drawing/2014/main" id="{00FA5F96-A1BF-49F4-9CEC-37DAA8033D68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2959100" y="3463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187</xdr:row>
      <xdr:rowOff>0</xdr:rowOff>
    </xdr:from>
    <xdr:ext cx="304800" cy="304800"/>
    <xdr:sp macro="" textlink="">
      <xdr:nvSpPr>
        <xdr:cNvPr id="199" name="AutoShape 1">
          <a:extLst>
            <a:ext uri="{FF2B5EF4-FFF2-40B4-BE49-F238E27FC236}">
              <a16:creationId xmlns:a16="http://schemas.microsoft.com/office/drawing/2014/main" id="{D2B24F02-DC3F-42FA-B4B9-5BBBF9805E32}"/>
            </a:ext>
            <a:ext uri="{147F2762-F138-4A5C-976F-8EAC2B608ADB}">
              <a16:predDERef xmlns:a16="http://schemas.microsoft.com/office/drawing/2014/main" pred="{A9C9C4DB-4B97-447C-9099-E87BCB3C537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3463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187</xdr:row>
      <xdr:rowOff>0</xdr:rowOff>
    </xdr:from>
    <xdr:ext cx="304800" cy="304800"/>
    <xdr:sp macro="" textlink="">
      <xdr:nvSpPr>
        <xdr:cNvPr id="200" name="AutoShape 1">
          <a:extLst>
            <a:ext uri="{FF2B5EF4-FFF2-40B4-BE49-F238E27FC236}">
              <a16:creationId xmlns:a16="http://schemas.microsoft.com/office/drawing/2014/main" id="{F2DD738F-C5E7-438E-AFA4-202F946181C5}"/>
            </a:ext>
            <a:ext uri="{147F2762-F138-4A5C-976F-8EAC2B608ADB}">
              <a16:predDERef xmlns:a16="http://schemas.microsoft.com/office/drawing/2014/main" pred="{CD89554D-BD76-42AD-819A-278AD445B86E}"/>
            </a:ext>
          </a:extLst>
        </xdr:cNvPr>
        <xdr:cNvSpPr>
          <a:spLocks noChangeAspect="1" noChangeArrowheads="1"/>
        </xdr:cNvSpPr>
      </xdr:nvSpPr>
      <xdr:spPr bwMode="auto">
        <a:xfrm>
          <a:off x="2959100" y="3463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220</xdr:row>
      <xdr:rowOff>0</xdr:rowOff>
    </xdr:from>
    <xdr:ext cx="304800" cy="304800"/>
    <xdr:sp macro="" textlink="">
      <xdr:nvSpPr>
        <xdr:cNvPr id="201" name="AutoShape 1">
          <a:extLst>
            <a:ext uri="{FF2B5EF4-FFF2-40B4-BE49-F238E27FC236}">
              <a16:creationId xmlns:a16="http://schemas.microsoft.com/office/drawing/2014/main" id="{09CE8652-6967-46D2-9947-A3D30C608D3C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071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220</xdr:row>
      <xdr:rowOff>0</xdr:rowOff>
    </xdr:from>
    <xdr:ext cx="304800" cy="304800"/>
    <xdr:sp macro="" textlink="">
      <xdr:nvSpPr>
        <xdr:cNvPr id="202" name="AutoShape 1">
          <a:extLst>
            <a:ext uri="{FF2B5EF4-FFF2-40B4-BE49-F238E27FC236}">
              <a16:creationId xmlns:a16="http://schemas.microsoft.com/office/drawing/2014/main" id="{FACDFDE6-0C41-4CAC-8963-FD8B252133D4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071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220</xdr:row>
      <xdr:rowOff>0</xdr:rowOff>
    </xdr:from>
    <xdr:ext cx="304800" cy="304800"/>
    <xdr:sp macro="" textlink="">
      <xdr:nvSpPr>
        <xdr:cNvPr id="203" name="AutoShape 1">
          <a:extLst>
            <a:ext uri="{FF2B5EF4-FFF2-40B4-BE49-F238E27FC236}">
              <a16:creationId xmlns:a16="http://schemas.microsoft.com/office/drawing/2014/main" id="{78CD0DE8-9472-4309-9169-D56545FF2617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071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220</xdr:row>
      <xdr:rowOff>0</xdr:rowOff>
    </xdr:from>
    <xdr:ext cx="304800" cy="304800"/>
    <xdr:sp macro="" textlink="">
      <xdr:nvSpPr>
        <xdr:cNvPr id="204" name="AutoShape 1">
          <a:extLst>
            <a:ext uri="{FF2B5EF4-FFF2-40B4-BE49-F238E27FC236}">
              <a16:creationId xmlns:a16="http://schemas.microsoft.com/office/drawing/2014/main" id="{E0B48E43-BAFF-4827-8A66-575A002EDA17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071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220</xdr:row>
      <xdr:rowOff>0</xdr:rowOff>
    </xdr:from>
    <xdr:ext cx="304800" cy="304800"/>
    <xdr:sp macro="" textlink="">
      <xdr:nvSpPr>
        <xdr:cNvPr id="205" name="AutoShape 1">
          <a:extLst>
            <a:ext uri="{FF2B5EF4-FFF2-40B4-BE49-F238E27FC236}">
              <a16:creationId xmlns:a16="http://schemas.microsoft.com/office/drawing/2014/main" id="{5DD251FE-B40A-4E5C-B401-11AC3F98246B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071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220</xdr:row>
      <xdr:rowOff>0</xdr:rowOff>
    </xdr:from>
    <xdr:ext cx="304800" cy="304800"/>
    <xdr:sp macro="" textlink="">
      <xdr:nvSpPr>
        <xdr:cNvPr id="206" name="AutoShape 1">
          <a:extLst>
            <a:ext uri="{FF2B5EF4-FFF2-40B4-BE49-F238E27FC236}">
              <a16:creationId xmlns:a16="http://schemas.microsoft.com/office/drawing/2014/main" id="{15067044-451F-49EB-B820-28FC38056057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071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220</xdr:row>
      <xdr:rowOff>0</xdr:rowOff>
    </xdr:from>
    <xdr:ext cx="304800" cy="304800"/>
    <xdr:sp macro="" textlink="">
      <xdr:nvSpPr>
        <xdr:cNvPr id="207" name="AutoShape 1">
          <a:extLst>
            <a:ext uri="{FF2B5EF4-FFF2-40B4-BE49-F238E27FC236}">
              <a16:creationId xmlns:a16="http://schemas.microsoft.com/office/drawing/2014/main" id="{FD800CAB-8B06-4478-AEEE-D46B2989911A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071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220</xdr:row>
      <xdr:rowOff>0</xdr:rowOff>
    </xdr:from>
    <xdr:ext cx="304800" cy="304800"/>
    <xdr:sp macro="" textlink="">
      <xdr:nvSpPr>
        <xdr:cNvPr id="208" name="AutoShape 1">
          <a:extLst>
            <a:ext uri="{FF2B5EF4-FFF2-40B4-BE49-F238E27FC236}">
              <a16:creationId xmlns:a16="http://schemas.microsoft.com/office/drawing/2014/main" id="{9CA68114-70D8-4117-9D1A-BFC9A0C4B85F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071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220</xdr:row>
      <xdr:rowOff>0</xdr:rowOff>
    </xdr:from>
    <xdr:ext cx="304800" cy="304800"/>
    <xdr:sp macro="" textlink="">
      <xdr:nvSpPr>
        <xdr:cNvPr id="209" name="AutoShape 1">
          <a:extLst>
            <a:ext uri="{FF2B5EF4-FFF2-40B4-BE49-F238E27FC236}">
              <a16:creationId xmlns:a16="http://schemas.microsoft.com/office/drawing/2014/main" id="{125F6648-4BCD-4605-953F-0DF5ADC28694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071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220</xdr:row>
      <xdr:rowOff>0</xdr:rowOff>
    </xdr:from>
    <xdr:ext cx="304800" cy="304800"/>
    <xdr:sp macro="" textlink="">
      <xdr:nvSpPr>
        <xdr:cNvPr id="210" name="AutoShape 1">
          <a:extLst>
            <a:ext uri="{FF2B5EF4-FFF2-40B4-BE49-F238E27FC236}">
              <a16:creationId xmlns:a16="http://schemas.microsoft.com/office/drawing/2014/main" id="{B34FE8E0-6E47-4675-AE9F-9E393BFA6529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071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220</xdr:row>
      <xdr:rowOff>0</xdr:rowOff>
    </xdr:from>
    <xdr:ext cx="304800" cy="304800"/>
    <xdr:sp macro="" textlink="">
      <xdr:nvSpPr>
        <xdr:cNvPr id="211" name="AutoShape 1">
          <a:extLst>
            <a:ext uri="{FF2B5EF4-FFF2-40B4-BE49-F238E27FC236}">
              <a16:creationId xmlns:a16="http://schemas.microsoft.com/office/drawing/2014/main" id="{7373A724-4D19-4107-8D4D-400E323F65D6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071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220</xdr:row>
      <xdr:rowOff>0</xdr:rowOff>
    </xdr:from>
    <xdr:ext cx="304800" cy="304800"/>
    <xdr:sp macro="" textlink="">
      <xdr:nvSpPr>
        <xdr:cNvPr id="212" name="AutoShape 1">
          <a:extLst>
            <a:ext uri="{FF2B5EF4-FFF2-40B4-BE49-F238E27FC236}">
              <a16:creationId xmlns:a16="http://schemas.microsoft.com/office/drawing/2014/main" id="{C6F50127-FF0B-49DE-9381-470A055BCF1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071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220</xdr:row>
      <xdr:rowOff>0</xdr:rowOff>
    </xdr:from>
    <xdr:ext cx="304800" cy="304800"/>
    <xdr:sp macro="" textlink="">
      <xdr:nvSpPr>
        <xdr:cNvPr id="213" name="AutoShape 1">
          <a:extLst>
            <a:ext uri="{FF2B5EF4-FFF2-40B4-BE49-F238E27FC236}">
              <a16:creationId xmlns:a16="http://schemas.microsoft.com/office/drawing/2014/main" id="{06D0D658-8324-4E92-BF3D-D7B3D33E2676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071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220</xdr:row>
      <xdr:rowOff>0</xdr:rowOff>
    </xdr:from>
    <xdr:ext cx="304800" cy="304800"/>
    <xdr:sp macro="" textlink="">
      <xdr:nvSpPr>
        <xdr:cNvPr id="214" name="AutoShape 1">
          <a:extLst>
            <a:ext uri="{FF2B5EF4-FFF2-40B4-BE49-F238E27FC236}">
              <a16:creationId xmlns:a16="http://schemas.microsoft.com/office/drawing/2014/main" id="{62C160AE-3457-43DD-81F7-833924DE665B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071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220</xdr:row>
      <xdr:rowOff>0</xdr:rowOff>
    </xdr:from>
    <xdr:ext cx="304800" cy="304800"/>
    <xdr:sp macro="" textlink="">
      <xdr:nvSpPr>
        <xdr:cNvPr id="215" name="AutoShape 1">
          <a:extLst>
            <a:ext uri="{FF2B5EF4-FFF2-40B4-BE49-F238E27FC236}">
              <a16:creationId xmlns:a16="http://schemas.microsoft.com/office/drawing/2014/main" id="{79F44AEA-59A2-47A7-8D11-7A4B4485EC9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071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220</xdr:row>
      <xdr:rowOff>0</xdr:rowOff>
    </xdr:from>
    <xdr:ext cx="304800" cy="304800"/>
    <xdr:sp macro="" textlink="">
      <xdr:nvSpPr>
        <xdr:cNvPr id="216" name="AutoShape 1">
          <a:extLst>
            <a:ext uri="{FF2B5EF4-FFF2-40B4-BE49-F238E27FC236}">
              <a16:creationId xmlns:a16="http://schemas.microsoft.com/office/drawing/2014/main" id="{DEDDB0C8-49CF-466A-B1C8-C53FBDCB7459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071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220</xdr:row>
      <xdr:rowOff>0</xdr:rowOff>
    </xdr:from>
    <xdr:ext cx="304800" cy="304800"/>
    <xdr:sp macro="" textlink="">
      <xdr:nvSpPr>
        <xdr:cNvPr id="217" name="AutoShape 1">
          <a:extLst>
            <a:ext uri="{FF2B5EF4-FFF2-40B4-BE49-F238E27FC236}">
              <a16:creationId xmlns:a16="http://schemas.microsoft.com/office/drawing/2014/main" id="{AC7F06D3-AA0D-48C9-A266-BFE33B44BF2C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071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220</xdr:row>
      <xdr:rowOff>0</xdr:rowOff>
    </xdr:from>
    <xdr:ext cx="304800" cy="304800"/>
    <xdr:sp macro="" textlink="">
      <xdr:nvSpPr>
        <xdr:cNvPr id="218" name="AutoShape 1">
          <a:extLst>
            <a:ext uri="{FF2B5EF4-FFF2-40B4-BE49-F238E27FC236}">
              <a16:creationId xmlns:a16="http://schemas.microsoft.com/office/drawing/2014/main" id="{B7A3F3F7-4DED-4C5B-A61F-DA5167D42C09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071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220</xdr:row>
      <xdr:rowOff>0</xdr:rowOff>
    </xdr:from>
    <xdr:ext cx="304800" cy="304800"/>
    <xdr:sp macro="" textlink="">
      <xdr:nvSpPr>
        <xdr:cNvPr id="219" name="AutoShape 1">
          <a:extLst>
            <a:ext uri="{FF2B5EF4-FFF2-40B4-BE49-F238E27FC236}">
              <a16:creationId xmlns:a16="http://schemas.microsoft.com/office/drawing/2014/main" id="{5B795103-321E-4F8E-AF89-5351A37D4158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071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220</xdr:row>
      <xdr:rowOff>0</xdr:rowOff>
    </xdr:from>
    <xdr:ext cx="304800" cy="304800"/>
    <xdr:sp macro="" textlink="">
      <xdr:nvSpPr>
        <xdr:cNvPr id="220" name="AutoShape 1">
          <a:extLst>
            <a:ext uri="{FF2B5EF4-FFF2-40B4-BE49-F238E27FC236}">
              <a16:creationId xmlns:a16="http://schemas.microsoft.com/office/drawing/2014/main" id="{8F29AF89-E423-4EBE-AFA1-FBED4A6DEB66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071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220</xdr:row>
      <xdr:rowOff>0</xdr:rowOff>
    </xdr:from>
    <xdr:ext cx="304800" cy="304800"/>
    <xdr:sp macro="" textlink="">
      <xdr:nvSpPr>
        <xdr:cNvPr id="221" name="AutoShape 1">
          <a:extLst>
            <a:ext uri="{FF2B5EF4-FFF2-40B4-BE49-F238E27FC236}">
              <a16:creationId xmlns:a16="http://schemas.microsoft.com/office/drawing/2014/main" id="{172C7242-5022-4DB0-B77F-E8B6C2B53CC7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071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220</xdr:row>
      <xdr:rowOff>0</xdr:rowOff>
    </xdr:from>
    <xdr:ext cx="304800" cy="304800"/>
    <xdr:sp macro="" textlink="">
      <xdr:nvSpPr>
        <xdr:cNvPr id="222" name="AutoShape 1">
          <a:extLst>
            <a:ext uri="{FF2B5EF4-FFF2-40B4-BE49-F238E27FC236}">
              <a16:creationId xmlns:a16="http://schemas.microsoft.com/office/drawing/2014/main" id="{935471C8-A3B8-49DE-9EE0-EDA8496D44D8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071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220</xdr:row>
      <xdr:rowOff>0</xdr:rowOff>
    </xdr:from>
    <xdr:ext cx="304800" cy="304800"/>
    <xdr:sp macro="" textlink="">
      <xdr:nvSpPr>
        <xdr:cNvPr id="223" name="AutoShape 1">
          <a:extLst>
            <a:ext uri="{FF2B5EF4-FFF2-40B4-BE49-F238E27FC236}">
              <a16:creationId xmlns:a16="http://schemas.microsoft.com/office/drawing/2014/main" id="{AC5E22F2-F4ED-40CB-BC9F-3C6B1C211C83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071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220</xdr:row>
      <xdr:rowOff>0</xdr:rowOff>
    </xdr:from>
    <xdr:ext cx="304800" cy="304800"/>
    <xdr:sp macro="" textlink="">
      <xdr:nvSpPr>
        <xdr:cNvPr id="224" name="AutoShape 1">
          <a:extLst>
            <a:ext uri="{FF2B5EF4-FFF2-40B4-BE49-F238E27FC236}">
              <a16:creationId xmlns:a16="http://schemas.microsoft.com/office/drawing/2014/main" id="{5A3F63A3-3D96-4CE7-AE37-0CEC90B91BC2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071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220</xdr:row>
      <xdr:rowOff>0</xdr:rowOff>
    </xdr:from>
    <xdr:ext cx="304800" cy="304800"/>
    <xdr:sp macro="" textlink="">
      <xdr:nvSpPr>
        <xdr:cNvPr id="225" name="AutoShape 1">
          <a:extLst>
            <a:ext uri="{FF2B5EF4-FFF2-40B4-BE49-F238E27FC236}">
              <a16:creationId xmlns:a16="http://schemas.microsoft.com/office/drawing/2014/main" id="{D6D18FA3-515E-4A61-B638-DECDAE88BD2E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071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220</xdr:row>
      <xdr:rowOff>0</xdr:rowOff>
    </xdr:from>
    <xdr:ext cx="304800" cy="304800"/>
    <xdr:sp macro="" textlink="">
      <xdr:nvSpPr>
        <xdr:cNvPr id="226" name="AutoShape 1">
          <a:extLst>
            <a:ext uri="{FF2B5EF4-FFF2-40B4-BE49-F238E27FC236}">
              <a16:creationId xmlns:a16="http://schemas.microsoft.com/office/drawing/2014/main" id="{BBDB31DA-11DC-471B-ACAE-C2AC1FC8EC62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071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220</xdr:row>
      <xdr:rowOff>0</xdr:rowOff>
    </xdr:from>
    <xdr:ext cx="304800" cy="304800"/>
    <xdr:sp macro="" textlink="">
      <xdr:nvSpPr>
        <xdr:cNvPr id="227" name="AutoShape 1">
          <a:extLst>
            <a:ext uri="{FF2B5EF4-FFF2-40B4-BE49-F238E27FC236}">
              <a16:creationId xmlns:a16="http://schemas.microsoft.com/office/drawing/2014/main" id="{A2237DDA-AF96-4587-A737-8F39B74E4414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071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220</xdr:row>
      <xdr:rowOff>0</xdr:rowOff>
    </xdr:from>
    <xdr:ext cx="304800" cy="304800"/>
    <xdr:sp macro="" textlink="">
      <xdr:nvSpPr>
        <xdr:cNvPr id="228" name="AutoShape 1">
          <a:extLst>
            <a:ext uri="{FF2B5EF4-FFF2-40B4-BE49-F238E27FC236}">
              <a16:creationId xmlns:a16="http://schemas.microsoft.com/office/drawing/2014/main" id="{B59685DE-6925-41CE-8442-ABDC3EFAFC6F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071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220</xdr:row>
      <xdr:rowOff>0</xdr:rowOff>
    </xdr:from>
    <xdr:ext cx="304800" cy="304800"/>
    <xdr:sp macro="" textlink="">
      <xdr:nvSpPr>
        <xdr:cNvPr id="229" name="AutoShape 1">
          <a:extLst>
            <a:ext uri="{FF2B5EF4-FFF2-40B4-BE49-F238E27FC236}">
              <a16:creationId xmlns:a16="http://schemas.microsoft.com/office/drawing/2014/main" id="{7E9E733F-CEFD-4ECD-BDC1-6DF963DED57F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071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220</xdr:row>
      <xdr:rowOff>0</xdr:rowOff>
    </xdr:from>
    <xdr:ext cx="304800" cy="304800"/>
    <xdr:sp macro="" textlink="">
      <xdr:nvSpPr>
        <xdr:cNvPr id="230" name="AutoShape 1">
          <a:extLst>
            <a:ext uri="{FF2B5EF4-FFF2-40B4-BE49-F238E27FC236}">
              <a16:creationId xmlns:a16="http://schemas.microsoft.com/office/drawing/2014/main" id="{DDCEFBB3-1989-4339-B81F-72D1526D31C9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071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220</xdr:row>
      <xdr:rowOff>0</xdr:rowOff>
    </xdr:from>
    <xdr:ext cx="304800" cy="304800"/>
    <xdr:sp macro="" textlink="">
      <xdr:nvSpPr>
        <xdr:cNvPr id="231" name="AutoShape 1">
          <a:extLst>
            <a:ext uri="{FF2B5EF4-FFF2-40B4-BE49-F238E27FC236}">
              <a16:creationId xmlns:a16="http://schemas.microsoft.com/office/drawing/2014/main" id="{F8F53B53-F501-4032-93A2-BEDBBA6FCD83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071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220</xdr:row>
      <xdr:rowOff>0</xdr:rowOff>
    </xdr:from>
    <xdr:ext cx="304800" cy="304800"/>
    <xdr:sp macro="" textlink="">
      <xdr:nvSpPr>
        <xdr:cNvPr id="232" name="AutoShape 1">
          <a:extLst>
            <a:ext uri="{FF2B5EF4-FFF2-40B4-BE49-F238E27FC236}">
              <a16:creationId xmlns:a16="http://schemas.microsoft.com/office/drawing/2014/main" id="{968E4B5C-82BA-4B3F-8B56-718F69B01638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071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220</xdr:row>
      <xdr:rowOff>0</xdr:rowOff>
    </xdr:from>
    <xdr:ext cx="304800" cy="304800"/>
    <xdr:sp macro="" textlink="">
      <xdr:nvSpPr>
        <xdr:cNvPr id="233" name="AutoShape 1">
          <a:extLst>
            <a:ext uri="{FF2B5EF4-FFF2-40B4-BE49-F238E27FC236}">
              <a16:creationId xmlns:a16="http://schemas.microsoft.com/office/drawing/2014/main" id="{CDCC934C-FE1F-4935-A7F4-1B5EF91B2C64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071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220</xdr:row>
      <xdr:rowOff>0</xdr:rowOff>
    </xdr:from>
    <xdr:ext cx="304800" cy="304800"/>
    <xdr:sp macro="" textlink="">
      <xdr:nvSpPr>
        <xdr:cNvPr id="234" name="AutoShape 1">
          <a:extLst>
            <a:ext uri="{FF2B5EF4-FFF2-40B4-BE49-F238E27FC236}">
              <a16:creationId xmlns:a16="http://schemas.microsoft.com/office/drawing/2014/main" id="{17938B5B-3469-4061-BE86-BF489EF931D5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071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220</xdr:row>
      <xdr:rowOff>0</xdr:rowOff>
    </xdr:from>
    <xdr:ext cx="304800" cy="304800"/>
    <xdr:sp macro="" textlink="">
      <xdr:nvSpPr>
        <xdr:cNvPr id="235" name="AutoShape 1">
          <a:extLst>
            <a:ext uri="{FF2B5EF4-FFF2-40B4-BE49-F238E27FC236}">
              <a16:creationId xmlns:a16="http://schemas.microsoft.com/office/drawing/2014/main" id="{D7763764-D588-4F68-8AD2-A31AE745AB0A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071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220</xdr:row>
      <xdr:rowOff>0</xdr:rowOff>
    </xdr:from>
    <xdr:ext cx="304800" cy="304800"/>
    <xdr:sp macro="" textlink="">
      <xdr:nvSpPr>
        <xdr:cNvPr id="236" name="AutoShape 1">
          <a:extLst>
            <a:ext uri="{FF2B5EF4-FFF2-40B4-BE49-F238E27FC236}">
              <a16:creationId xmlns:a16="http://schemas.microsoft.com/office/drawing/2014/main" id="{7FFC209D-B0C4-49E9-B27F-FB9678F413C0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071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220</xdr:row>
      <xdr:rowOff>0</xdr:rowOff>
    </xdr:from>
    <xdr:ext cx="304800" cy="304800"/>
    <xdr:sp macro="" textlink="">
      <xdr:nvSpPr>
        <xdr:cNvPr id="237" name="AutoShape 1">
          <a:extLst>
            <a:ext uri="{FF2B5EF4-FFF2-40B4-BE49-F238E27FC236}">
              <a16:creationId xmlns:a16="http://schemas.microsoft.com/office/drawing/2014/main" id="{1F8DE981-6464-4C1D-9CA5-C94C2A2D93B6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071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220</xdr:row>
      <xdr:rowOff>0</xdr:rowOff>
    </xdr:from>
    <xdr:ext cx="304800" cy="304800"/>
    <xdr:sp macro="" textlink="">
      <xdr:nvSpPr>
        <xdr:cNvPr id="238" name="AutoShape 1">
          <a:extLst>
            <a:ext uri="{FF2B5EF4-FFF2-40B4-BE49-F238E27FC236}">
              <a16:creationId xmlns:a16="http://schemas.microsoft.com/office/drawing/2014/main" id="{C024B632-C72D-4A42-BCF5-3189497ED27B}"/>
            </a:ext>
            <a:ext uri="{147F2762-F138-4A5C-976F-8EAC2B608ADB}">
              <a16:predDERef xmlns:a16="http://schemas.microsoft.com/office/drawing/2014/main" pred="{A9C9C4DB-4B97-447C-9099-E87BCB3C537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071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220</xdr:row>
      <xdr:rowOff>0</xdr:rowOff>
    </xdr:from>
    <xdr:ext cx="304800" cy="304800"/>
    <xdr:sp macro="" textlink="">
      <xdr:nvSpPr>
        <xdr:cNvPr id="239" name="AutoShape 1">
          <a:extLst>
            <a:ext uri="{FF2B5EF4-FFF2-40B4-BE49-F238E27FC236}">
              <a16:creationId xmlns:a16="http://schemas.microsoft.com/office/drawing/2014/main" id="{E7CFAA7E-287F-4FA8-A4E4-6CDFA574E6B8}"/>
            </a:ext>
            <a:ext uri="{147F2762-F138-4A5C-976F-8EAC2B608ADB}">
              <a16:predDERef xmlns:a16="http://schemas.microsoft.com/office/drawing/2014/main" pred="{CD89554D-BD76-42AD-819A-278AD445B86E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071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220</xdr:row>
      <xdr:rowOff>0</xdr:rowOff>
    </xdr:from>
    <xdr:ext cx="304800" cy="304800"/>
    <xdr:sp macro="" textlink="">
      <xdr:nvSpPr>
        <xdr:cNvPr id="240" name="AutoShape 1">
          <a:extLst>
            <a:ext uri="{FF2B5EF4-FFF2-40B4-BE49-F238E27FC236}">
              <a16:creationId xmlns:a16="http://schemas.microsoft.com/office/drawing/2014/main" id="{CD01452E-30DB-46E1-8812-EFA57DB873FD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071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220</xdr:row>
      <xdr:rowOff>0</xdr:rowOff>
    </xdr:from>
    <xdr:ext cx="304800" cy="304800"/>
    <xdr:sp macro="" textlink="">
      <xdr:nvSpPr>
        <xdr:cNvPr id="241" name="AutoShape 1">
          <a:extLst>
            <a:ext uri="{FF2B5EF4-FFF2-40B4-BE49-F238E27FC236}">
              <a16:creationId xmlns:a16="http://schemas.microsoft.com/office/drawing/2014/main" id="{50032C59-8C53-444F-A3BE-6AA2F1263817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071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220</xdr:row>
      <xdr:rowOff>0</xdr:rowOff>
    </xdr:from>
    <xdr:ext cx="304800" cy="304800"/>
    <xdr:sp macro="" textlink="">
      <xdr:nvSpPr>
        <xdr:cNvPr id="242" name="AutoShape 1">
          <a:extLst>
            <a:ext uri="{FF2B5EF4-FFF2-40B4-BE49-F238E27FC236}">
              <a16:creationId xmlns:a16="http://schemas.microsoft.com/office/drawing/2014/main" id="{3B8D5B41-CB6D-4988-A59E-10400F2F1CB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071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220</xdr:row>
      <xdr:rowOff>0</xdr:rowOff>
    </xdr:from>
    <xdr:ext cx="304800" cy="304800"/>
    <xdr:sp macro="" textlink="">
      <xdr:nvSpPr>
        <xdr:cNvPr id="243" name="AutoShape 1">
          <a:extLst>
            <a:ext uri="{FF2B5EF4-FFF2-40B4-BE49-F238E27FC236}">
              <a16:creationId xmlns:a16="http://schemas.microsoft.com/office/drawing/2014/main" id="{4337F559-1F89-4007-8D29-12B34C0060E7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071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220</xdr:row>
      <xdr:rowOff>0</xdr:rowOff>
    </xdr:from>
    <xdr:ext cx="304800" cy="304800"/>
    <xdr:sp macro="" textlink="">
      <xdr:nvSpPr>
        <xdr:cNvPr id="244" name="AutoShape 1">
          <a:extLst>
            <a:ext uri="{FF2B5EF4-FFF2-40B4-BE49-F238E27FC236}">
              <a16:creationId xmlns:a16="http://schemas.microsoft.com/office/drawing/2014/main" id="{D0930CD7-3312-459D-82AA-38E75F4E1D3F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071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220</xdr:row>
      <xdr:rowOff>0</xdr:rowOff>
    </xdr:from>
    <xdr:ext cx="304800" cy="304800"/>
    <xdr:sp macro="" textlink="">
      <xdr:nvSpPr>
        <xdr:cNvPr id="245" name="AutoShape 1">
          <a:extLst>
            <a:ext uri="{FF2B5EF4-FFF2-40B4-BE49-F238E27FC236}">
              <a16:creationId xmlns:a16="http://schemas.microsoft.com/office/drawing/2014/main" id="{E448010A-96A7-4B87-BC79-F4E6D83DA937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071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220</xdr:row>
      <xdr:rowOff>0</xdr:rowOff>
    </xdr:from>
    <xdr:ext cx="304800" cy="304800"/>
    <xdr:sp macro="" textlink="">
      <xdr:nvSpPr>
        <xdr:cNvPr id="246" name="AutoShape 1">
          <a:extLst>
            <a:ext uri="{FF2B5EF4-FFF2-40B4-BE49-F238E27FC236}">
              <a16:creationId xmlns:a16="http://schemas.microsoft.com/office/drawing/2014/main" id="{627BF379-D21B-4D42-8F2D-165C374EC2B6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071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220</xdr:row>
      <xdr:rowOff>0</xdr:rowOff>
    </xdr:from>
    <xdr:ext cx="304800" cy="304800"/>
    <xdr:sp macro="" textlink="">
      <xdr:nvSpPr>
        <xdr:cNvPr id="247" name="AutoShape 1">
          <a:extLst>
            <a:ext uri="{FF2B5EF4-FFF2-40B4-BE49-F238E27FC236}">
              <a16:creationId xmlns:a16="http://schemas.microsoft.com/office/drawing/2014/main" id="{C70C42C2-FD27-4C69-A934-C44DB641486E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071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220</xdr:row>
      <xdr:rowOff>0</xdr:rowOff>
    </xdr:from>
    <xdr:ext cx="304800" cy="304800"/>
    <xdr:sp macro="" textlink="">
      <xdr:nvSpPr>
        <xdr:cNvPr id="248" name="AutoShape 1">
          <a:extLst>
            <a:ext uri="{FF2B5EF4-FFF2-40B4-BE49-F238E27FC236}">
              <a16:creationId xmlns:a16="http://schemas.microsoft.com/office/drawing/2014/main" id="{E29B7A8D-F7AC-4AEE-99E1-53219F3C9001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071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220</xdr:row>
      <xdr:rowOff>0</xdr:rowOff>
    </xdr:from>
    <xdr:ext cx="304800" cy="304800"/>
    <xdr:sp macro="" textlink="">
      <xdr:nvSpPr>
        <xdr:cNvPr id="249" name="AutoShape 1">
          <a:extLst>
            <a:ext uri="{FF2B5EF4-FFF2-40B4-BE49-F238E27FC236}">
              <a16:creationId xmlns:a16="http://schemas.microsoft.com/office/drawing/2014/main" id="{B9C9A6EE-5732-4DAC-8EFF-9DBC9D00D224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071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220</xdr:row>
      <xdr:rowOff>0</xdr:rowOff>
    </xdr:from>
    <xdr:ext cx="304800" cy="304800"/>
    <xdr:sp macro="" textlink="">
      <xdr:nvSpPr>
        <xdr:cNvPr id="250" name="AutoShape 1">
          <a:extLst>
            <a:ext uri="{FF2B5EF4-FFF2-40B4-BE49-F238E27FC236}">
              <a16:creationId xmlns:a16="http://schemas.microsoft.com/office/drawing/2014/main" id="{5E3325CD-944C-44D8-AA7B-5CD3CF3C6573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071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220</xdr:row>
      <xdr:rowOff>0</xdr:rowOff>
    </xdr:from>
    <xdr:ext cx="304800" cy="304800"/>
    <xdr:sp macro="" textlink="">
      <xdr:nvSpPr>
        <xdr:cNvPr id="251" name="AutoShape 1">
          <a:extLst>
            <a:ext uri="{FF2B5EF4-FFF2-40B4-BE49-F238E27FC236}">
              <a16:creationId xmlns:a16="http://schemas.microsoft.com/office/drawing/2014/main" id="{D0A3458F-C44F-4F36-B9BB-473CBBDEB50D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071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220</xdr:row>
      <xdr:rowOff>0</xdr:rowOff>
    </xdr:from>
    <xdr:ext cx="304800" cy="304800"/>
    <xdr:sp macro="" textlink="">
      <xdr:nvSpPr>
        <xdr:cNvPr id="252" name="AutoShape 1">
          <a:extLst>
            <a:ext uri="{FF2B5EF4-FFF2-40B4-BE49-F238E27FC236}">
              <a16:creationId xmlns:a16="http://schemas.microsoft.com/office/drawing/2014/main" id="{41E266E4-72E1-45E1-B35E-52BBE602FC41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071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220</xdr:row>
      <xdr:rowOff>0</xdr:rowOff>
    </xdr:from>
    <xdr:ext cx="304800" cy="304800"/>
    <xdr:sp macro="" textlink="">
      <xdr:nvSpPr>
        <xdr:cNvPr id="253" name="AutoShape 1">
          <a:extLst>
            <a:ext uri="{FF2B5EF4-FFF2-40B4-BE49-F238E27FC236}">
              <a16:creationId xmlns:a16="http://schemas.microsoft.com/office/drawing/2014/main" id="{D76BAA89-C902-421E-85F5-32EDE720D74E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071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220</xdr:row>
      <xdr:rowOff>0</xdr:rowOff>
    </xdr:from>
    <xdr:ext cx="304800" cy="304800"/>
    <xdr:sp macro="" textlink="">
      <xdr:nvSpPr>
        <xdr:cNvPr id="254" name="AutoShape 1">
          <a:extLst>
            <a:ext uri="{FF2B5EF4-FFF2-40B4-BE49-F238E27FC236}">
              <a16:creationId xmlns:a16="http://schemas.microsoft.com/office/drawing/2014/main" id="{447BBF79-307C-49C1-941F-741C062822ED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071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220</xdr:row>
      <xdr:rowOff>0</xdr:rowOff>
    </xdr:from>
    <xdr:ext cx="304800" cy="304800"/>
    <xdr:sp macro="" textlink="">
      <xdr:nvSpPr>
        <xdr:cNvPr id="255" name="AutoShape 1">
          <a:extLst>
            <a:ext uri="{FF2B5EF4-FFF2-40B4-BE49-F238E27FC236}">
              <a16:creationId xmlns:a16="http://schemas.microsoft.com/office/drawing/2014/main" id="{3B55E583-0E8C-4FED-862E-FDE01A8532ED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071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220</xdr:row>
      <xdr:rowOff>0</xdr:rowOff>
    </xdr:from>
    <xdr:ext cx="304800" cy="304800"/>
    <xdr:sp macro="" textlink="">
      <xdr:nvSpPr>
        <xdr:cNvPr id="256" name="AutoShape 1">
          <a:extLst>
            <a:ext uri="{FF2B5EF4-FFF2-40B4-BE49-F238E27FC236}">
              <a16:creationId xmlns:a16="http://schemas.microsoft.com/office/drawing/2014/main" id="{F4B62E65-14BC-40EC-8395-9B3E8BC67F89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071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220</xdr:row>
      <xdr:rowOff>0</xdr:rowOff>
    </xdr:from>
    <xdr:ext cx="304800" cy="304800"/>
    <xdr:sp macro="" textlink="">
      <xdr:nvSpPr>
        <xdr:cNvPr id="257" name="AutoShape 1">
          <a:extLst>
            <a:ext uri="{FF2B5EF4-FFF2-40B4-BE49-F238E27FC236}">
              <a16:creationId xmlns:a16="http://schemas.microsoft.com/office/drawing/2014/main" id="{31583BD8-E35E-4B08-B550-CE56DBD34832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071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220</xdr:row>
      <xdr:rowOff>0</xdr:rowOff>
    </xdr:from>
    <xdr:ext cx="304800" cy="304800"/>
    <xdr:sp macro="" textlink="">
      <xdr:nvSpPr>
        <xdr:cNvPr id="258" name="AutoShape 1">
          <a:extLst>
            <a:ext uri="{FF2B5EF4-FFF2-40B4-BE49-F238E27FC236}">
              <a16:creationId xmlns:a16="http://schemas.microsoft.com/office/drawing/2014/main" id="{F4111A18-DA94-4B5F-BC22-3D107B0B3F41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071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220</xdr:row>
      <xdr:rowOff>0</xdr:rowOff>
    </xdr:from>
    <xdr:ext cx="304800" cy="304800"/>
    <xdr:sp macro="" textlink="">
      <xdr:nvSpPr>
        <xdr:cNvPr id="259" name="AutoShape 1">
          <a:extLst>
            <a:ext uri="{FF2B5EF4-FFF2-40B4-BE49-F238E27FC236}">
              <a16:creationId xmlns:a16="http://schemas.microsoft.com/office/drawing/2014/main" id="{0BC50596-00C8-4D32-B523-4DDC5190AB2D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071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220</xdr:row>
      <xdr:rowOff>0</xdr:rowOff>
    </xdr:from>
    <xdr:ext cx="304800" cy="304800"/>
    <xdr:sp macro="" textlink="">
      <xdr:nvSpPr>
        <xdr:cNvPr id="260" name="AutoShape 1">
          <a:extLst>
            <a:ext uri="{FF2B5EF4-FFF2-40B4-BE49-F238E27FC236}">
              <a16:creationId xmlns:a16="http://schemas.microsoft.com/office/drawing/2014/main" id="{E833E9FB-1B5B-430D-A52F-CEAEC5FC1034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071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220</xdr:row>
      <xdr:rowOff>0</xdr:rowOff>
    </xdr:from>
    <xdr:ext cx="304800" cy="304800"/>
    <xdr:sp macro="" textlink="">
      <xdr:nvSpPr>
        <xdr:cNvPr id="261" name="AutoShape 1">
          <a:extLst>
            <a:ext uri="{FF2B5EF4-FFF2-40B4-BE49-F238E27FC236}">
              <a16:creationId xmlns:a16="http://schemas.microsoft.com/office/drawing/2014/main" id="{BC776BC6-7109-4440-A1B1-C43448222D13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071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220</xdr:row>
      <xdr:rowOff>0</xdr:rowOff>
    </xdr:from>
    <xdr:ext cx="304800" cy="304800"/>
    <xdr:sp macro="" textlink="">
      <xdr:nvSpPr>
        <xdr:cNvPr id="262" name="AutoShape 1">
          <a:extLst>
            <a:ext uri="{FF2B5EF4-FFF2-40B4-BE49-F238E27FC236}">
              <a16:creationId xmlns:a16="http://schemas.microsoft.com/office/drawing/2014/main" id="{33A26735-9A40-4128-B97B-327E5D2F3839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071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220</xdr:row>
      <xdr:rowOff>0</xdr:rowOff>
    </xdr:from>
    <xdr:ext cx="304800" cy="304800"/>
    <xdr:sp macro="" textlink="">
      <xdr:nvSpPr>
        <xdr:cNvPr id="263" name="AutoShape 1">
          <a:extLst>
            <a:ext uri="{FF2B5EF4-FFF2-40B4-BE49-F238E27FC236}">
              <a16:creationId xmlns:a16="http://schemas.microsoft.com/office/drawing/2014/main" id="{55483B58-C61B-4C1A-B08C-B5E5F8EE0DCB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071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220</xdr:row>
      <xdr:rowOff>0</xdr:rowOff>
    </xdr:from>
    <xdr:ext cx="304800" cy="304800"/>
    <xdr:sp macro="" textlink="">
      <xdr:nvSpPr>
        <xdr:cNvPr id="264" name="AutoShape 1">
          <a:extLst>
            <a:ext uri="{FF2B5EF4-FFF2-40B4-BE49-F238E27FC236}">
              <a16:creationId xmlns:a16="http://schemas.microsoft.com/office/drawing/2014/main" id="{2E68A826-8515-464C-968E-9AB6413402CA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071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220</xdr:row>
      <xdr:rowOff>0</xdr:rowOff>
    </xdr:from>
    <xdr:ext cx="304800" cy="304800"/>
    <xdr:sp macro="" textlink="">
      <xdr:nvSpPr>
        <xdr:cNvPr id="265" name="AutoShape 1">
          <a:extLst>
            <a:ext uri="{FF2B5EF4-FFF2-40B4-BE49-F238E27FC236}">
              <a16:creationId xmlns:a16="http://schemas.microsoft.com/office/drawing/2014/main" id="{942E9BD2-707F-49D6-8F8A-F70CF9A0BBA4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071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220</xdr:row>
      <xdr:rowOff>0</xdr:rowOff>
    </xdr:from>
    <xdr:ext cx="304800" cy="304800"/>
    <xdr:sp macro="" textlink="">
      <xdr:nvSpPr>
        <xdr:cNvPr id="266" name="AutoShape 1">
          <a:extLst>
            <a:ext uri="{FF2B5EF4-FFF2-40B4-BE49-F238E27FC236}">
              <a16:creationId xmlns:a16="http://schemas.microsoft.com/office/drawing/2014/main" id="{6C7C39B3-EB99-43A2-8E97-5E8550BA6B85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071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220</xdr:row>
      <xdr:rowOff>0</xdr:rowOff>
    </xdr:from>
    <xdr:ext cx="304800" cy="304800"/>
    <xdr:sp macro="" textlink="">
      <xdr:nvSpPr>
        <xdr:cNvPr id="267" name="AutoShape 1">
          <a:extLst>
            <a:ext uri="{FF2B5EF4-FFF2-40B4-BE49-F238E27FC236}">
              <a16:creationId xmlns:a16="http://schemas.microsoft.com/office/drawing/2014/main" id="{1B876058-0188-45EA-9FCA-BB0A7347EE37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071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220</xdr:row>
      <xdr:rowOff>0</xdr:rowOff>
    </xdr:from>
    <xdr:ext cx="304800" cy="304800"/>
    <xdr:sp macro="" textlink="">
      <xdr:nvSpPr>
        <xdr:cNvPr id="268" name="AutoShape 1">
          <a:extLst>
            <a:ext uri="{FF2B5EF4-FFF2-40B4-BE49-F238E27FC236}">
              <a16:creationId xmlns:a16="http://schemas.microsoft.com/office/drawing/2014/main" id="{B2319EE6-F6B3-456C-A4FE-A113F5D31763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071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220</xdr:row>
      <xdr:rowOff>0</xdr:rowOff>
    </xdr:from>
    <xdr:ext cx="304800" cy="304800"/>
    <xdr:sp macro="" textlink="">
      <xdr:nvSpPr>
        <xdr:cNvPr id="269" name="AutoShape 1">
          <a:extLst>
            <a:ext uri="{FF2B5EF4-FFF2-40B4-BE49-F238E27FC236}">
              <a16:creationId xmlns:a16="http://schemas.microsoft.com/office/drawing/2014/main" id="{E5C351DB-EBD4-480C-B466-3B61A4091E53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071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220</xdr:row>
      <xdr:rowOff>0</xdr:rowOff>
    </xdr:from>
    <xdr:ext cx="304800" cy="304800"/>
    <xdr:sp macro="" textlink="">
      <xdr:nvSpPr>
        <xdr:cNvPr id="270" name="AutoShape 1">
          <a:extLst>
            <a:ext uri="{FF2B5EF4-FFF2-40B4-BE49-F238E27FC236}">
              <a16:creationId xmlns:a16="http://schemas.microsoft.com/office/drawing/2014/main" id="{4C2AE6EB-878F-47E8-A386-99838415360D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071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220</xdr:row>
      <xdr:rowOff>0</xdr:rowOff>
    </xdr:from>
    <xdr:ext cx="304800" cy="304800"/>
    <xdr:sp macro="" textlink="">
      <xdr:nvSpPr>
        <xdr:cNvPr id="271" name="AutoShape 1">
          <a:extLst>
            <a:ext uri="{FF2B5EF4-FFF2-40B4-BE49-F238E27FC236}">
              <a16:creationId xmlns:a16="http://schemas.microsoft.com/office/drawing/2014/main" id="{6800449D-CD7E-4EC8-BC9F-2539DF4E9D0A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071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220</xdr:row>
      <xdr:rowOff>0</xdr:rowOff>
    </xdr:from>
    <xdr:ext cx="304800" cy="304800"/>
    <xdr:sp macro="" textlink="">
      <xdr:nvSpPr>
        <xdr:cNvPr id="272" name="AutoShape 1">
          <a:extLst>
            <a:ext uri="{FF2B5EF4-FFF2-40B4-BE49-F238E27FC236}">
              <a16:creationId xmlns:a16="http://schemas.microsoft.com/office/drawing/2014/main" id="{BA264194-A997-4C81-B35B-22BA0376B77B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071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220</xdr:row>
      <xdr:rowOff>0</xdr:rowOff>
    </xdr:from>
    <xdr:ext cx="304800" cy="304800"/>
    <xdr:sp macro="" textlink="">
      <xdr:nvSpPr>
        <xdr:cNvPr id="273" name="AutoShape 1">
          <a:extLst>
            <a:ext uri="{FF2B5EF4-FFF2-40B4-BE49-F238E27FC236}">
              <a16:creationId xmlns:a16="http://schemas.microsoft.com/office/drawing/2014/main" id="{DFBA8109-B375-4AEF-82A6-78E5A83D2205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071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220</xdr:row>
      <xdr:rowOff>0</xdr:rowOff>
    </xdr:from>
    <xdr:ext cx="304800" cy="304800"/>
    <xdr:sp macro="" textlink="">
      <xdr:nvSpPr>
        <xdr:cNvPr id="274" name="AutoShape 1">
          <a:extLst>
            <a:ext uri="{FF2B5EF4-FFF2-40B4-BE49-F238E27FC236}">
              <a16:creationId xmlns:a16="http://schemas.microsoft.com/office/drawing/2014/main" id="{89693F19-A075-47DE-B005-CC5DCF77EA62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071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220</xdr:row>
      <xdr:rowOff>0</xdr:rowOff>
    </xdr:from>
    <xdr:ext cx="304800" cy="304800"/>
    <xdr:sp macro="" textlink="">
      <xdr:nvSpPr>
        <xdr:cNvPr id="275" name="AutoShape 1">
          <a:extLst>
            <a:ext uri="{FF2B5EF4-FFF2-40B4-BE49-F238E27FC236}">
              <a16:creationId xmlns:a16="http://schemas.microsoft.com/office/drawing/2014/main" id="{A19D95D3-20C0-4D04-AA9B-E1A5CBBB192B}"/>
            </a:ext>
            <a:ext uri="{147F2762-F138-4A5C-976F-8EAC2B608ADB}">
              <a16:predDERef xmlns:a16="http://schemas.microsoft.com/office/drawing/2014/main" pred="{A9C9C4DB-4B97-447C-9099-E87BCB3C537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071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220</xdr:row>
      <xdr:rowOff>0</xdr:rowOff>
    </xdr:from>
    <xdr:ext cx="304800" cy="304800"/>
    <xdr:sp macro="" textlink="">
      <xdr:nvSpPr>
        <xdr:cNvPr id="276" name="AutoShape 1">
          <a:extLst>
            <a:ext uri="{FF2B5EF4-FFF2-40B4-BE49-F238E27FC236}">
              <a16:creationId xmlns:a16="http://schemas.microsoft.com/office/drawing/2014/main" id="{154BDD12-C355-48D3-B646-E824AFA0574C}"/>
            </a:ext>
            <a:ext uri="{147F2762-F138-4A5C-976F-8EAC2B608ADB}">
              <a16:predDERef xmlns:a16="http://schemas.microsoft.com/office/drawing/2014/main" pred="{CD89554D-BD76-42AD-819A-278AD445B86E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071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252</xdr:row>
      <xdr:rowOff>0</xdr:rowOff>
    </xdr:from>
    <xdr:ext cx="304800" cy="304800"/>
    <xdr:sp macro="" textlink="">
      <xdr:nvSpPr>
        <xdr:cNvPr id="277" name="AutoShape 1">
          <a:extLst>
            <a:ext uri="{FF2B5EF4-FFF2-40B4-BE49-F238E27FC236}">
              <a16:creationId xmlns:a16="http://schemas.microsoft.com/office/drawing/2014/main" id="{D1333E06-234E-4386-BF05-3C2C35B62BC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66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252</xdr:row>
      <xdr:rowOff>0</xdr:rowOff>
    </xdr:from>
    <xdr:ext cx="304800" cy="304800"/>
    <xdr:sp macro="" textlink="">
      <xdr:nvSpPr>
        <xdr:cNvPr id="278" name="AutoShape 1">
          <a:extLst>
            <a:ext uri="{FF2B5EF4-FFF2-40B4-BE49-F238E27FC236}">
              <a16:creationId xmlns:a16="http://schemas.microsoft.com/office/drawing/2014/main" id="{8A9A6A3C-A58D-4C8A-A95B-A7314921D5A9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66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252</xdr:row>
      <xdr:rowOff>0</xdr:rowOff>
    </xdr:from>
    <xdr:ext cx="304800" cy="304800"/>
    <xdr:sp macro="" textlink="">
      <xdr:nvSpPr>
        <xdr:cNvPr id="279" name="AutoShape 1">
          <a:extLst>
            <a:ext uri="{FF2B5EF4-FFF2-40B4-BE49-F238E27FC236}">
              <a16:creationId xmlns:a16="http://schemas.microsoft.com/office/drawing/2014/main" id="{32291D51-3F82-4952-8176-A7555AE7E76F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66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252</xdr:row>
      <xdr:rowOff>0</xdr:rowOff>
    </xdr:from>
    <xdr:ext cx="304800" cy="304800"/>
    <xdr:sp macro="" textlink="">
      <xdr:nvSpPr>
        <xdr:cNvPr id="280" name="AutoShape 1">
          <a:extLst>
            <a:ext uri="{FF2B5EF4-FFF2-40B4-BE49-F238E27FC236}">
              <a16:creationId xmlns:a16="http://schemas.microsoft.com/office/drawing/2014/main" id="{7342EC22-A8C1-4CB0-B655-8EF8BE04CE09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66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252</xdr:row>
      <xdr:rowOff>0</xdr:rowOff>
    </xdr:from>
    <xdr:ext cx="304800" cy="304800"/>
    <xdr:sp macro="" textlink="">
      <xdr:nvSpPr>
        <xdr:cNvPr id="281" name="AutoShape 1">
          <a:extLst>
            <a:ext uri="{FF2B5EF4-FFF2-40B4-BE49-F238E27FC236}">
              <a16:creationId xmlns:a16="http://schemas.microsoft.com/office/drawing/2014/main" id="{EA95911A-317A-4C70-B317-DF283FF21BEC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66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252</xdr:row>
      <xdr:rowOff>0</xdr:rowOff>
    </xdr:from>
    <xdr:ext cx="304800" cy="304800"/>
    <xdr:sp macro="" textlink="">
      <xdr:nvSpPr>
        <xdr:cNvPr id="282" name="AutoShape 1">
          <a:extLst>
            <a:ext uri="{FF2B5EF4-FFF2-40B4-BE49-F238E27FC236}">
              <a16:creationId xmlns:a16="http://schemas.microsoft.com/office/drawing/2014/main" id="{9B0F1DA4-EE0A-4D42-9021-729D28AFC876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66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252</xdr:row>
      <xdr:rowOff>0</xdr:rowOff>
    </xdr:from>
    <xdr:ext cx="304800" cy="304800"/>
    <xdr:sp macro="" textlink="">
      <xdr:nvSpPr>
        <xdr:cNvPr id="283" name="AutoShape 1">
          <a:extLst>
            <a:ext uri="{FF2B5EF4-FFF2-40B4-BE49-F238E27FC236}">
              <a16:creationId xmlns:a16="http://schemas.microsoft.com/office/drawing/2014/main" id="{73CE72CF-3B7B-4493-B83A-03ACB8E8465E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66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252</xdr:row>
      <xdr:rowOff>0</xdr:rowOff>
    </xdr:from>
    <xdr:ext cx="304800" cy="304800"/>
    <xdr:sp macro="" textlink="">
      <xdr:nvSpPr>
        <xdr:cNvPr id="284" name="AutoShape 1">
          <a:extLst>
            <a:ext uri="{FF2B5EF4-FFF2-40B4-BE49-F238E27FC236}">
              <a16:creationId xmlns:a16="http://schemas.microsoft.com/office/drawing/2014/main" id="{E3FAA39F-D8E7-41DE-A19E-2AF31E2CDCF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66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252</xdr:row>
      <xdr:rowOff>0</xdr:rowOff>
    </xdr:from>
    <xdr:ext cx="304800" cy="304800"/>
    <xdr:sp macro="" textlink="">
      <xdr:nvSpPr>
        <xdr:cNvPr id="285" name="AutoShape 1">
          <a:extLst>
            <a:ext uri="{FF2B5EF4-FFF2-40B4-BE49-F238E27FC236}">
              <a16:creationId xmlns:a16="http://schemas.microsoft.com/office/drawing/2014/main" id="{3902FFF8-F9B8-4805-9D8E-6577084AE763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66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252</xdr:row>
      <xdr:rowOff>0</xdr:rowOff>
    </xdr:from>
    <xdr:ext cx="304800" cy="304800"/>
    <xdr:sp macro="" textlink="">
      <xdr:nvSpPr>
        <xdr:cNvPr id="286" name="AutoShape 1">
          <a:extLst>
            <a:ext uri="{FF2B5EF4-FFF2-40B4-BE49-F238E27FC236}">
              <a16:creationId xmlns:a16="http://schemas.microsoft.com/office/drawing/2014/main" id="{98B360B0-6830-4DCB-B324-66B07AFAD47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66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252</xdr:row>
      <xdr:rowOff>0</xdr:rowOff>
    </xdr:from>
    <xdr:ext cx="304800" cy="304800"/>
    <xdr:sp macro="" textlink="">
      <xdr:nvSpPr>
        <xdr:cNvPr id="287" name="AutoShape 1">
          <a:extLst>
            <a:ext uri="{FF2B5EF4-FFF2-40B4-BE49-F238E27FC236}">
              <a16:creationId xmlns:a16="http://schemas.microsoft.com/office/drawing/2014/main" id="{835457F0-9CB5-4FE3-9DA9-46AC9096689D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66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252</xdr:row>
      <xdr:rowOff>0</xdr:rowOff>
    </xdr:from>
    <xdr:ext cx="304800" cy="304800"/>
    <xdr:sp macro="" textlink="">
      <xdr:nvSpPr>
        <xdr:cNvPr id="288" name="AutoShape 1">
          <a:extLst>
            <a:ext uri="{FF2B5EF4-FFF2-40B4-BE49-F238E27FC236}">
              <a16:creationId xmlns:a16="http://schemas.microsoft.com/office/drawing/2014/main" id="{AC9EB308-5ADA-4E6F-BE59-8E51F8014ABE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66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252</xdr:row>
      <xdr:rowOff>0</xdr:rowOff>
    </xdr:from>
    <xdr:ext cx="304800" cy="304800"/>
    <xdr:sp macro="" textlink="">
      <xdr:nvSpPr>
        <xdr:cNvPr id="289" name="AutoShape 1">
          <a:extLst>
            <a:ext uri="{FF2B5EF4-FFF2-40B4-BE49-F238E27FC236}">
              <a16:creationId xmlns:a16="http://schemas.microsoft.com/office/drawing/2014/main" id="{A88A6F3F-2EC5-4B5C-991A-8E35DE874C6F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66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252</xdr:row>
      <xdr:rowOff>0</xdr:rowOff>
    </xdr:from>
    <xdr:ext cx="304800" cy="304800"/>
    <xdr:sp macro="" textlink="">
      <xdr:nvSpPr>
        <xdr:cNvPr id="290" name="AutoShape 1">
          <a:extLst>
            <a:ext uri="{FF2B5EF4-FFF2-40B4-BE49-F238E27FC236}">
              <a16:creationId xmlns:a16="http://schemas.microsoft.com/office/drawing/2014/main" id="{81AC3613-CE8C-4BE7-A8CF-FFE7E98EED76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66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252</xdr:row>
      <xdr:rowOff>0</xdr:rowOff>
    </xdr:from>
    <xdr:ext cx="304800" cy="304800"/>
    <xdr:sp macro="" textlink="">
      <xdr:nvSpPr>
        <xdr:cNvPr id="291" name="AutoShape 1">
          <a:extLst>
            <a:ext uri="{FF2B5EF4-FFF2-40B4-BE49-F238E27FC236}">
              <a16:creationId xmlns:a16="http://schemas.microsoft.com/office/drawing/2014/main" id="{7FB82A85-C081-46AF-9050-362C3FB0CD1A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66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252</xdr:row>
      <xdr:rowOff>0</xdr:rowOff>
    </xdr:from>
    <xdr:ext cx="304800" cy="304800"/>
    <xdr:sp macro="" textlink="">
      <xdr:nvSpPr>
        <xdr:cNvPr id="292" name="AutoShape 1">
          <a:extLst>
            <a:ext uri="{FF2B5EF4-FFF2-40B4-BE49-F238E27FC236}">
              <a16:creationId xmlns:a16="http://schemas.microsoft.com/office/drawing/2014/main" id="{C4529437-B063-44B6-A867-F95E793299A1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66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252</xdr:row>
      <xdr:rowOff>0</xdr:rowOff>
    </xdr:from>
    <xdr:ext cx="304800" cy="304800"/>
    <xdr:sp macro="" textlink="">
      <xdr:nvSpPr>
        <xdr:cNvPr id="293" name="AutoShape 1">
          <a:extLst>
            <a:ext uri="{FF2B5EF4-FFF2-40B4-BE49-F238E27FC236}">
              <a16:creationId xmlns:a16="http://schemas.microsoft.com/office/drawing/2014/main" id="{CD63F7AD-3D7A-4D92-9D3B-68D1118DF513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66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252</xdr:row>
      <xdr:rowOff>0</xdr:rowOff>
    </xdr:from>
    <xdr:ext cx="304800" cy="304800"/>
    <xdr:sp macro="" textlink="">
      <xdr:nvSpPr>
        <xdr:cNvPr id="294" name="AutoShape 1">
          <a:extLst>
            <a:ext uri="{FF2B5EF4-FFF2-40B4-BE49-F238E27FC236}">
              <a16:creationId xmlns:a16="http://schemas.microsoft.com/office/drawing/2014/main" id="{AC9449CB-1040-4D04-8DBA-DEE6271F9BAC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66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252</xdr:row>
      <xdr:rowOff>0</xdr:rowOff>
    </xdr:from>
    <xdr:ext cx="304800" cy="304800"/>
    <xdr:sp macro="" textlink="">
      <xdr:nvSpPr>
        <xdr:cNvPr id="295" name="AutoShape 1">
          <a:extLst>
            <a:ext uri="{FF2B5EF4-FFF2-40B4-BE49-F238E27FC236}">
              <a16:creationId xmlns:a16="http://schemas.microsoft.com/office/drawing/2014/main" id="{99432E3D-77E6-44DA-AB05-161FD7C88914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66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252</xdr:row>
      <xdr:rowOff>0</xdr:rowOff>
    </xdr:from>
    <xdr:ext cx="304800" cy="304800"/>
    <xdr:sp macro="" textlink="">
      <xdr:nvSpPr>
        <xdr:cNvPr id="296" name="AutoShape 1">
          <a:extLst>
            <a:ext uri="{FF2B5EF4-FFF2-40B4-BE49-F238E27FC236}">
              <a16:creationId xmlns:a16="http://schemas.microsoft.com/office/drawing/2014/main" id="{1FCDF9D1-99A5-4053-BDA5-032FF23C0258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66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252</xdr:row>
      <xdr:rowOff>0</xdr:rowOff>
    </xdr:from>
    <xdr:ext cx="304800" cy="304800"/>
    <xdr:sp macro="" textlink="">
      <xdr:nvSpPr>
        <xdr:cNvPr id="297" name="AutoShape 1">
          <a:extLst>
            <a:ext uri="{FF2B5EF4-FFF2-40B4-BE49-F238E27FC236}">
              <a16:creationId xmlns:a16="http://schemas.microsoft.com/office/drawing/2014/main" id="{D5715E97-D6A2-404D-B30B-0C04833CD2AD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66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252</xdr:row>
      <xdr:rowOff>0</xdr:rowOff>
    </xdr:from>
    <xdr:ext cx="304800" cy="304800"/>
    <xdr:sp macro="" textlink="">
      <xdr:nvSpPr>
        <xdr:cNvPr id="298" name="AutoShape 1">
          <a:extLst>
            <a:ext uri="{FF2B5EF4-FFF2-40B4-BE49-F238E27FC236}">
              <a16:creationId xmlns:a16="http://schemas.microsoft.com/office/drawing/2014/main" id="{B8890D53-5E0C-4C34-9883-8637638373F9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66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252</xdr:row>
      <xdr:rowOff>0</xdr:rowOff>
    </xdr:from>
    <xdr:ext cx="304800" cy="304800"/>
    <xdr:sp macro="" textlink="">
      <xdr:nvSpPr>
        <xdr:cNvPr id="299" name="AutoShape 1">
          <a:extLst>
            <a:ext uri="{FF2B5EF4-FFF2-40B4-BE49-F238E27FC236}">
              <a16:creationId xmlns:a16="http://schemas.microsoft.com/office/drawing/2014/main" id="{AAD2A1E5-BF90-4C91-9653-B688DD3E2611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66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252</xdr:row>
      <xdr:rowOff>0</xdr:rowOff>
    </xdr:from>
    <xdr:ext cx="304800" cy="304800"/>
    <xdr:sp macro="" textlink="">
      <xdr:nvSpPr>
        <xdr:cNvPr id="300" name="AutoShape 1">
          <a:extLst>
            <a:ext uri="{FF2B5EF4-FFF2-40B4-BE49-F238E27FC236}">
              <a16:creationId xmlns:a16="http://schemas.microsoft.com/office/drawing/2014/main" id="{CA2DDC66-1E64-4F0C-8862-E08F9751D5DF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66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252</xdr:row>
      <xdr:rowOff>0</xdr:rowOff>
    </xdr:from>
    <xdr:ext cx="304800" cy="304800"/>
    <xdr:sp macro="" textlink="">
      <xdr:nvSpPr>
        <xdr:cNvPr id="301" name="AutoShape 1">
          <a:extLst>
            <a:ext uri="{FF2B5EF4-FFF2-40B4-BE49-F238E27FC236}">
              <a16:creationId xmlns:a16="http://schemas.microsoft.com/office/drawing/2014/main" id="{D17AF80A-6098-44EF-B603-67882C318133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66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252</xdr:row>
      <xdr:rowOff>0</xdr:rowOff>
    </xdr:from>
    <xdr:ext cx="304800" cy="304800"/>
    <xdr:sp macro="" textlink="">
      <xdr:nvSpPr>
        <xdr:cNvPr id="302" name="AutoShape 1">
          <a:extLst>
            <a:ext uri="{FF2B5EF4-FFF2-40B4-BE49-F238E27FC236}">
              <a16:creationId xmlns:a16="http://schemas.microsoft.com/office/drawing/2014/main" id="{37AF430A-E188-4912-B4E7-B49082CEE74D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66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252</xdr:row>
      <xdr:rowOff>0</xdr:rowOff>
    </xdr:from>
    <xdr:ext cx="304800" cy="304800"/>
    <xdr:sp macro="" textlink="">
      <xdr:nvSpPr>
        <xdr:cNvPr id="303" name="AutoShape 1">
          <a:extLst>
            <a:ext uri="{FF2B5EF4-FFF2-40B4-BE49-F238E27FC236}">
              <a16:creationId xmlns:a16="http://schemas.microsoft.com/office/drawing/2014/main" id="{779E1A6C-3BBF-48A9-8F0B-483E77F68504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66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252</xdr:row>
      <xdr:rowOff>0</xdr:rowOff>
    </xdr:from>
    <xdr:ext cx="304800" cy="304800"/>
    <xdr:sp macro="" textlink="">
      <xdr:nvSpPr>
        <xdr:cNvPr id="304" name="AutoShape 1">
          <a:extLst>
            <a:ext uri="{FF2B5EF4-FFF2-40B4-BE49-F238E27FC236}">
              <a16:creationId xmlns:a16="http://schemas.microsoft.com/office/drawing/2014/main" id="{3533A4D8-50C1-42C2-B0F2-AA05F57FA576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66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252</xdr:row>
      <xdr:rowOff>0</xdr:rowOff>
    </xdr:from>
    <xdr:ext cx="304800" cy="304800"/>
    <xdr:sp macro="" textlink="">
      <xdr:nvSpPr>
        <xdr:cNvPr id="305" name="AutoShape 1">
          <a:extLst>
            <a:ext uri="{FF2B5EF4-FFF2-40B4-BE49-F238E27FC236}">
              <a16:creationId xmlns:a16="http://schemas.microsoft.com/office/drawing/2014/main" id="{B94A4C03-6B98-4E3E-9B20-2C962DAE0DB5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66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252</xdr:row>
      <xdr:rowOff>0</xdr:rowOff>
    </xdr:from>
    <xdr:ext cx="304800" cy="304800"/>
    <xdr:sp macro="" textlink="">
      <xdr:nvSpPr>
        <xdr:cNvPr id="306" name="AutoShape 1">
          <a:extLst>
            <a:ext uri="{FF2B5EF4-FFF2-40B4-BE49-F238E27FC236}">
              <a16:creationId xmlns:a16="http://schemas.microsoft.com/office/drawing/2014/main" id="{589B3C79-0EB7-481C-B6AB-B9EFF3EC1FBD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66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252</xdr:row>
      <xdr:rowOff>0</xdr:rowOff>
    </xdr:from>
    <xdr:ext cx="304800" cy="304800"/>
    <xdr:sp macro="" textlink="">
      <xdr:nvSpPr>
        <xdr:cNvPr id="307" name="AutoShape 1">
          <a:extLst>
            <a:ext uri="{FF2B5EF4-FFF2-40B4-BE49-F238E27FC236}">
              <a16:creationId xmlns:a16="http://schemas.microsoft.com/office/drawing/2014/main" id="{5141C951-ADCF-4F54-B519-BB44DC1F97FE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66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252</xdr:row>
      <xdr:rowOff>0</xdr:rowOff>
    </xdr:from>
    <xdr:ext cx="304800" cy="304800"/>
    <xdr:sp macro="" textlink="">
      <xdr:nvSpPr>
        <xdr:cNvPr id="308" name="AutoShape 1">
          <a:extLst>
            <a:ext uri="{FF2B5EF4-FFF2-40B4-BE49-F238E27FC236}">
              <a16:creationId xmlns:a16="http://schemas.microsoft.com/office/drawing/2014/main" id="{DD9F50BC-5FB1-4E50-AF77-ADA5C8A2397D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66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252</xdr:row>
      <xdr:rowOff>0</xdr:rowOff>
    </xdr:from>
    <xdr:ext cx="304800" cy="304800"/>
    <xdr:sp macro="" textlink="">
      <xdr:nvSpPr>
        <xdr:cNvPr id="309" name="AutoShape 1">
          <a:extLst>
            <a:ext uri="{FF2B5EF4-FFF2-40B4-BE49-F238E27FC236}">
              <a16:creationId xmlns:a16="http://schemas.microsoft.com/office/drawing/2014/main" id="{B0EE5EEC-CDE2-445A-8F6F-72C858924AE8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66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252</xdr:row>
      <xdr:rowOff>0</xdr:rowOff>
    </xdr:from>
    <xdr:ext cx="304800" cy="304800"/>
    <xdr:sp macro="" textlink="">
      <xdr:nvSpPr>
        <xdr:cNvPr id="310" name="AutoShape 1">
          <a:extLst>
            <a:ext uri="{FF2B5EF4-FFF2-40B4-BE49-F238E27FC236}">
              <a16:creationId xmlns:a16="http://schemas.microsoft.com/office/drawing/2014/main" id="{59FF58C2-108D-4E49-9B49-83F0E7F6DA6F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66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252</xdr:row>
      <xdr:rowOff>0</xdr:rowOff>
    </xdr:from>
    <xdr:ext cx="304800" cy="304800"/>
    <xdr:sp macro="" textlink="">
      <xdr:nvSpPr>
        <xdr:cNvPr id="311" name="AutoShape 1">
          <a:extLst>
            <a:ext uri="{FF2B5EF4-FFF2-40B4-BE49-F238E27FC236}">
              <a16:creationId xmlns:a16="http://schemas.microsoft.com/office/drawing/2014/main" id="{AFEB9006-3537-419D-82F5-4688AC4B342E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66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252</xdr:row>
      <xdr:rowOff>0</xdr:rowOff>
    </xdr:from>
    <xdr:ext cx="304800" cy="304800"/>
    <xdr:sp macro="" textlink="">
      <xdr:nvSpPr>
        <xdr:cNvPr id="312" name="AutoShape 1">
          <a:extLst>
            <a:ext uri="{FF2B5EF4-FFF2-40B4-BE49-F238E27FC236}">
              <a16:creationId xmlns:a16="http://schemas.microsoft.com/office/drawing/2014/main" id="{84B7853A-2220-4B63-90F2-F420689FDD14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66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252</xdr:row>
      <xdr:rowOff>0</xdr:rowOff>
    </xdr:from>
    <xdr:ext cx="304800" cy="304800"/>
    <xdr:sp macro="" textlink="">
      <xdr:nvSpPr>
        <xdr:cNvPr id="313" name="AutoShape 1">
          <a:extLst>
            <a:ext uri="{FF2B5EF4-FFF2-40B4-BE49-F238E27FC236}">
              <a16:creationId xmlns:a16="http://schemas.microsoft.com/office/drawing/2014/main" id="{DC21465D-4851-4329-934D-7A9CCF84F042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66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252</xdr:row>
      <xdr:rowOff>0</xdr:rowOff>
    </xdr:from>
    <xdr:ext cx="304800" cy="304800"/>
    <xdr:sp macro="" textlink="">
      <xdr:nvSpPr>
        <xdr:cNvPr id="314" name="AutoShape 1">
          <a:extLst>
            <a:ext uri="{FF2B5EF4-FFF2-40B4-BE49-F238E27FC236}">
              <a16:creationId xmlns:a16="http://schemas.microsoft.com/office/drawing/2014/main" id="{6C84D0FB-687F-4D3D-A2E5-00C851A62FC4}"/>
            </a:ext>
            <a:ext uri="{147F2762-F138-4A5C-976F-8EAC2B608ADB}">
              <a16:predDERef xmlns:a16="http://schemas.microsoft.com/office/drawing/2014/main" pred="{A9C9C4DB-4B97-447C-9099-E87BCB3C537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66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252</xdr:row>
      <xdr:rowOff>0</xdr:rowOff>
    </xdr:from>
    <xdr:ext cx="304800" cy="304800"/>
    <xdr:sp macro="" textlink="">
      <xdr:nvSpPr>
        <xdr:cNvPr id="315" name="AutoShape 1">
          <a:extLst>
            <a:ext uri="{FF2B5EF4-FFF2-40B4-BE49-F238E27FC236}">
              <a16:creationId xmlns:a16="http://schemas.microsoft.com/office/drawing/2014/main" id="{55459E99-3B84-4E39-9796-1A53EF46C67B}"/>
            </a:ext>
            <a:ext uri="{147F2762-F138-4A5C-976F-8EAC2B608ADB}">
              <a16:predDERef xmlns:a16="http://schemas.microsoft.com/office/drawing/2014/main" pred="{CD89554D-BD76-42AD-819A-278AD445B86E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66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252</xdr:row>
      <xdr:rowOff>0</xdr:rowOff>
    </xdr:from>
    <xdr:ext cx="304800" cy="304800"/>
    <xdr:sp macro="" textlink="">
      <xdr:nvSpPr>
        <xdr:cNvPr id="316" name="AutoShape 1">
          <a:extLst>
            <a:ext uri="{FF2B5EF4-FFF2-40B4-BE49-F238E27FC236}">
              <a16:creationId xmlns:a16="http://schemas.microsoft.com/office/drawing/2014/main" id="{CB29CE83-3913-4EE2-8672-529AF1D365D3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66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252</xdr:row>
      <xdr:rowOff>0</xdr:rowOff>
    </xdr:from>
    <xdr:ext cx="304800" cy="304800"/>
    <xdr:sp macro="" textlink="">
      <xdr:nvSpPr>
        <xdr:cNvPr id="317" name="AutoShape 1">
          <a:extLst>
            <a:ext uri="{FF2B5EF4-FFF2-40B4-BE49-F238E27FC236}">
              <a16:creationId xmlns:a16="http://schemas.microsoft.com/office/drawing/2014/main" id="{D449795C-A126-4162-B363-11F46A6CC84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66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252</xdr:row>
      <xdr:rowOff>0</xdr:rowOff>
    </xdr:from>
    <xdr:ext cx="304800" cy="304800"/>
    <xdr:sp macro="" textlink="">
      <xdr:nvSpPr>
        <xdr:cNvPr id="318" name="AutoShape 1">
          <a:extLst>
            <a:ext uri="{FF2B5EF4-FFF2-40B4-BE49-F238E27FC236}">
              <a16:creationId xmlns:a16="http://schemas.microsoft.com/office/drawing/2014/main" id="{5C8FC4D5-53B8-43D0-9D2A-91BC5654A0E1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66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252</xdr:row>
      <xdr:rowOff>0</xdr:rowOff>
    </xdr:from>
    <xdr:ext cx="304800" cy="304800"/>
    <xdr:sp macro="" textlink="">
      <xdr:nvSpPr>
        <xdr:cNvPr id="319" name="AutoShape 1">
          <a:extLst>
            <a:ext uri="{FF2B5EF4-FFF2-40B4-BE49-F238E27FC236}">
              <a16:creationId xmlns:a16="http://schemas.microsoft.com/office/drawing/2014/main" id="{389E531E-9093-4DF8-868C-720F2D7D9737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66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252</xdr:row>
      <xdr:rowOff>0</xdr:rowOff>
    </xdr:from>
    <xdr:ext cx="304800" cy="304800"/>
    <xdr:sp macro="" textlink="">
      <xdr:nvSpPr>
        <xdr:cNvPr id="320" name="AutoShape 1">
          <a:extLst>
            <a:ext uri="{FF2B5EF4-FFF2-40B4-BE49-F238E27FC236}">
              <a16:creationId xmlns:a16="http://schemas.microsoft.com/office/drawing/2014/main" id="{0FFEDC0A-3704-44D3-BDE4-CDD82983AACC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66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252</xdr:row>
      <xdr:rowOff>0</xdr:rowOff>
    </xdr:from>
    <xdr:ext cx="304800" cy="304800"/>
    <xdr:sp macro="" textlink="">
      <xdr:nvSpPr>
        <xdr:cNvPr id="321" name="AutoShape 1">
          <a:extLst>
            <a:ext uri="{FF2B5EF4-FFF2-40B4-BE49-F238E27FC236}">
              <a16:creationId xmlns:a16="http://schemas.microsoft.com/office/drawing/2014/main" id="{49250F81-1924-47FE-B6AE-A50AF37F5F26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66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252</xdr:row>
      <xdr:rowOff>0</xdr:rowOff>
    </xdr:from>
    <xdr:ext cx="304800" cy="304800"/>
    <xdr:sp macro="" textlink="">
      <xdr:nvSpPr>
        <xdr:cNvPr id="322" name="AutoShape 1">
          <a:extLst>
            <a:ext uri="{FF2B5EF4-FFF2-40B4-BE49-F238E27FC236}">
              <a16:creationId xmlns:a16="http://schemas.microsoft.com/office/drawing/2014/main" id="{E3A21C45-A293-4518-8BAF-3320569ECAA4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66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252</xdr:row>
      <xdr:rowOff>0</xdr:rowOff>
    </xdr:from>
    <xdr:ext cx="304800" cy="304800"/>
    <xdr:sp macro="" textlink="">
      <xdr:nvSpPr>
        <xdr:cNvPr id="323" name="AutoShape 1">
          <a:extLst>
            <a:ext uri="{FF2B5EF4-FFF2-40B4-BE49-F238E27FC236}">
              <a16:creationId xmlns:a16="http://schemas.microsoft.com/office/drawing/2014/main" id="{20E8B87C-E19A-4896-9B73-DEEF3978DA54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66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252</xdr:row>
      <xdr:rowOff>0</xdr:rowOff>
    </xdr:from>
    <xdr:ext cx="304800" cy="304800"/>
    <xdr:sp macro="" textlink="">
      <xdr:nvSpPr>
        <xdr:cNvPr id="324" name="AutoShape 1">
          <a:extLst>
            <a:ext uri="{FF2B5EF4-FFF2-40B4-BE49-F238E27FC236}">
              <a16:creationId xmlns:a16="http://schemas.microsoft.com/office/drawing/2014/main" id="{0846156E-B53A-4FE9-B0AD-49380036103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66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252</xdr:row>
      <xdr:rowOff>0</xdr:rowOff>
    </xdr:from>
    <xdr:ext cx="304800" cy="304800"/>
    <xdr:sp macro="" textlink="">
      <xdr:nvSpPr>
        <xdr:cNvPr id="325" name="AutoShape 1">
          <a:extLst>
            <a:ext uri="{FF2B5EF4-FFF2-40B4-BE49-F238E27FC236}">
              <a16:creationId xmlns:a16="http://schemas.microsoft.com/office/drawing/2014/main" id="{C7E0718F-BAD4-4236-AF14-46DE66979CEE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66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252</xdr:row>
      <xdr:rowOff>0</xdr:rowOff>
    </xdr:from>
    <xdr:ext cx="304800" cy="304800"/>
    <xdr:sp macro="" textlink="">
      <xdr:nvSpPr>
        <xdr:cNvPr id="326" name="AutoShape 1">
          <a:extLst>
            <a:ext uri="{FF2B5EF4-FFF2-40B4-BE49-F238E27FC236}">
              <a16:creationId xmlns:a16="http://schemas.microsoft.com/office/drawing/2014/main" id="{DF3FEADC-6F5D-4D9A-A8A7-BCA26DAF620A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66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252</xdr:row>
      <xdr:rowOff>0</xdr:rowOff>
    </xdr:from>
    <xdr:ext cx="304800" cy="304800"/>
    <xdr:sp macro="" textlink="">
      <xdr:nvSpPr>
        <xdr:cNvPr id="327" name="AutoShape 1">
          <a:extLst>
            <a:ext uri="{FF2B5EF4-FFF2-40B4-BE49-F238E27FC236}">
              <a16:creationId xmlns:a16="http://schemas.microsoft.com/office/drawing/2014/main" id="{AA60C27C-026D-4361-A6FA-2B9BE4E7A4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66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252</xdr:row>
      <xdr:rowOff>0</xdr:rowOff>
    </xdr:from>
    <xdr:ext cx="304800" cy="304800"/>
    <xdr:sp macro="" textlink="">
      <xdr:nvSpPr>
        <xdr:cNvPr id="328" name="AutoShape 1">
          <a:extLst>
            <a:ext uri="{FF2B5EF4-FFF2-40B4-BE49-F238E27FC236}">
              <a16:creationId xmlns:a16="http://schemas.microsoft.com/office/drawing/2014/main" id="{D6E3F659-9707-4D49-B40A-013BF7207FD7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66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252</xdr:row>
      <xdr:rowOff>0</xdr:rowOff>
    </xdr:from>
    <xdr:ext cx="304800" cy="304800"/>
    <xdr:sp macro="" textlink="">
      <xdr:nvSpPr>
        <xdr:cNvPr id="329" name="AutoShape 1">
          <a:extLst>
            <a:ext uri="{FF2B5EF4-FFF2-40B4-BE49-F238E27FC236}">
              <a16:creationId xmlns:a16="http://schemas.microsoft.com/office/drawing/2014/main" id="{6AE47684-9A43-41F5-A360-D4DE8200598F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66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252</xdr:row>
      <xdr:rowOff>0</xdr:rowOff>
    </xdr:from>
    <xdr:ext cx="304800" cy="304800"/>
    <xdr:sp macro="" textlink="">
      <xdr:nvSpPr>
        <xdr:cNvPr id="330" name="AutoShape 1">
          <a:extLst>
            <a:ext uri="{FF2B5EF4-FFF2-40B4-BE49-F238E27FC236}">
              <a16:creationId xmlns:a16="http://schemas.microsoft.com/office/drawing/2014/main" id="{4ACC53B4-2D39-4FFF-BE61-6F3D1D1B996E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66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252</xdr:row>
      <xdr:rowOff>0</xdr:rowOff>
    </xdr:from>
    <xdr:ext cx="304800" cy="304800"/>
    <xdr:sp macro="" textlink="">
      <xdr:nvSpPr>
        <xdr:cNvPr id="331" name="AutoShape 1">
          <a:extLst>
            <a:ext uri="{FF2B5EF4-FFF2-40B4-BE49-F238E27FC236}">
              <a16:creationId xmlns:a16="http://schemas.microsoft.com/office/drawing/2014/main" id="{EDF3B7D2-BC69-42ED-83B9-AF1904C8A4C3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66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252</xdr:row>
      <xdr:rowOff>0</xdr:rowOff>
    </xdr:from>
    <xdr:ext cx="304800" cy="304800"/>
    <xdr:sp macro="" textlink="">
      <xdr:nvSpPr>
        <xdr:cNvPr id="332" name="AutoShape 1">
          <a:extLst>
            <a:ext uri="{FF2B5EF4-FFF2-40B4-BE49-F238E27FC236}">
              <a16:creationId xmlns:a16="http://schemas.microsoft.com/office/drawing/2014/main" id="{1A03AF43-8191-46BF-A5FE-4DC7942806D4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66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252</xdr:row>
      <xdr:rowOff>0</xdr:rowOff>
    </xdr:from>
    <xdr:ext cx="304800" cy="304800"/>
    <xdr:sp macro="" textlink="">
      <xdr:nvSpPr>
        <xdr:cNvPr id="333" name="AutoShape 1">
          <a:extLst>
            <a:ext uri="{FF2B5EF4-FFF2-40B4-BE49-F238E27FC236}">
              <a16:creationId xmlns:a16="http://schemas.microsoft.com/office/drawing/2014/main" id="{8B6E5A2F-6678-4516-96F7-8658BD9CB27E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66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252</xdr:row>
      <xdr:rowOff>0</xdr:rowOff>
    </xdr:from>
    <xdr:ext cx="304800" cy="304800"/>
    <xdr:sp macro="" textlink="">
      <xdr:nvSpPr>
        <xdr:cNvPr id="334" name="AutoShape 1">
          <a:extLst>
            <a:ext uri="{FF2B5EF4-FFF2-40B4-BE49-F238E27FC236}">
              <a16:creationId xmlns:a16="http://schemas.microsoft.com/office/drawing/2014/main" id="{36C53E3C-5C31-4839-958E-C5C818177402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66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252</xdr:row>
      <xdr:rowOff>0</xdr:rowOff>
    </xdr:from>
    <xdr:ext cx="304800" cy="304800"/>
    <xdr:sp macro="" textlink="">
      <xdr:nvSpPr>
        <xdr:cNvPr id="335" name="AutoShape 1">
          <a:extLst>
            <a:ext uri="{FF2B5EF4-FFF2-40B4-BE49-F238E27FC236}">
              <a16:creationId xmlns:a16="http://schemas.microsoft.com/office/drawing/2014/main" id="{9C54FCF3-C195-4B2B-8888-64C6ACC50D9E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66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252</xdr:row>
      <xdr:rowOff>0</xdr:rowOff>
    </xdr:from>
    <xdr:ext cx="304800" cy="304800"/>
    <xdr:sp macro="" textlink="">
      <xdr:nvSpPr>
        <xdr:cNvPr id="336" name="AutoShape 1">
          <a:extLst>
            <a:ext uri="{FF2B5EF4-FFF2-40B4-BE49-F238E27FC236}">
              <a16:creationId xmlns:a16="http://schemas.microsoft.com/office/drawing/2014/main" id="{FF86A7F9-BC89-4AB6-9E9D-A25C17ADF25C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66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252</xdr:row>
      <xdr:rowOff>0</xdr:rowOff>
    </xdr:from>
    <xdr:ext cx="304800" cy="304800"/>
    <xdr:sp macro="" textlink="">
      <xdr:nvSpPr>
        <xdr:cNvPr id="337" name="AutoShape 1">
          <a:extLst>
            <a:ext uri="{FF2B5EF4-FFF2-40B4-BE49-F238E27FC236}">
              <a16:creationId xmlns:a16="http://schemas.microsoft.com/office/drawing/2014/main" id="{150AE4AA-05B4-487B-B3D9-855C6B02E10B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66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252</xdr:row>
      <xdr:rowOff>0</xdr:rowOff>
    </xdr:from>
    <xdr:ext cx="304800" cy="304800"/>
    <xdr:sp macro="" textlink="">
      <xdr:nvSpPr>
        <xdr:cNvPr id="338" name="AutoShape 1">
          <a:extLst>
            <a:ext uri="{FF2B5EF4-FFF2-40B4-BE49-F238E27FC236}">
              <a16:creationId xmlns:a16="http://schemas.microsoft.com/office/drawing/2014/main" id="{EE455FA2-1A29-4313-9D14-4A937BA7AC84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66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252</xdr:row>
      <xdr:rowOff>0</xdr:rowOff>
    </xdr:from>
    <xdr:ext cx="304800" cy="304800"/>
    <xdr:sp macro="" textlink="">
      <xdr:nvSpPr>
        <xdr:cNvPr id="339" name="AutoShape 1">
          <a:extLst>
            <a:ext uri="{FF2B5EF4-FFF2-40B4-BE49-F238E27FC236}">
              <a16:creationId xmlns:a16="http://schemas.microsoft.com/office/drawing/2014/main" id="{5B277160-E13A-4527-A7F8-1CFA338012D2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66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252</xdr:row>
      <xdr:rowOff>0</xdr:rowOff>
    </xdr:from>
    <xdr:ext cx="304800" cy="304800"/>
    <xdr:sp macro="" textlink="">
      <xdr:nvSpPr>
        <xdr:cNvPr id="340" name="AutoShape 1">
          <a:extLst>
            <a:ext uri="{FF2B5EF4-FFF2-40B4-BE49-F238E27FC236}">
              <a16:creationId xmlns:a16="http://schemas.microsoft.com/office/drawing/2014/main" id="{ED03B186-3292-4453-BB59-4EC08939F58B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66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252</xdr:row>
      <xdr:rowOff>0</xdr:rowOff>
    </xdr:from>
    <xdr:ext cx="304800" cy="304800"/>
    <xdr:sp macro="" textlink="">
      <xdr:nvSpPr>
        <xdr:cNvPr id="341" name="AutoShape 1">
          <a:extLst>
            <a:ext uri="{FF2B5EF4-FFF2-40B4-BE49-F238E27FC236}">
              <a16:creationId xmlns:a16="http://schemas.microsoft.com/office/drawing/2014/main" id="{BA24261F-D1CD-4F38-A803-8B06B499E71B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66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252</xdr:row>
      <xdr:rowOff>0</xdr:rowOff>
    </xdr:from>
    <xdr:ext cx="304800" cy="304800"/>
    <xdr:sp macro="" textlink="">
      <xdr:nvSpPr>
        <xdr:cNvPr id="342" name="AutoShape 1">
          <a:extLst>
            <a:ext uri="{FF2B5EF4-FFF2-40B4-BE49-F238E27FC236}">
              <a16:creationId xmlns:a16="http://schemas.microsoft.com/office/drawing/2014/main" id="{0A5CC148-7936-4E1F-984E-1331C7CC9C99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66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252</xdr:row>
      <xdr:rowOff>0</xdr:rowOff>
    </xdr:from>
    <xdr:ext cx="304800" cy="304800"/>
    <xdr:sp macro="" textlink="">
      <xdr:nvSpPr>
        <xdr:cNvPr id="343" name="AutoShape 1">
          <a:extLst>
            <a:ext uri="{FF2B5EF4-FFF2-40B4-BE49-F238E27FC236}">
              <a16:creationId xmlns:a16="http://schemas.microsoft.com/office/drawing/2014/main" id="{33C8F1E8-8F06-4C19-9BD8-B4A2A5FFDFA0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66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252</xdr:row>
      <xdr:rowOff>0</xdr:rowOff>
    </xdr:from>
    <xdr:ext cx="304800" cy="304800"/>
    <xdr:sp macro="" textlink="">
      <xdr:nvSpPr>
        <xdr:cNvPr id="344" name="AutoShape 1">
          <a:extLst>
            <a:ext uri="{FF2B5EF4-FFF2-40B4-BE49-F238E27FC236}">
              <a16:creationId xmlns:a16="http://schemas.microsoft.com/office/drawing/2014/main" id="{8136E83F-4BC1-40CA-8FFC-C2F5770807D0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66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252</xdr:row>
      <xdr:rowOff>0</xdr:rowOff>
    </xdr:from>
    <xdr:ext cx="304800" cy="304800"/>
    <xdr:sp macro="" textlink="">
      <xdr:nvSpPr>
        <xdr:cNvPr id="345" name="AutoShape 1">
          <a:extLst>
            <a:ext uri="{FF2B5EF4-FFF2-40B4-BE49-F238E27FC236}">
              <a16:creationId xmlns:a16="http://schemas.microsoft.com/office/drawing/2014/main" id="{94E803E8-9080-41DD-9D69-3F1C560BD385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66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252</xdr:row>
      <xdr:rowOff>0</xdr:rowOff>
    </xdr:from>
    <xdr:ext cx="304800" cy="304800"/>
    <xdr:sp macro="" textlink="">
      <xdr:nvSpPr>
        <xdr:cNvPr id="346" name="AutoShape 1">
          <a:extLst>
            <a:ext uri="{FF2B5EF4-FFF2-40B4-BE49-F238E27FC236}">
              <a16:creationId xmlns:a16="http://schemas.microsoft.com/office/drawing/2014/main" id="{5284FBF7-104A-4F2A-BE8B-C9F49CAB83DB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66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252</xdr:row>
      <xdr:rowOff>0</xdr:rowOff>
    </xdr:from>
    <xdr:ext cx="304800" cy="304800"/>
    <xdr:sp macro="" textlink="">
      <xdr:nvSpPr>
        <xdr:cNvPr id="347" name="AutoShape 1">
          <a:extLst>
            <a:ext uri="{FF2B5EF4-FFF2-40B4-BE49-F238E27FC236}">
              <a16:creationId xmlns:a16="http://schemas.microsoft.com/office/drawing/2014/main" id="{DF4A4F28-A41E-4287-ABA2-A5A740E81298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66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252</xdr:row>
      <xdr:rowOff>0</xdr:rowOff>
    </xdr:from>
    <xdr:ext cx="304800" cy="304800"/>
    <xdr:sp macro="" textlink="">
      <xdr:nvSpPr>
        <xdr:cNvPr id="348" name="AutoShape 1">
          <a:extLst>
            <a:ext uri="{FF2B5EF4-FFF2-40B4-BE49-F238E27FC236}">
              <a16:creationId xmlns:a16="http://schemas.microsoft.com/office/drawing/2014/main" id="{37B15AEF-554D-4F66-977F-8B3A9C3DF265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66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252</xdr:row>
      <xdr:rowOff>0</xdr:rowOff>
    </xdr:from>
    <xdr:ext cx="304800" cy="304800"/>
    <xdr:sp macro="" textlink="">
      <xdr:nvSpPr>
        <xdr:cNvPr id="349" name="AutoShape 1">
          <a:extLst>
            <a:ext uri="{FF2B5EF4-FFF2-40B4-BE49-F238E27FC236}">
              <a16:creationId xmlns:a16="http://schemas.microsoft.com/office/drawing/2014/main" id="{07897E6D-303E-402F-BE17-9B02C3288B97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66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252</xdr:row>
      <xdr:rowOff>0</xdr:rowOff>
    </xdr:from>
    <xdr:ext cx="304800" cy="304800"/>
    <xdr:sp macro="" textlink="">
      <xdr:nvSpPr>
        <xdr:cNvPr id="350" name="AutoShape 1">
          <a:extLst>
            <a:ext uri="{FF2B5EF4-FFF2-40B4-BE49-F238E27FC236}">
              <a16:creationId xmlns:a16="http://schemas.microsoft.com/office/drawing/2014/main" id="{0033866B-1F22-4CC7-B594-B31E91C94E36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66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252</xdr:row>
      <xdr:rowOff>0</xdr:rowOff>
    </xdr:from>
    <xdr:ext cx="304800" cy="304800"/>
    <xdr:sp macro="" textlink="">
      <xdr:nvSpPr>
        <xdr:cNvPr id="351" name="AutoShape 1">
          <a:extLst>
            <a:ext uri="{FF2B5EF4-FFF2-40B4-BE49-F238E27FC236}">
              <a16:creationId xmlns:a16="http://schemas.microsoft.com/office/drawing/2014/main" id="{D01C9CAF-6464-487F-B4A5-14EFEADB81EC}"/>
            </a:ext>
            <a:ext uri="{147F2762-F138-4A5C-976F-8EAC2B608ADB}">
              <a16:predDERef xmlns:a16="http://schemas.microsoft.com/office/drawing/2014/main" pred="{A9C9C4DB-4B97-447C-9099-E87BCB3C537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66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252</xdr:row>
      <xdr:rowOff>0</xdr:rowOff>
    </xdr:from>
    <xdr:ext cx="304800" cy="304800"/>
    <xdr:sp macro="" textlink="">
      <xdr:nvSpPr>
        <xdr:cNvPr id="352" name="AutoShape 1">
          <a:extLst>
            <a:ext uri="{FF2B5EF4-FFF2-40B4-BE49-F238E27FC236}">
              <a16:creationId xmlns:a16="http://schemas.microsoft.com/office/drawing/2014/main" id="{133A60A2-F5A8-44D3-8F49-EC6E5ACF599D}"/>
            </a:ext>
            <a:ext uri="{147F2762-F138-4A5C-976F-8EAC2B608ADB}">
              <a16:predDERef xmlns:a16="http://schemas.microsoft.com/office/drawing/2014/main" pred="{CD89554D-BD76-42AD-819A-278AD445B86E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66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252</xdr:row>
      <xdr:rowOff>0</xdr:rowOff>
    </xdr:from>
    <xdr:ext cx="304800" cy="304800"/>
    <xdr:sp macro="" textlink="">
      <xdr:nvSpPr>
        <xdr:cNvPr id="353" name="AutoShape 1">
          <a:extLst>
            <a:ext uri="{FF2B5EF4-FFF2-40B4-BE49-F238E27FC236}">
              <a16:creationId xmlns:a16="http://schemas.microsoft.com/office/drawing/2014/main" id="{744DFF62-501F-45A1-811D-05953D9AED4F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66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252</xdr:row>
      <xdr:rowOff>0</xdr:rowOff>
    </xdr:from>
    <xdr:ext cx="304800" cy="304800"/>
    <xdr:sp macro="" textlink="">
      <xdr:nvSpPr>
        <xdr:cNvPr id="354" name="AutoShape 1">
          <a:extLst>
            <a:ext uri="{FF2B5EF4-FFF2-40B4-BE49-F238E27FC236}">
              <a16:creationId xmlns:a16="http://schemas.microsoft.com/office/drawing/2014/main" id="{B2BA1A88-A87F-45C3-BE27-DD2A67F72DA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66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252</xdr:row>
      <xdr:rowOff>0</xdr:rowOff>
    </xdr:from>
    <xdr:ext cx="304800" cy="304800"/>
    <xdr:sp macro="" textlink="">
      <xdr:nvSpPr>
        <xdr:cNvPr id="355" name="AutoShape 1">
          <a:extLst>
            <a:ext uri="{FF2B5EF4-FFF2-40B4-BE49-F238E27FC236}">
              <a16:creationId xmlns:a16="http://schemas.microsoft.com/office/drawing/2014/main" id="{5DCB9235-42C4-4423-9EA1-A2EC1278F79F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66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252</xdr:row>
      <xdr:rowOff>0</xdr:rowOff>
    </xdr:from>
    <xdr:ext cx="304800" cy="304800"/>
    <xdr:sp macro="" textlink="">
      <xdr:nvSpPr>
        <xdr:cNvPr id="356" name="AutoShape 1">
          <a:extLst>
            <a:ext uri="{FF2B5EF4-FFF2-40B4-BE49-F238E27FC236}">
              <a16:creationId xmlns:a16="http://schemas.microsoft.com/office/drawing/2014/main" id="{7DB63E8B-4A94-4184-9EF0-7990680793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66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252</xdr:row>
      <xdr:rowOff>0</xdr:rowOff>
    </xdr:from>
    <xdr:ext cx="304800" cy="304800"/>
    <xdr:sp macro="" textlink="">
      <xdr:nvSpPr>
        <xdr:cNvPr id="357" name="AutoShape 1">
          <a:extLst>
            <a:ext uri="{FF2B5EF4-FFF2-40B4-BE49-F238E27FC236}">
              <a16:creationId xmlns:a16="http://schemas.microsoft.com/office/drawing/2014/main" id="{A5ACBE56-70AE-4C8B-921F-0BE95F02B86C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66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252</xdr:row>
      <xdr:rowOff>0</xdr:rowOff>
    </xdr:from>
    <xdr:ext cx="304800" cy="304800"/>
    <xdr:sp macro="" textlink="">
      <xdr:nvSpPr>
        <xdr:cNvPr id="358" name="AutoShape 1">
          <a:extLst>
            <a:ext uri="{FF2B5EF4-FFF2-40B4-BE49-F238E27FC236}">
              <a16:creationId xmlns:a16="http://schemas.microsoft.com/office/drawing/2014/main" id="{547F2463-1636-4C4E-A3E5-50608DC39DE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66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252</xdr:row>
      <xdr:rowOff>0</xdr:rowOff>
    </xdr:from>
    <xdr:ext cx="304800" cy="304800"/>
    <xdr:sp macro="" textlink="">
      <xdr:nvSpPr>
        <xdr:cNvPr id="359" name="AutoShape 1">
          <a:extLst>
            <a:ext uri="{FF2B5EF4-FFF2-40B4-BE49-F238E27FC236}">
              <a16:creationId xmlns:a16="http://schemas.microsoft.com/office/drawing/2014/main" id="{FD47B88B-6530-4C67-8FD4-62EA90857C43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66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252</xdr:row>
      <xdr:rowOff>0</xdr:rowOff>
    </xdr:from>
    <xdr:ext cx="304800" cy="304800"/>
    <xdr:sp macro="" textlink="">
      <xdr:nvSpPr>
        <xdr:cNvPr id="360" name="AutoShape 1">
          <a:extLst>
            <a:ext uri="{FF2B5EF4-FFF2-40B4-BE49-F238E27FC236}">
              <a16:creationId xmlns:a16="http://schemas.microsoft.com/office/drawing/2014/main" id="{B183968D-ADAA-4B63-B4F2-5A00B355643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66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252</xdr:row>
      <xdr:rowOff>0</xdr:rowOff>
    </xdr:from>
    <xdr:ext cx="304800" cy="304800"/>
    <xdr:sp macro="" textlink="">
      <xdr:nvSpPr>
        <xdr:cNvPr id="361" name="AutoShape 1">
          <a:extLst>
            <a:ext uri="{FF2B5EF4-FFF2-40B4-BE49-F238E27FC236}">
              <a16:creationId xmlns:a16="http://schemas.microsoft.com/office/drawing/2014/main" id="{1A291611-5DA9-4C4C-AF0C-807901E2FC7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66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252</xdr:row>
      <xdr:rowOff>0</xdr:rowOff>
    </xdr:from>
    <xdr:ext cx="304800" cy="304800"/>
    <xdr:sp macro="" textlink="">
      <xdr:nvSpPr>
        <xdr:cNvPr id="362" name="AutoShape 1">
          <a:extLst>
            <a:ext uri="{FF2B5EF4-FFF2-40B4-BE49-F238E27FC236}">
              <a16:creationId xmlns:a16="http://schemas.microsoft.com/office/drawing/2014/main" id="{B5A1CB9B-D711-4B66-97C3-46159F57253A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66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252</xdr:row>
      <xdr:rowOff>0</xdr:rowOff>
    </xdr:from>
    <xdr:ext cx="304800" cy="304800"/>
    <xdr:sp macro="" textlink="">
      <xdr:nvSpPr>
        <xdr:cNvPr id="363" name="AutoShape 1">
          <a:extLst>
            <a:ext uri="{FF2B5EF4-FFF2-40B4-BE49-F238E27FC236}">
              <a16:creationId xmlns:a16="http://schemas.microsoft.com/office/drawing/2014/main" id="{17399148-4604-4547-8FA7-9054779A5203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66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252</xdr:row>
      <xdr:rowOff>0</xdr:rowOff>
    </xdr:from>
    <xdr:ext cx="304800" cy="304800"/>
    <xdr:sp macro="" textlink="">
      <xdr:nvSpPr>
        <xdr:cNvPr id="364" name="AutoShape 1">
          <a:extLst>
            <a:ext uri="{FF2B5EF4-FFF2-40B4-BE49-F238E27FC236}">
              <a16:creationId xmlns:a16="http://schemas.microsoft.com/office/drawing/2014/main" id="{7C7CB70A-E257-4188-BB0C-CC6270ED3813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66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252</xdr:row>
      <xdr:rowOff>0</xdr:rowOff>
    </xdr:from>
    <xdr:ext cx="304800" cy="304800"/>
    <xdr:sp macro="" textlink="">
      <xdr:nvSpPr>
        <xdr:cNvPr id="365" name="AutoShape 1">
          <a:extLst>
            <a:ext uri="{FF2B5EF4-FFF2-40B4-BE49-F238E27FC236}">
              <a16:creationId xmlns:a16="http://schemas.microsoft.com/office/drawing/2014/main" id="{C14A5A20-D682-4764-82E2-B48E9D6C52F1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66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252</xdr:row>
      <xdr:rowOff>0</xdr:rowOff>
    </xdr:from>
    <xdr:ext cx="304800" cy="304800"/>
    <xdr:sp macro="" textlink="">
      <xdr:nvSpPr>
        <xdr:cNvPr id="366" name="AutoShape 1">
          <a:extLst>
            <a:ext uri="{FF2B5EF4-FFF2-40B4-BE49-F238E27FC236}">
              <a16:creationId xmlns:a16="http://schemas.microsoft.com/office/drawing/2014/main" id="{F8207C55-1DED-4810-B8FF-FC51F22C4B6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66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252</xdr:row>
      <xdr:rowOff>0</xdr:rowOff>
    </xdr:from>
    <xdr:ext cx="304800" cy="304800"/>
    <xdr:sp macro="" textlink="">
      <xdr:nvSpPr>
        <xdr:cNvPr id="367" name="AutoShape 1">
          <a:extLst>
            <a:ext uri="{FF2B5EF4-FFF2-40B4-BE49-F238E27FC236}">
              <a16:creationId xmlns:a16="http://schemas.microsoft.com/office/drawing/2014/main" id="{F91EFDB4-766F-4F3A-BA72-D216E57450B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66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252</xdr:row>
      <xdr:rowOff>0</xdr:rowOff>
    </xdr:from>
    <xdr:ext cx="304800" cy="304800"/>
    <xdr:sp macro="" textlink="">
      <xdr:nvSpPr>
        <xdr:cNvPr id="368" name="AutoShape 1">
          <a:extLst>
            <a:ext uri="{FF2B5EF4-FFF2-40B4-BE49-F238E27FC236}">
              <a16:creationId xmlns:a16="http://schemas.microsoft.com/office/drawing/2014/main" id="{9E144930-88B5-4B32-BB23-6BFB642E9E1A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66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252</xdr:row>
      <xdr:rowOff>0</xdr:rowOff>
    </xdr:from>
    <xdr:ext cx="304800" cy="304800"/>
    <xdr:sp macro="" textlink="">
      <xdr:nvSpPr>
        <xdr:cNvPr id="369" name="AutoShape 1">
          <a:extLst>
            <a:ext uri="{FF2B5EF4-FFF2-40B4-BE49-F238E27FC236}">
              <a16:creationId xmlns:a16="http://schemas.microsoft.com/office/drawing/2014/main" id="{7D73C5B0-A093-4B5F-99E2-D71210FCB605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66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252</xdr:row>
      <xdr:rowOff>0</xdr:rowOff>
    </xdr:from>
    <xdr:ext cx="304800" cy="304800"/>
    <xdr:sp macro="" textlink="">
      <xdr:nvSpPr>
        <xdr:cNvPr id="370" name="AutoShape 1">
          <a:extLst>
            <a:ext uri="{FF2B5EF4-FFF2-40B4-BE49-F238E27FC236}">
              <a16:creationId xmlns:a16="http://schemas.microsoft.com/office/drawing/2014/main" id="{6F765CA4-3FE6-4E9E-840D-2E018BE068FC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66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252</xdr:row>
      <xdr:rowOff>0</xdr:rowOff>
    </xdr:from>
    <xdr:ext cx="304800" cy="304800"/>
    <xdr:sp macro="" textlink="">
      <xdr:nvSpPr>
        <xdr:cNvPr id="371" name="AutoShape 1">
          <a:extLst>
            <a:ext uri="{FF2B5EF4-FFF2-40B4-BE49-F238E27FC236}">
              <a16:creationId xmlns:a16="http://schemas.microsoft.com/office/drawing/2014/main" id="{0774DD38-24C3-4C3A-BA45-B9D8A3E4B2CC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66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252</xdr:row>
      <xdr:rowOff>0</xdr:rowOff>
    </xdr:from>
    <xdr:ext cx="304800" cy="304800"/>
    <xdr:sp macro="" textlink="">
      <xdr:nvSpPr>
        <xdr:cNvPr id="372" name="AutoShape 1">
          <a:extLst>
            <a:ext uri="{FF2B5EF4-FFF2-40B4-BE49-F238E27FC236}">
              <a16:creationId xmlns:a16="http://schemas.microsoft.com/office/drawing/2014/main" id="{8916C7C8-9AFA-46AF-9AF9-B369C3C172E0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66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252</xdr:row>
      <xdr:rowOff>0</xdr:rowOff>
    </xdr:from>
    <xdr:ext cx="304800" cy="304800"/>
    <xdr:sp macro="" textlink="">
      <xdr:nvSpPr>
        <xdr:cNvPr id="373" name="AutoShape 1">
          <a:extLst>
            <a:ext uri="{FF2B5EF4-FFF2-40B4-BE49-F238E27FC236}">
              <a16:creationId xmlns:a16="http://schemas.microsoft.com/office/drawing/2014/main" id="{E972B38D-5D6B-4FC3-842D-E3F0267F1911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66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252</xdr:row>
      <xdr:rowOff>0</xdr:rowOff>
    </xdr:from>
    <xdr:ext cx="304800" cy="304800"/>
    <xdr:sp macro="" textlink="">
      <xdr:nvSpPr>
        <xdr:cNvPr id="374" name="AutoShape 1">
          <a:extLst>
            <a:ext uri="{FF2B5EF4-FFF2-40B4-BE49-F238E27FC236}">
              <a16:creationId xmlns:a16="http://schemas.microsoft.com/office/drawing/2014/main" id="{1ECFE682-79F2-4799-AAC8-2A2D7C82B761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66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252</xdr:row>
      <xdr:rowOff>0</xdr:rowOff>
    </xdr:from>
    <xdr:ext cx="304800" cy="304800"/>
    <xdr:sp macro="" textlink="">
      <xdr:nvSpPr>
        <xdr:cNvPr id="375" name="AutoShape 1">
          <a:extLst>
            <a:ext uri="{FF2B5EF4-FFF2-40B4-BE49-F238E27FC236}">
              <a16:creationId xmlns:a16="http://schemas.microsoft.com/office/drawing/2014/main" id="{5776F8B2-42AE-4A3E-ABC9-916B637653C6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66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252</xdr:row>
      <xdr:rowOff>0</xdr:rowOff>
    </xdr:from>
    <xdr:ext cx="304800" cy="304800"/>
    <xdr:sp macro="" textlink="">
      <xdr:nvSpPr>
        <xdr:cNvPr id="376" name="AutoShape 1">
          <a:extLst>
            <a:ext uri="{FF2B5EF4-FFF2-40B4-BE49-F238E27FC236}">
              <a16:creationId xmlns:a16="http://schemas.microsoft.com/office/drawing/2014/main" id="{976183F9-B1B2-4DD0-9362-AD27E44CF11F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66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252</xdr:row>
      <xdr:rowOff>0</xdr:rowOff>
    </xdr:from>
    <xdr:ext cx="304800" cy="304800"/>
    <xdr:sp macro="" textlink="">
      <xdr:nvSpPr>
        <xdr:cNvPr id="377" name="AutoShape 1">
          <a:extLst>
            <a:ext uri="{FF2B5EF4-FFF2-40B4-BE49-F238E27FC236}">
              <a16:creationId xmlns:a16="http://schemas.microsoft.com/office/drawing/2014/main" id="{512E3D6B-0A44-4441-8456-FE41AD14B94B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66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252</xdr:row>
      <xdr:rowOff>0</xdr:rowOff>
    </xdr:from>
    <xdr:ext cx="304800" cy="304800"/>
    <xdr:sp macro="" textlink="">
      <xdr:nvSpPr>
        <xdr:cNvPr id="378" name="AutoShape 1">
          <a:extLst>
            <a:ext uri="{FF2B5EF4-FFF2-40B4-BE49-F238E27FC236}">
              <a16:creationId xmlns:a16="http://schemas.microsoft.com/office/drawing/2014/main" id="{AA1E058E-8266-431E-A9CE-5FAAB2336135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66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252</xdr:row>
      <xdr:rowOff>0</xdr:rowOff>
    </xdr:from>
    <xdr:ext cx="304800" cy="304800"/>
    <xdr:sp macro="" textlink="">
      <xdr:nvSpPr>
        <xdr:cNvPr id="379" name="AutoShape 1">
          <a:extLst>
            <a:ext uri="{FF2B5EF4-FFF2-40B4-BE49-F238E27FC236}">
              <a16:creationId xmlns:a16="http://schemas.microsoft.com/office/drawing/2014/main" id="{FDD42A28-E1B4-48CA-88B2-187222EE93D4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66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252</xdr:row>
      <xdr:rowOff>0</xdr:rowOff>
    </xdr:from>
    <xdr:ext cx="304800" cy="304800"/>
    <xdr:sp macro="" textlink="">
      <xdr:nvSpPr>
        <xdr:cNvPr id="380" name="AutoShape 1">
          <a:extLst>
            <a:ext uri="{FF2B5EF4-FFF2-40B4-BE49-F238E27FC236}">
              <a16:creationId xmlns:a16="http://schemas.microsoft.com/office/drawing/2014/main" id="{D9C7FC04-6FF2-433E-BAB3-15F488626134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66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252</xdr:row>
      <xdr:rowOff>0</xdr:rowOff>
    </xdr:from>
    <xdr:ext cx="304800" cy="304800"/>
    <xdr:sp macro="" textlink="">
      <xdr:nvSpPr>
        <xdr:cNvPr id="381" name="AutoShape 1">
          <a:extLst>
            <a:ext uri="{FF2B5EF4-FFF2-40B4-BE49-F238E27FC236}">
              <a16:creationId xmlns:a16="http://schemas.microsoft.com/office/drawing/2014/main" id="{41C5C1D6-FCD7-4A10-A0C7-CACA43A6324B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66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252</xdr:row>
      <xdr:rowOff>0</xdr:rowOff>
    </xdr:from>
    <xdr:ext cx="304800" cy="304800"/>
    <xdr:sp macro="" textlink="">
      <xdr:nvSpPr>
        <xdr:cNvPr id="382" name="AutoShape 1">
          <a:extLst>
            <a:ext uri="{FF2B5EF4-FFF2-40B4-BE49-F238E27FC236}">
              <a16:creationId xmlns:a16="http://schemas.microsoft.com/office/drawing/2014/main" id="{B6C6A495-B990-4BB9-A081-BACA0275644E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66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252</xdr:row>
      <xdr:rowOff>0</xdr:rowOff>
    </xdr:from>
    <xdr:ext cx="304800" cy="304800"/>
    <xdr:sp macro="" textlink="">
      <xdr:nvSpPr>
        <xdr:cNvPr id="383" name="AutoShape 1">
          <a:extLst>
            <a:ext uri="{FF2B5EF4-FFF2-40B4-BE49-F238E27FC236}">
              <a16:creationId xmlns:a16="http://schemas.microsoft.com/office/drawing/2014/main" id="{C41A314E-56AA-4460-8ACA-574280B3CCAF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66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252</xdr:row>
      <xdr:rowOff>0</xdr:rowOff>
    </xdr:from>
    <xdr:ext cx="304800" cy="304800"/>
    <xdr:sp macro="" textlink="">
      <xdr:nvSpPr>
        <xdr:cNvPr id="384" name="AutoShape 1">
          <a:extLst>
            <a:ext uri="{FF2B5EF4-FFF2-40B4-BE49-F238E27FC236}">
              <a16:creationId xmlns:a16="http://schemas.microsoft.com/office/drawing/2014/main" id="{D4A78E43-F05B-45A8-9EC0-D60CBCFB36BF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66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252</xdr:row>
      <xdr:rowOff>0</xdr:rowOff>
    </xdr:from>
    <xdr:ext cx="304800" cy="304800"/>
    <xdr:sp macro="" textlink="">
      <xdr:nvSpPr>
        <xdr:cNvPr id="385" name="AutoShape 1">
          <a:extLst>
            <a:ext uri="{FF2B5EF4-FFF2-40B4-BE49-F238E27FC236}">
              <a16:creationId xmlns:a16="http://schemas.microsoft.com/office/drawing/2014/main" id="{2CACC9F7-86D4-4728-A8F9-29E517655362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66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252</xdr:row>
      <xdr:rowOff>0</xdr:rowOff>
    </xdr:from>
    <xdr:ext cx="304800" cy="304800"/>
    <xdr:sp macro="" textlink="">
      <xdr:nvSpPr>
        <xdr:cNvPr id="386" name="AutoShape 1">
          <a:extLst>
            <a:ext uri="{FF2B5EF4-FFF2-40B4-BE49-F238E27FC236}">
              <a16:creationId xmlns:a16="http://schemas.microsoft.com/office/drawing/2014/main" id="{840D013D-B41A-419C-A359-B88D8FB0347D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66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252</xdr:row>
      <xdr:rowOff>0</xdr:rowOff>
    </xdr:from>
    <xdr:ext cx="304800" cy="304800"/>
    <xdr:sp macro="" textlink="">
      <xdr:nvSpPr>
        <xdr:cNvPr id="387" name="AutoShape 1">
          <a:extLst>
            <a:ext uri="{FF2B5EF4-FFF2-40B4-BE49-F238E27FC236}">
              <a16:creationId xmlns:a16="http://schemas.microsoft.com/office/drawing/2014/main" id="{D4DFA6B0-4077-46A7-8D3F-BA7E2C55CF7B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66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252</xdr:row>
      <xdr:rowOff>0</xdr:rowOff>
    </xdr:from>
    <xdr:ext cx="304800" cy="304800"/>
    <xdr:sp macro="" textlink="">
      <xdr:nvSpPr>
        <xdr:cNvPr id="388" name="AutoShape 1">
          <a:extLst>
            <a:ext uri="{FF2B5EF4-FFF2-40B4-BE49-F238E27FC236}">
              <a16:creationId xmlns:a16="http://schemas.microsoft.com/office/drawing/2014/main" id="{20BD32E0-EDD6-4693-8F48-B9BA86A09B04}"/>
            </a:ext>
            <a:ext uri="{147F2762-F138-4A5C-976F-8EAC2B608ADB}">
              <a16:predDERef xmlns:a16="http://schemas.microsoft.com/office/drawing/2014/main" pred="{A9C9C4DB-4B97-447C-9099-E87BCB3C537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66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252</xdr:row>
      <xdr:rowOff>0</xdr:rowOff>
    </xdr:from>
    <xdr:ext cx="304800" cy="304800"/>
    <xdr:sp macro="" textlink="">
      <xdr:nvSpPr>
        <xdr:cNvPr id="389" name="AutoShape 1">
          <a:extLst>
            <a:ext uri="{FF2B5EF4-FFF2-40B4-BE49-F238E27FC236}">
              <a16:creationId xmlns:a16="http://schemas.microsoft.com/office/drawing/2014/main" id="{A775DF45-E1D3-4B03-88BD-E8D8169A1FFF}"/>
            </a:ext>
            <a:ext uri="{147F2762-F138-4A5C-976F-8EAC2B608ADB}">
              <a16:predDERef xmlns:a16="http://schemas.microsoft.com/office/drawing/2014/main" pred="{CD89554D-BD76-42AD-819A-278AD445B86E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66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271</xdr:row>
      <xdr:rowOff>0</xdr:rowOff>
    </xdr:from>
    <xdr:ext cx="304800" cy="304800"/>
    <xdr:sp macro="" textlink="">
      <xdr:nvSpPr>
        <xdr:cNvPr id="390" name="AutoShape 1">
          <a:extLst>
            <a:ext uri="{FF2B5EF4-FFF2-40B4-BE49-F238E27FC236}">
              <a16:creationId xmlns:a16="http://schemas.microsoft.com/office/drawing/2014/main" id="{F9A52D16-8EAA-4D82-AC74-0033CD8044D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010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271</xdr:row>
      <xdr:rowOff>0</xdr:rowOff>
    </xdr:from>
    <xdr:ext cx="304800" cy="304800"/>
    <xdr:sp macro="" textlink="">
      <xdr:nvSpPr>
        <xdr:cNvPr id="391" name="AutoShape 1">
          <a:extLst>
            <a:ext uri="{FF2B5EF4-FFF2-40B4-BE49-F238E27FC236}">
              <a16:creationId xmlns:a16="http://schemas.microsoft.com/office/drawing/2014/main" id="{10EC4764-0099-4222-A110-CBA6ACE591DA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010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271</xdr:row>
      <xdr:rowOff>0</xdr:rowOff>
    </xdr:from>
    <xdr:ext cx="304800" cy="304800"/>
    <xdr:sp macro="" textlink="">
      <xdr:nvSpPr>
        <xdr:cNvPr id="392" name="AutoShape 1">
          <a:extLst>
            <a:ext uri="{FF2B5EF4-FFF2-40B4-BE49-F238E27FC236}">
              <a16:creationId xmlns:a16="http://schemas.microsoft.com/office/drawing/2014/main" id="{430D8BBF-B7B4-4658-A7EC-315EF27CB6E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010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271</xdr:row>
      <xdr:rowOff>0</xdr:rowOff>
    </xdr:from>
    <xdr:ext cx="304800" cy="304800"/>
    <xdr:sp macro="" textlink="">
      <xdr:nvSpPr>
        <xdr:cNvPr id="393" name="AutoShape 1">
          <a:extLst>
            <a:ext uri="{FF2B5EF4-FFF2-40B4-BE49-F238E27FC236}">
              <a16:creationId xmlns:a16="http://schemas.microsoft.com/office/drawing/2014/main" id="{14DEB8CD-D9D3-4407-B5D8-D7A5D7EB1981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010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271</xdr:row>
      <xdr:rowOff>0</xdr:rowOff>
    </xdr:from>
    <xdr:ext cx="304800" cy="304800"/>
    <xdr:sp macro="" textlink="">
      <xdr:nvSpPr>
        <xdr:cNvPr id="394" name="AutoShape 1">
          <a:extLst>
            <a:ext uri="{FF2B5EF4-FFF2-40B4-BE49-F238E27FC236}">
              <a16:creationId xmlns:a16="http://schemas.microsoft.com/office/drawing/2014/main" id="{6C0154C1-7E08-4ACE-AB81-30D77265CA9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010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271</xdr:row>
      <xdr:rowOff>0</xdr:rowOff>
    </xdr:from>
    <xdr:ext cx="304800" cy="304800"/>
    <xdr:sp macro="" textlink="">
      <xdr:nvSpPr>
        <xdr:cNvPr id="395" name="AutoShape 1">
          <a:extLst>
            <a:ext uri="{FF2B5EF4-FFF2-40B4-BE49-F238E27FC236}">
              <a16:creationId xmlns:a16="http://schemas.microsoft.com/office/drawing/2014/main" id="{2EF2A670-7036-48BF-885D-D9975E33EF9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010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271</xdr:row>
      <xdr:rowOff>0</xdr:rowOff>
    </xdr:from>
    <xdr:ext cx="304800" cy="304800"/>
    <xdr:sp macro="" textlink="">
      <xdr:nvSpPr>
        <xdr:cNvPr id="396" name="AutoShape 1">
          <a:extLst>
            <a:ext uri="{FF2B5EF4-FFF2-40B4-BE49-F238E27FC236}">
              <a16:creationId xmlns:a16="http://schemas.microsoft.com/office/drawing/2014/main" id="{A49AC7D4-CC9A-40B9-BF30-FD8E3708FC66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010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271</xdr:row>
      <xdr:rowOff>0</xdr:rowOff>
    </xdr:from>
    <xdr:ext cx="304800" cy="304800"/>
    <xdr:sp macro="" textlink="">
      <xdr:nvSpPr>
        <xdr:cNvPr id="397" name="AutoShape 1">
          <a:extLst>
            <a:ext uri="{FF2B5EF4-FFF2-40B4-BE49-F238E27FC236}">
              <a16:creationId xmlns:a16="http://schemas.microsoft.com/office/drawing/2014/main" id="{2F41C1E6-76B1-458C-825B-BB540C775CC1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010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271</xdr:row>
      <xdr:rowOff>0</xdr:rowOff>
    </xdr:from>
    <xdr:ext cx="304800" cy="304800"/>
    <xdr:sp macro="" textlink="">
      <xdr:nvSpPr>
        <xdr:cNvPr id="398" name="AutoShape 1">
          <a:extLst>
            <a:ext uri="{FF2B5EF4-FFF2-40B4-BE49-F238E27FC236}">
              <a16:creationId xmlns:a16="http://schemas.microsoft.com/office/drawing/2014/main" id="{183A7917-E56C-43B8-93D9-DCA78D140E54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010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271</xdr:row>
      <xdr:rowOff>0</xdr:rowOff>
    </xdr:from>
    <xdr:ext cx="304800" cy="304800"/>
    <xdr:sp macro="" textlink="">
      <xdr:nvSpPr>
        <xdr:cNvPr id="399" name="AutoShape 1">
          <a:extLst>
            <a:ext uri="{FF2B5EF4-FFF2-40B4-BE49-F238E27FC236}">
              <a16:creationId xmlns:a16="http://schemas.microsoft.com/office/drawing/2014/main" id="{5BF7DB0A-4F15-4FF6-ADF3-D449EB9C2B0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010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271</xdr:row>
      <xdr:rowOff>0</xdr:rowOff>
    </xdr:from>
    <xdr:ext cx="304800" cy="304800"/>
    <xdr:sp macro="" textlink="">
      <xdr:nvSpPr>
        <xdr:cNvPr id="400" name="AutoShape 1">
          <a:extLst>
            <a:ext uri="{FF2B5EF4-FFF2-40B4-BE49-F238E27FC236}">
              <a16:creationId xmlns:a16="http://schemas.microsoft.com/office/drawing/2014/main" id="{74538C9F-A35D-4F72-BB20-DCBF0B9D6454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010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271</xdr:row>
      <xdr:rowOff>0</xdr:rowOff>
    </xdr:from>
    <xdr:ext cx="304800" cy="304800"/>
    <xdr:sp macro="" textlink="">
      <xdr:nvSpPr>
        <xdr:cNvPr id="401" name="AutoShape 1">
          <a:extLst>
            <a:ext uri="{FF2B5EF4-FFF2-40B4-BE49-F238E27FC236}">
              <a16:creationId xmlns:a16="http://schemas.microsoft.com/office/drawing/2014/main" id="{FA358126-7F17-4470-984F-1020CC36F52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010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271</xdr:row>
      <xdr:rowOff>0</xdr:rowOff>
    </xdr:from>
    <xdr:ext cx="304800" cy="304800"/>
    <xdr:sp macro="" textlink="">
      <xdr:nvSpPr>
        <xdr:cNvPr id="402" name="AutoShape 1">
          <a:extLst>
            <a:ext uri="{FF2B5EF4-FFF2-40B4-BE49-F238E27FC236}">
              <a16:creationId xmlns:a16="http://schemas.microsoft.com/office/drawing/2014/main" id="{3AF03B6C-3E29-4968-8B71-DFAD71E9415D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010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271</xdr:row>
      <xdr:rowOff>0</xdr:rowOff>
    </xdr:from>
    <xdr:ext cx="304800" cy="304800"/>
    <xdr:sp macro="" textlink="">
      <xdr:nvSpPr>
        <xdr:cNvPr id="403" name="AutoShape 1">
          <a:extLst>
            <a:ext uri="{FF2B5EF4-FFF2-40B4-BE49-F238E27FC236}">
              <a16:creationId xmlns:a16="http://schemas.microsoft.com/office/drawing/2014/main" id="{12838356-A3AC-460B-A038-E54560B318EA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010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271</xdr:row>
      <xdr:rowOff>0</xdr:rowOff>
    </xdr:from>
    <xdr:ext cx="304800" cy="304800"/>
    <xdr:sp macro="" textlink="">
      <xdr:nvSpPr>
        <xdr:cNvPr id="404" name="AutoShape 1">
          <a:extLst>
            <a:ext uri="{FF2B5EF4-FFF2-40B4-BE49-F238E27FC236}">
              <a16:creationId xmlns:a16="http://schemas.microsoft.com/office/drawing/2014/main" id="{4EF5B183-44DE-466E-ADF9-C2CF4146F71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010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271</xdr:row>
      <xdr:rowOff>0</xdr:rowOff>
    </xdr:from>
    <xdr:ext cx="304800" cy="304800"/>
    <xdr:sp macro="" textlink="">
      <xdr:nvSpPr>
        <xdr:cNvPr id="405" name="AutoShape 1">
          <a:extLst>
            <a:ext uri="{FF2B5EF4-FFF2-40B4-BE49-F238E27FC236}">
              <a16:creationId xmlns:a16="http://schemas.microsoft.com/office/drawing/2014/main" id="{FFF8E4C6-93B2-4DFF-A4BD-97D53D329E96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010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271</xdr:row>
      <xdr:rowOff>0</xdr:rowOff>
    </xdr:from>
    <xdr:ext cx="304800" cy="304800"/>
    <xdr:sp macro="" textlink="">
      <xdr:nvSpPr>
        <xdr:cNvPr id="406" name="AutoShape 1">
          <a:extLst>
            <a:ext uri="{FF2B5EF4-FFF2-40B4-BE49-F238E27FC236}">
              <a16:creationId xmlns:a16="http://schemas.microsoft.com/office/drawing/2014/main" id="{777CC85C-C1B7-4ACB-8CF0-47D66E7BC764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010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271</xdr:row>
      <xdr:rowOff>0</xdr:rowOff>
    </xdr:from>
    <xdr:ext cx="304800" cy="304800"/>
    <xdr:sp macro="" textlink="">
      <xdr:nvSpPr>
        <xdr:cNvPr id="407" name="AutoShape 1">
          <a:extLst>
            <a:ext uri="{FF2B5EF4-FFF2-40B4-BE49-F238E27FC236}">
              <a16:creationId xmlns:a16="http://schemas.microsoft.com/office/drawing/2014/main" id="{7F4E9CFB-B130-4631-A638-2379B147F05A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010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271</xdr:row>
      <xdr:rowOff>0</xdr:rowOff>
    </xdr:from>
    <xdr:ext cx="304800" cy="304800"/>
    <xdr:sp macro="" textlink="">
      <xdr:nvSpPr>
        <xdr:cNvPr id="408" name="AutoShape 1">
          <a:extLst>
            <a:ext uri="{FF2B5EF4-FFF2-40B4-BE49-F238E27FC236}">
              <a16:creationId xmlns:a16="http://schemas.microsoft.com/office/drawing/2014/main" id="{9293CD5A-E9E8-416D-BF71-BB0C3F44747F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010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271</xdr:row>
      <xdr:rowOff>0</xdr:rowOff>
    </xdr:from>
    <xdr:ext cx="304800" cy="304800"/>
    <xdr:sp macro="" textlink="">
      <xdr:nvSpPr>
        <xdr:cNvPr id="409" name="AutoShape 1">
          <a:extLst>
            <a:ext uri="{FF2B5EF4-FFF2-40B4-BE49-F238E27FC236}">
              <a16:creationId xmlns:a16="http://schemas.microsoft.com/office/drawing/2014/main" id="{F1D901A1-DB4B-4030-B0D0-29C40AFD041B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010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271</xdr:row>
      <xdr:rowOff>0</xdr:rowOff>
    </xdr:from>
    <xdr:ext cx="304800" cy="304800"/>
    <xdr:sp macro="" textlink="">
      <xdr:nvSpPr>
        <xdr:cNvPr id="410" name="AutoShape 1">
          <a:extLst>
            <a:ext uri="{FF2B5EF4-FFF2-40B4-BE49-F238E27FC236}">
              <a16:creationId xmlns:a16="http://schemas.microsoft.com/office/drawing/2014/main" id="{743B8704-1D0A-4AE1-AEB4-A79BD43A3CB3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010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271</xdr:row>
      <xdr:rowOff>0</xdr:rowOff>
    </xdr:from>
    <xdr:ext cx="304800" cy="304800"/>
    <xdr:sp macro="" textlink="">
      <xdr:nvSpPr>
        <xdr:cNvPr id="411" name="AutoShape 1">
          <a:extLst>
            <a:ext uri="{FF2B5EF4-FFF2-40B4-BE49-F238E27FC236}">
              <a16:creationId xmlns:a16="http://schemas.microsoft.com/office/drawing/2014/main" id="{106D8244-4C4B-4974-858A-1DFDD9A06F91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010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271</xdr:row>
      <xdr:rowOff>0</xdr:rowOff>
    </xdr:from>
    <xdr:ext cx="304800" cy="304800"/>
    <xdr:sp macro="" textlink="">
      <xdr:nvSpPr>
        <xdr:cNvPr id="412" name="AutoShape 1">
          <a:extLst>
            <a:ext uri="{FF2B5EF4-FFF2-40B4-BE49-F238E27FC236}">
              <a16:creationId xmlns:a16="http://schemas.microsoft.com/office/drawing/2014/main" id="{F20E2298-E64E-42B3-B724-D28F0F6315B4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010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271</xdr:row>
      <xdr:rowOff>0</xdr:rowOff>
    </xdr:from>
    <xdr:ext cx="304800" cy="304800"/>
    <xdr:sp macro="" textlink="">
      <xdr:nvSpPr>
        <xdr:cNvPr id="413" name="AutoShape 1">
          <a:extLst>
            <a:ext uri="{FF2B5EF4-FFF2-40B4-BE49-F238E27FC236}">
              <a16:creationId xmlns:a16="http://schemas.microsoft.com/office/drawing/2014/main" id="{57D9A19C-A6B2-4FFF-91B1-F4271078E422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010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271</xdr:row>
      <xdr:rowOff>0</xdr:rowOff>
    </xdr:from>
    <xdr:ext cx="304800" cy="304800"/>
    <xdr:sp macro="" textlink="">
      <xdr:nvSpPr>
        <xdr:cNvPr id="414" name="AutoShape 1">
          <a:extLst>
            <a:ext uri="{FF2B5EF4-FFF2-40B4-BE49-F238E27FC236}">
              <a16:creationId xmlns:a16="http://schemas.microsoft.com/office/drawing/2014/main" id="{87E98027-9B7C-4626-86BA-79D3145EEEFC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010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271</xdr:row>
      <xdr:rowOff>0</xdr:rowOff>
    </xdr:from>
    <xdr:ext cx="304800" cy="304800"/>
    <xdr:sp macro="" textlink="">
      <xdr:nvSpPr>
        <xdr:cNvPr id="415" name="AutoShape 1">
          <a:extLst>
            <a:ext uri="{FF2B5EF4-FFF2-40B4-BE49-F238E27FC236}">
              <a16:creationId xmlns:a16="http://schemas.microsoft.com/office/drawing/2014/main" id="{41EE1BC3-CCC5-44B2-84C9-FE69665F5EB7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010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271</xdr:row>
      <xdr:rowOff>0</xdr:rowOff>
    </xdr:from>
    <xdr:ext cx="304800" cy="304800"/>
    <xdr:sp macro="" textlink="">
      <xdr:nvSpPr>
        <xdr:cNvPr id="416" name="AutoShape 1">
          <a:extLst>
            <a:ext uri="{FF2B5EF4-FFF2-40B4-BE49-F238E27FC236}">
              <a16:creationId xmlns:a16="http://schemas.microsoft.com/office/drawing/2014/main" id="{33A92DAB-9C69-4D63-A680-2600CA7260F6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010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271</xdr:row>
      <xdr:rowOff>0</xdr:rowOff>
    </xdr:from>
    <xdr:ext cx="304800" cy="304800"/>
    <xdr:sp macro="" textlink="">
      <xdr:nvSpPr>
        <xdr:cNvPr id="417" name="AutoShape 1">
          <a:extLst>
            <a:ext uri="{FF2B5EF4-FFF2-40B4-BE49-F238E27FC236}">
              <a16:creationId xmlns:a16="http://schemas.microsoft.com/office/drawing/2014/main" id="{FB3DD9ED-D848-45A1-A4AC-04D7DD6AAC06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010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271</xdr:row>
      <xdr:rowOff>0</xdr:rowOff>
    </xdr:from>
    <xdr:ext cx="304800" cy="304800"/>
    <xdr:sp macro="" textlink="">
      <xdr:nvSpPr>
        <xdr:cNvPr id="418" name="AutoShape 1">
          <a:extLst>
            <a:ext uri="{FF2B5EF4-FFF2-40B4-BE49-F238E27FC236}">
              <a16:creationId xmlns:a16="http://schemas.microsoft.com/office/drawing/2014/main" id="{7ADFF08C-55E5-46D0-B6AE-0370F9354D0F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010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271</xdr:row>
      <xdr:rowOff>0</xdr:rowOff>
    </xdr:from>
    <xdr:ext cx="304800" cy="304800"/>
    <xdr:sp macro="" textlink="">
      <xdr:nvSpPr>
        <xdr:cNvPr id="419" name="AutoShape 1">
          <a:extLst>
            <a:ext uri="{FF2B5EF4-FFF2-40B4-BE49-F238E27FC236}">
              <a16:creationId xmlns:a16="http://schemas.microsoft.com/office/drawing/2014/main" id="{F30D23B2-01CF-41FC-A217-164AC28EFB84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010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271</xdr:row>
      <xdr:rowOff>0</xdr:rowOff>
    </xdr:from>
    <xdr:ext cx="304800" cy="304800"/>
    <xdr:sp macro="" textlink="">
      <xdr:nvSpPr>
        <xdr:cNvPr id="420" name="AutoShape 1">
          <a:extLst>
            <a:ext uri="{FF2B5EF4-FFF2-40B4-BE49-F238E27FC236}">
              <a16:creationId xmlns:a16="http://schemas.microsoft.com/office/drawing/2014/main" id="{175F6489-BD5D-4D75-A1CF-BAC1EF390A29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010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271</xdr:row>
      <xdr:rowOff>0</xdr:rowOff>
    </xdr:from>
    <xdr:ext cx="304800" cy="304800"/>
    <xdr:sp macro="" textlink="">
      <xdr:nvSpPr>
        <xdr:cNvPr id="421" name="AutoShape 1">
          <a:extLst>
            <a:ext uri="{FF2B5EF4-FFF2-40B4-BE49-F238E27FC236}">
              <a16:creationId xmlns:a16="http://schemas.microsoft.com/office/drawing/2014/main" id="{A6544591-8B3D-4DB7-A31D-477204712351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010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271</xdr:row>
      <xdr:rowOff>0</xdr:rowOff>
    </xdr:from>
    <xdr:ext cx="304800" cy="304800"/>
    <xdr:sp macro="" textlink="">
      <xdr:nvSpPr>
        <xdr:cNvPr id="422" name="AutoShape 1">
          <a:extLst>
            <a:ext uri="{FF2B5EF4-FFF2-40B4-BE49-F238E27FC236}">
              <a16:creationId xmlns:a16="http://schemas.microsoft.com/office/drawing/2014/main" id="{8B1D56D7-0DE5-42A4-A1C9-E99DD0F73825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010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271</xdr:row>
      <xdr:rowOff>0</xdr:rowOff>
    </xdr:from>
    <xdr:ext cx="304800" cy="304800"/>
    <xdr:sp macro="" textlink="">
      <xdr:nvSpPr>
        <xdr:cNvPr id="423" name="AutoShape 1">
          <a:extLst>
            <a:ext uri="{FF2B5EF4-FFF2-40B4-BE49-F238E27FC236}">
              <a16:creationId xmlns:a16="http://schemas.microsoft.com/office/drawing/2014/main" id="{1CD854AA-32EE-4D50-8349-1236F6291124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010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271</xdr:row>
      <xdr:rowOff>0</xdr:rowOff>
    </xdr:from>
    <xdr:ext cx="304800" cy="304800"/>
    <xdr:sp macro="" textlink="">
      <xdr:nvSpPr>
        <xdr:cNvPr id="424" name="AutoShape 1">
          <a:extLst>
            <a:ext uri="{FF2B5EF4-FFF2-40B4-BE49-F238E27FC236}">
              <a16:creationId xmlns:a16="http://schemas.microsoft.com/office/drawing/2014/main" id="{25B347B2-F3B1-46DD-9380-8CBA51CE3D87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010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271</xdr:row>
      <xdr:rowOff>0</xdr:rowOff>
    </xdr:from>
    <xdr:ext cx="304800" cy="304800"/>
    <xdr:sp macro="" textlink="">
      <xdr:nvSpPr>
        <xdr:cNvPr id="425" name="AutoShape 1">
          <a:extLst>
            <a:ext uri="{FF2B5EF4-FFF2-40B4-BE49-F238E27FC236}">
              <a16:creationId xmlns:a16="http://schemas.microsoft.com/office/drawing/2014/main" id="{89F457A9-660D-4AAF-901B-A5462CF247AD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010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271</xdr:row>
      <xdr:rowOff>0</xdr:rowOff>
    </xdr:from>
    <xdr:ext cx="304800" cy="304800"/>
    <xdr:sp macro="" textlink="">
      <xdr:nvSpPr>
        <xdr:cNvPr id="426" name="AutoShape 1">
          <a:extLst>
            <a:ext uri="{FF2B5EF4-FFF2-40B4-BE49-F238E27FC236}">
              <a16:creationId xmlns:a16="http://schemas.microsoft.com/office/drawing/2014/main" id="{47937CAA-9A96-4CC4-8F18-83EB0A695597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010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271</xdr:row>
      <xdr:rowOff>0</xdr:rowOff>
    </xdr:from>
    <xdr:ext cx="304800" cy="304800"/>
    <xdr:sp macro="" textlink="">
      <xdr:nvSpPr>
        <xdr:cNvPr id="427" name="AutoShape 1">
          <a:extLst>
            <a:ext uri="{FF2B5EF4-FFF2-40B4-BE49-F238E27FC236}">
              <a16:creationId xmlns:a16="http://schemas.microsoft.com/office/drawing/2014/main" id="{A8C8988B-2B54-490E-B7DF-296D091CB515}"/>
            </a:ext>
            <a:ext uri="{147F2762-F138-4A5C-976F-8EAC2B608ADB}">
              <a16:predDERef xmlns:a16="http://schemas.microsoft.com/office/drawing/2014/main" pred="{A9C9C4DB-4B97-447C-9099-E87BCB3C537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010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271</xdr:row>
      <xdr:rowOff>0</xdr:rowOff>
    </xdr:from>
    <xdr:ext cx="304800" cy="304800"/>
    <xdr:sp macro="" textlink="">
      <xdr:nvSpPr>
        <xdr:cNvPr id="428" name="AutoShape 1">
          <a:extLst>
            <a:ext uri="{FF2B5EF4-FFF2-40B4-BE49-F238E27FC236}">
              <a16:creationId xmlns:a16="http://schemas.microsoft.com/office/drawing/2014/main" id="{449712ED-A857-4130-AF09-5E1956AAFD4A}"/>
            </a:ext>
            <a:ext uri="{147F2762-F138-4A5C-976F-8EAC2B608ADB}">
              <a16:predDERef xmlns:a16="http://schemas.microsoft.com/office/drawing/2014/main" pred="{CD89554D-BD76-42AD-819A-278AD445B86E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010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271</xdr:row>
      <xdr:rowOff>0</xdr:rowOff>
    </xdr:from>
    <xdr:ext cx="304800" cy="304800"/>
    <xdr:sp macro="" textlink="">
      <xdr:nvSpPr>
        <xdr:cNvPr id="429" name="AutoShape 1">
          <a:extLst>
            <a:ext uri="{FF2B5EF4-FFF2-40B4-BE49-F238E27FC236}">
              <a16:creationId xmlns:a16="http://schemas.microsoft.com/office/drawing/2014/main" id="{6221C132-4F0E-40DB-B24D-DBF466D806C7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010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271</xdr:row>
      <xdr:rowOff>0</xdr:rowOff>
    </xdr:from>
    <xdr:ext cx="304800" cy="304800"/>
    <xdr:sp macro="" textlink="">
      <xdr:nvSpPr>
        <xdr:cNvPr id="430" name="AutoShape 1">
          <a:extLst>
            <a:ext uri="{FF2B5EF4-FFF2-40B4-BE49-F238E27FC236}">
              <a16:creationId xmlns:a16="http://schemas.microsoft.com/office/drawing/2014/main" id="{BC491749-B9F9-4450-83CF-64A60F7D43C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010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271</xdr:row>
      <xdr:rowOff>0</xdr:rowOff>
    </xdr:from>
    <xdr:ext cx="304800" cy="304800"/>
    <xdr:sp macro="" textlink="">
      <xdr:nvSpPr>
        <xdr:cNvPr id="431" name="AutoShape 1">
          <a:extLst>
            <a:ext uri="{FF2B5EF4-FFF2-40B4-BE49-F238E27FC236}">
              <a16:creationId xmlns:a16="http://schemas.microsoft.com/office/drawing/2014/main" id="{BF7202A6-2AAB-441D-8847-59B808A7409E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010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271</xdr:row>
      <xdr:rowOff>0</xdr:rowOff>
    </xdr:from>
    <xdr:ext cx="304800" cy="304800"/>
    <xdr:sp macro="" textlink="">
      <xdr:nvSpPr>
        <xdr:cNvPr id="432" name="AutoShape 1">
          <a:extLst>
            <a:ext uri="{FF2B5EF4-FFF2-40B4-BE49-F238E27FC236}">
              <a16:creationId xmlns:a16="http://schemas.microsoft.com/office/drawing/2014/main" id="{DFA198F1-458C-4594-AB2F-B12B3373727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010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271</xdr:row>
      <xdr:rowOff>0</xdr:rowOff>
    </xdr:from>
    <xdr:ext cx="304800" cy="304800"/>
    <xdr:sp macro="" textlink="">
      <xdr:nvSpPr>
        <xdr:cNvPr id="433" name="AutoShape 1">
          <a:extLst>
            <a:ext uri="{FF2B5EF4-FFF2-40B4-BE49-F238E27FC236}">
              <a16:creationId xmlns:a16="http://schemas.microsoft.com/office/drawing/2014/main" id="{02A65DB3-511A-4484-A49C-CE2AAA94BE07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010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271</xdr:row>
      <xdr:rowOff>0</xdr:rowOff>
    </xdr:from>
    <xdr:ext cx="304800" cy="304800"/>
    <xdr:sp macro="" textlink="">
      <xdr:nvSpPr>
        <xdr:cNvPr id="434" name="AutoShape 1">
          <a:extLst>
            <a:ext uri="{FF2B5EF4-FFF2-40B4-BE49-F238E27FC236}">
              <a16:creationId xmlns:a16="http://schemas.microsoft.com/office/drawing/2014/main" id="{CBAC9107-E912-4FBA-AE2B-57B397AE967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010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271</xdr:row>
      <xdr:rowOff>0</xdr:rowOff>
    </xdr:from>
    <xdr:ext cx="304800" cy="304800"/>
    <xdr:sp macro="" textlink="">
      <xdr:nvSpPr>
        <xdr:cNvPr id="435" name="AutoShape 1">
          <a:extLst>
            <a:ext uri="{FF2B5EF4-FFF2-40B4-BE49-F238E27FC236}">
              <a16:creationId xmlns:a16="http://schemas.microsoft.com/office/drawing/2014/main" id="{A553903D-5705-4302-A348-564CB2933BCE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010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271</xdr:row>
      <xdr:rowOff>0</xdr:rowOff>
    </xdr:from>
    <xdr:ext cx="304800" cy="304800"/>
    <xdr:sp macro="" textlink="">
      <xdr:nvSpPr>
        <xdr:cNvPr id="436" name="AutoShape 1">
          <a:extLst>
            <a:ext uri="{FF2B5EF4-FFF2-40B4-BE49-F238E27FC236}">
              <a16:creationId xmlns:a16="http://schemas.microsoft.com/office/drawing/2014/main" id="{2F0B5AA6-88D1-48EC-A238-2A16DB064A6E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010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271</xdr:row>
      <xdr:rowOff>0</xdr:rowOff>
    </xdr:from>
    <xdr:ext cx="304800" cy="304800"/>
    <xdr:sp macro="" textlink="">
      <xdr:nvSpPr>
        <xdr:cNvPr id="437" name="AutoShape 1">
          <a:extLst>
            <a:ext uri="{FF2B5EF4-FFF2-40B4-BE49-F238E27FC236}">
              <a16:creationId xmlns:a16="http://schemas.microsoft.com/office/drawing/2014/main" id="{9228DC12-B381-4FA5-9D77-512ED312327E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010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271</xdr:row>
      <xdr:rowOff>0</xdr:rowOff>
    </xdr:from>
    <xdr:ext cx="304800" cy="304800"/>
    <xdr:sp macro="" textlink="">
      <xdr:nvSpPr>
        <xdr:cNvPr id="438" name="AutoShape 1">
          <a:extLst>
            <a:ext uri="{FF2B5EF4-FFF2-40B4-BE49-F238E27FC236}">
              <a16:creationId xmlns:a16="http://schemas.microsoft.com/office/drawing/2014/main" id="{82379135-6E19-4BDD-94AD-0C831F498F9F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010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271</xdr:row>
      <xdr:rowOff>0</xdr:rowOff>
    </xdr:from>
    <xdr:ext cx="304800" cy="304800"/>
    <xdr:sp macro="" textlink="">
      <xdr:nvSpPr>
        <xdr:cNvPr id="439" name="AutoShape 1">
          <a:extLst>
            <a:ext uri="{FF2B5EF4-FFF2-40B4-BE49-F238E27FC236}">
              <a16:creationId xmlns:a16="http://schemas.microsoft.com/office/drawing/2014/main" id="{DB183A2D-2B99-4C36-8E7A-96796F60FC5C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010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271</xdr:row>
      <xdr:rowOff>0</xdr:rowOff>
    </xdr:from>
    <xdr:ext cx="304800" cy="304800"/>
    <xdr:sp macro="" textlink="">
      <xdr:nvSpPr>
        <xdr:cNvPr id="440" name="AutoShape 1">
          <a:extLst>
            <a:ext uri="{FF2B5EF4-FFF2-40B4-BE49-F238E27FC236}">
              <a16:creationId xmlns:a16="http://schemas.microsoft.com/office/drawing/2014/main" id="{FE64A3EE-C3AC-4474-831F-03F7A5641F4F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010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271</xdr:row>
      <xdr:rowOff>0</xdr:rowOff>
    </xdr:from>
    <xdr:ext cx="304800" cy="304800"/>
    <xdr:sp macro="" textlink="">
      <xdr:nvSpPr>
        <xdr:cNvPr id="441" name="AutoShape 1">
          <a:extLst>
            <a:ext uri="{FF2B5EF4-FFF2-40B4-BE49-F238E27FC236}">
              <a16:creationId xmlns:a16="http://schemas.microsoft.com/office/drawing/2014/main" id="{DADE5C9E-8A4E-4360-902E-0AF9A3633243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010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271</xdr:row>
      <xdr:rowOff>0</xdr:rowOff>
    </xdr:from>
    <xdr:ext cx="304800" cy="304800"/>
    <xdr:sp macro="" textlink="">
      <xdr:nvSpPr>
        <xdr:cNvPr id="442" name="AutoShape 1">
          <a:extLst>
            <a:ext uri="{FF2B5EF4-FFF2-40B4-BE49-F238E27FC236}">
              <a16:creationId xmlns:a16="http://schemas.microsoft.com/office/drawing/2014/main" id="{96DE4B52-7826-4795-B5B1-C030FBA3B35D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010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271</xdr:row>
      <xdr:rowOff>0</xdr:rowOff>
    </xdr:from>
    <xdr:ext cx="304800" cy="304800"/>
    <xdr:sp macro="" textlink="">
      <xdr:nvSpPr>
        <xdr:cNvPr id="443" name="AutoShape 1">
          <a:extLst>
            <a:ext uri="{FF2B5EF4-FFF2-40B4-BE49-F238E27FC236}">
              <a16:creationId xmlns:a16="http://schemas.microsoft.com/office/drawing/2014/main" id="{FB569E3D-9351-428E-AE41-0E3CE223DFF3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010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271</xdr:row>
      <xdr:rowOff>0</xdr:rowOff>
    </xdr:from>
    <xdr:ext cx="304800" cy="304800"/>
    <xdr:sp macro="" textlink="">
      <xdr:nvSpPr>
        <xdr:cNvPr id="444" name="AutoShape 1">
          <a:extLst>
            <a:ext uri="{FF2B5EF4-FFF2-40B4-BE49-F238E27FC236}">
              <a16:creationId xmlns:a16="http://schemas.microsoft.com/office/drawing/2014/main" id="{3298C705-0F43-4AFC-95CA-5269788E140B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010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271</xdr:row>
      <xdr:rowOff>0</xdr:rowOff>
    </xdr:from>
    <xdr:ext cx="304800" cy="304800"/>
    <xdr:sp macro="" textlink="">
      <xdr:nvSpPr>
        <xdr:cNvPr id="445" name="AutoShape 1">
          <a:extLst>
            <a:ext uri="{FF2B5EF4-FFF2-40B4-BE49-F238E27FC236}">
              <a16:creationId xmlns:a16="http://schemas.microsoft.com/office/drawing/2014/main" id="{740DF3B3-15A1-4362-84AA-BEC660CAFA7B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010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271</xdr:row>
      <xdr:rowOff>0</xdr:rowOff>
    </xdr:from>
    <xdr:ext cx="304800" cy="304800"/>
    <xdr:sp macro="" textlink="">
      <xdr:nvSpPr>
        <xdr:cNvPr id="446" name="AutoShape 1">
          <a:extLst>
            <a:ext uri="{FF2B5EF4-FFF2-40B4-BE49-F238E27FC236}">
              <a16:creationId xmlns:a16="http://schemas.microsoft.com/office/drawing/2014/main" id="{DC8D435A-9338-431B-892D-5134C0674359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010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271</xdr:row>
      <xdr:rowOff>0</xdr:rowOff>
    </xdr:from>
    <xdr:ext cx="304800" cy="304800"/>
    <xdr:sp macro="" textlink="">
      <xdr:nvSpPr>
        <xdr:cNvPr id="447" name="AutoShape 1">
          <a:extLst>
            <a:ext uri="{FF2B5EF4-FFF2-40B4-BE49-F238E27FC236}">
              <a16:creationId xmlns:a16="http://schemas.microsoft.com/office/drawing/2014/main" id="{251A4213-4C65-4495-9E3B-7B27536B9CFF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010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271</xdr:row>
      <xdr:rowOff>0</xdr:rowOff>
    </xdr:from>
    <xdr:ext cx="304800" cy="304800"/>
    <xdr:sp macro="" textlink="">
      <xdr:nvSpPr>
        <xdr:cNvPr id="448" name="AutoShape 1">
          <a:extLst>
            <a:ext uri="{FF2B5EF4-FFF2-40B4-BE49-F238E27FC236}">
              <a16:creationId xmlns:a16="http://schemas.microsoft.com/office/drawing/2014/main" id="{984DB053-8D43-4AB1-B9DF-F5F2B56DB1BA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010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271</xdr:row>
      <xdr:rowOff>0</xdr:rowOff>
    </xdr:from>
    <xdr:ext cx="304800" cy="304800"/>
    <xdr:sp macro="" textlink="">
      <xdr:nvSpPr>
        <xdr:cNvPr id="449" name="AutoShape 1">
          <a:extLst>
            <a:ext uri="{FF2B5EF4-FFF2-40B4-BE49-F238E27FC236}">
              <a16:creationId xmlns:a16="http://schemas.microsoft.com/office/drawing/2014/main" id="{B131C50F-C924-4EB4-874A-60FFCFA73BD1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010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271</xdr:row>
      <xdr:rowOff>0</xdr:rowOff>
    </xdr:from>
    <xdr:ext cx="304800" cy="304800"/>
    <xdr:sp macro="" textlink="">
      <xdr:nvSpPr>
        <xdr:cNvPr id="450" name="AutoShape 1">
          <a:extLst>
            <a:ext uri="{FF2B5EF4-FFF2-40B4-BE49-F238E27FC236}">
              <a16:creationId xmlns:a16="http://schemas.microsoft.com/office/drawing/2014/main" id="{045EDA9A-FD72-4482-A16E-BB35C9AE327C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010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271</xdr:row>
      <xdr:rowOff>0</xdr:rowOff>
    </xdr:from>
    <xdr:ext cx="304800" cy="304800"/>
    <xdr:sp macro="" textlink="">
      <xdr:nvSpPr>
        <xdr:cNvPr id="451" name="AutoShape 1">
          <a:extLst>
            <a:ext uri="{FF2B5EF4-FFF2-40B4-BE49-F238E27FC236}">
              <a16:creationId xmlns:a16="http://schemas.microsoft.com/office/drawing/2014/main" id="{BBB594C1-AD04-4AE7-BD1A-9CA533CB414E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010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271</xdr:row>
      <xdr:rowOff>0</xdr:rowOff>
    </xdr:from>
    <xdr:ext cx="304800" cy="304800"/>
    <xdr:sp macro="" textlink="">
      <xdr:nvSpPr>
        <xdr:cNvPr id="452" name="AutoShape 1">
          <a:extLst>
            <a:ext uri="{FF2B5EF4-FFF2-40B4-BE49-F238E27FC236}">
              <a16:creationId xmlns:a16="http://schemas.microsoft.com/office/drawing/2014/main" id="{A73EB7C2-1D32-46FF-8502-60B923094171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010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271</xdr:row>
      <xdr:rowOff>0</xdr:rowOff>
    </xdr:from>
    <xdr:ext cx="304800" cy="304800"/>
    <xdr:sp macro="" textlink="">
      <xdr:nvSpPr>
        <xdr:cNvPr id="453" name="AutoShape 1">
          <a:extLst>
            <a:ext uri="{FF2B5EF4-FFF2-40B4-BE49-F238E27FC236}">
              <a16:creationId xmlns:a16="http://schemas.microsoft.com/office/drawing/2014/main" id="{FCFE0819-3126-4DAD-BB3E-58B4B89A2B21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010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271</xdr:row>
      <xdr:rowOff>0</xdr:rowOff>
    </xdr:from>
    <xdr:ext cx="304800" cy="304800"/>
    <xdr:sp macro="" textlink="">
      <xdr:nvSpPr>
        <xdr:cNvPr id="454" name="AutoShape 1">
          <a:extLst>
            <a:ext uri="{FF2B5EF4-FFF2-40B4-BE49-F238E27FC236}">
              <a16:creationId xmlns:a16="http://schemas.microsoft.com/office/drawing/2014/main" id="{C5E4CB66-EF2A-45AD-8352-CE43B84815E3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010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271</xdr:row>
      <xdr:rowOff>0</xdr:rowOff>
    </xdr:from>
    <xdr:ext cx="304800" cy="304800"/>
    <xdr:sp macro="" textlink="">
      <xdr:nvSpPr>
        <xdr:cNvPr id="455" name="AutoShape 1">
          <a:extLst>
            <a:ext uri="{FF2B5EF4-FFF2-40B4-BE49-F238E27FC236}">
              <a16:creationId xmlns:a16="http://schemas.microsoft.com/office/drawing/2014/main" id="{32861237-1425-49EF-B360-9ACAF2A76E74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010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271</xdr:row>
      <xdr:rowOff>0</xdr:rowOff>
    </xdr:from>
    <xdr:ext cx="304800" cy="304800"/>
    <xdr:sp macro="" textlink="">
      <xdr:nvSpPr>
        <xdr:cNvPr id="456" name="AutoShape 1">
          <a:extLst>
            <a:ext uri="{FF2B5EF4-FFF2-40B4-BE49-F238E27FC236}">
              <a16:creationId xmlns:a16="http://schemas.microsoft.com/office/drawing/2014/main" id="{6F18BE4C-4A47-4E5A-8855-2BEB823B1138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010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271</xdr:row>
      <xdr:rowOff>0</xdr:rowOff>
    </xdr:from>
    <xdr:ext cx="304800" cy="304800"/>
    <xdr:sp macro="" textlink="">
      <xdr:nvSpPr>
        <xdr:cNvPr id="457" name="AutoShape 1">
          <a:extLst>
            <a:ext uri="{FF2B5EF4-FFF2-40B4-BE49-F238E27FC236}">
              <a16:creationId xmlns:a16="http://schemas.microsoft.com/office/drawing/2014/main" id="{1217D296-4387-4B5D-98D8-DED60F2ADC90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010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271</xdr:row>
      <xdr:rowOff>0</xdr:rowOff>
    </xdr:from>
    <xdr:ext cx="304800" cy="304800"/>
    <xdr:sp macro="" textlink="">
      <xdr:nvSpPr>
        <xdr:cNvPr id="458" name="AutoShape 1">
          <a:extLst>
            <a:ext uri="{FF2B5EF4-FFF2-40B4-BE49-F238E27FC236}">
              <a16:creationId xmlns:a16="http://schemas.microsoft.com/office/drawing/2014/main" id="{B36B1AAC-35F2-48C9-A0E9-F4C5958AD425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010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271</xdr:row>
      <xdr:rowOff>0</xdr:rowOff>
    </xdr:from>
    <xdr:ext cx="304800" cy="304800"/>
    <xdr:sp macro="" textlink="">
      <xdr:nvSpPr>
        <xdr:cNvPr id="459" name="AutoShape 1">
          <a:extLst>
            <a:ext uri="{FF2B5EF4-FFF2-40B4-BE49-F238E27FC236}">
              <a16:creationId xmlns:a16="http://schemas.microsoft.com/office/drawing/2014/main" id="{FBB6E3A4-1CEC-4865-A976-4B163B4E7CC2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010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271</xdr:row>
      <xdr:rowOff>0</xdr:rowOff>
    </xdr:from>
    <xdr:ext cx="304800" cy="304800"/>
    <xdr:sp macro="" textlink="">
      <xdr:nvSpPr>
        <xdr:cNvPr id="460" name="AutoShape 1">
          <a:extLst>
            <a:ext uri="{FF2B5EF4-FFF2-40B4-BE49-F238E27FC236}">
              <a16:creationId xmlns:a16="http://schemas.microsoft.com/office/drawing/2014/main" id="{917B6F60-BE05-4D26-A675-8F8B239B5845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010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271</xdr:row>
      <xdr:rowOff>0</xdr:rowOff>
    </xdr:from>
    <xdr:ext cx="304800" cy="304800"/>
    <xdr:sp macro="" textlink="">
      <xdr:nvSpPr>
        <xdr:cNvPr id="461" name="AutoShape 1">
          <a:extLst>
            <a:ext uri="{FF2B5EF4-FFF2-40B4-BE49-F238E27FC236}">
              <a16:creationId xmlns:a16="http://schemas.microsoft.com/office/drawing/2014/main" id="{188F9471-D83B-4DA3-BEB3-0B664B191760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010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271</xdr:row>
      <xdr:rowOff>0</xdr:rowOff>
    </xdr:from>
    <xdr:ext cx="304800" cy="304800"/>
    <xdr:sp macro="" textlink="">
      <xdr:nvSpPr>
        <xdr:cNvPr id="462" name="AutoShape 1">
          <a:extLst>
            <a:ext uri="{FF2B5EF4-FFF2-40B4-BE49-F238E27FC236}">
              <a16:creationId xmlns:a16="http://schemas.microsoft.com/office/drawing/2014/main" id="{F60AE4C4-2D50-4F6E-9F3E-F691BF96B6CF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010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271</xdr:row>
      <xdr:rowOff>0</xdr:rowOff>
    </xdr:from>
    <xdr:ext cx="304800" cy="304800"/>
    <xdr:sp macro="" textlink="">
      <xdr:nvSpPr>
        <xdr:cNvPr id="463" name="AutoShape 1">
          <a:extLst>
            <a:ext uri="{FF2B5EF4-FFF2-40B4-BE49-F238E27FC236}">
              <a16:creationId xmlns:a16="http://schemas.microsoft.com/office/drawing/2014/main" id="{9F560F68-CE6B-424B-A482-15B870BF8B59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010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271</xdr:row>
      <xdr:rowOff>0</xdr:rowOff>
    </xdr:from>
    <xdr:ext cx="304800" cy="304800"/>
    <xdr:sp macro="" textlink="">
      <xdr:nvSpPr>
        <xdr:cNvPr id="464" name="AutoShape 1">
          <a:extLst>
            <a:ext uri="{FF2B5EF4-FFF2-40B4-BE49-F238E27FC236}">
              <a16:creationId xmlns:a16="http://schemas.microsoft.com/office/drawing/2014/main" id="{D7B53472-119D-46EB-9440-3E9DE9AF2657}"/>
            </a:ext>
            <a:ext uri="{147F2762-F138-4A5C-976F-8EAC2B608ADB}">
              <a16:predDERef xmlns:a16="http://schemas.microsoft.com/office/drawing/2014/main" pred="{A9C9C4DB-4B97-447C-9099-E87BCB3C537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010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271</xdr:row>
      <xdr:rowOff>0</xdr:rowOff>
    </xdr:from>
    <xdr:ext cx="304800" cy="304800"/>
    <xdr:sp macro="" textlink="">
      <xdr:nvSpPr>
        <xdr:cNvPr id="465" name="AutoShape 1">
          <a:extLst>
            <a:ext uri="{FF2B5EF4-FFF2-40B4-BE49-F238E27FC236}">
              <a16:creationId xmlns:a16="http://schemas.microsoft.com/office/drawing/2014/main" id="{3479E00F-38F5-4798-B8A9-1E7151EE5870}"/>
            </a:ext>
            <a:ext uri="{147F2762-F138-4A5C-976F-8EAC2B608ADB}">
              <a16:predDERef xmlns:a16="http://schemas.microsoft.com/office/drawing/2014/main" pred="{CD89554D-BD76-42AD-819A-278AD445B86E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010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309</xdr:row>
      <xdr:rowOff>0</xdr:rowOff>
    </xdr:from>
    <xdr:ext cx="304800" cy="304800"/>
    <xdr:sp macro="" textlink="">
      <xdr:nvSpPr>
        <xdr:cNvPr id="466" name="AutoShape 1">
          <a:extLst>
            <a:ext uri="{FF2B5EF4-FFF2-40B4-BE49-F238E27FC236}">
              <a16:creationId xmlns:a16="http://schemas.microsoft.com/office/drawing/2014/main" id="{6F2DBDAD-FEF7-4AFF-8065-E0BC8D73C2AE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71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309</xdr:row>
      <xdr:rowOff>0</xdr:rowOff>
    </xdr:from>
    <xdr:ext cx="304800" cy="304800"/>
    <xdr:sp macro="" textlink="">
      <xdr:nvSpPr>
        <xdr:cNvPr id="467" name="AutoShape 1">
          <a:extLst>
            <a:ext uri="{FF2B5EF4-FFF2-40B4-BE49-F238E27FC236}">
              <a16:creationId xmlns:a16="http://schemas.microsoft.com/office/drawing/2014/main" id="{074F9CDF-CAA9-428D-8D6B-88BB67C8EF6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71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309</xdr:row>
      <xdr:rowOff>0</xdr:rowOff>
    </xdr:from>
    <xdr:ext cx="304800" cy="304800"/>
    <xdr:sp macro="" textlink="">
      <xdr:nvSpPr>
        <xdr:cNvPr id="468" name="AutoShape 1">
          <a:extLst>
            <a:ext uri="{FF2B5EF4-FFF2-40B4-BE49-F238E27FC236}">
              <a16:creationId xmlns:a16="http://schemas.microsoft.com/office/drawing/2014/main" id="{78826299-65C5-4565-BF13-8BBE9929F01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71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309</xdr:row>
      <xdr:rowOff>0</xdr:rowOff>
    </xdr:from>
    <xdr:ext cx="304800" cy="304800"/>
    <xdr:sp macro="" textlink="">
      <xdr:nvSpPr>
        <xdr:cNvPr id="469" name="AutoShape 1">
          <a:extLst>
            <a:ext uri="{FF2B5EF4-FFF2-40B4-BE49-F238E27FC236}">
              <a16:creationId xmlns:a16="http://schemas.microsoft.com/office/drawing/2014/main" id="{883FF403-A019-47A4-9204-A28E3986087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71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309</xdr:row>
      <xdr:rowOff>0</xdr:rowOff>
    </xdr:from>
    <xdr:ext cx="304800" cy="304800"/>
    <xdr:sp macro="" textlink="">
      <xdr:nvSpPr>
        <xdr:cNvPr id="470" name="AutoShape 1">
          <a:extLst>
            <a:ext uri="{FF2B5EF4-FFF2-40B4-BE49-F238E27FC236}">
              <a16:creationId xmlns:a16="http://schemas.microsoft.com/office/drawing/2014/main" id="{76BA2CE7-4A7C-4359-9ABD-70578435ECF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71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309</xdr:row>
      <xdr:rowOff>0</xdr:rowOff>
    </xdr:from>
    <xdr:ext cx="304800" cy="304800"/>
    <xdr:sp macro="" textlink="">
      <xdr:nvSpPr>
        <xdr:cNvPr id="471" name="AutoShape 1">
          <a:extLst>
            <a:ext uri="{FF2B5EF4-FFF2-40B4-BE49-F238E27FC236}">
              <a16:creationId xmlns:a16="http://schemas.microsoft.com/office/drawing/2014/main" id="{A82B5C4F-11ED-4D19-86D6-0CB16C6EA2AE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71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309</xdr:row>
      <xdr:rowOff>0</xdr:rowOff>
    </xdr:from>
    <xdr:ext cx="304800" cy="304800"/>
    <xdr:sp macro="" textlink="">
      <xdr:nvSpPr>
        <xdr:cNvPr id="472" name="AutoShape 1">
          <a:extLst>
            <a:ext uri="{FF2B5EF4-FFF2-40B4-BE49-F238E27FC236}">
              <a16:creationId xmlns:a16="http://schemas.microsoft.com/office/drawing/2014/main" id="{EC6135D5-6EC6-42D4-8D89-06BDD4E1C537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71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309</xdr:row>
      <xdr:rowOff>0</xdr:rowOff>
    </xdr:from>
    <xdr:ext cx="304800" cy="304800"/>
    <xdr:sp macro="" textlink="">
      <xdr:nvSpPr>
        <xdr:cNvPr id="473" name="AutoShape 1">
          <a:extLst>
            <a:ext uri="{FF2B5EF4-FFF2-40B4-BE49-F238E27FC236}">
              <a16:creationId xmlns:a16="http://schemas.microsoft.com/office/drawing/2014/main" id="{8EB5C8C1-9705-4B0D-8EBA-D4E39139BC1D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71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309</xdr:row>
      <xdr:rowOff>0</xdr:rowOff>
    </xdr:from>
    <xdr:ext cx="304800" cy="304800"/>
    <xdr:sp macro="" textlink="">
      <xdr:nvSpPr>
        <xdr:cNvPr id="474" name="AutoShape 1">
          <a:extLst>
            <a:ext uri="{FF2B5EF4-FFF2-40B4-BE49-F238E27FC236}">
              <a16:creationId xmlns:a16="http://schemas.microsoft.com/office/drawing/2014/main" id="{606670FD-DD19-46CD-98A8-41C5627CC6E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71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309</xdr:row>
      <xdr:rowOff>0</xdr:rowOff>
    </xdr:from>
    <xdr:ext cx="304800" cy="304800"/>
    <xdr:sp macro="" textlink="">
      <xdr:nvSpPr>
        <xdr:cNvPr id="475" name="AutoShape 1">
          <a:extLst>
            <a:ext uri="{FF2B5EF4-FFF2-40B4-BE49-F238E27FC236}">
              <a16:creationId xmlns:a16="http://schemas.microsoft.com/office/drawing/2014/main" id="{FDB8A4C4-3A9C-40C7-966C-3A2ED923F18F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71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309</xdr:row>
      <xdr:rowOff>0</xdr:rowOff>
    </xdr:from>
    <xdr:ext cx="304800" cy="304800"/>
    <xdr:sp macro="" textlink="">
      <xdr:nvSpPr>
        <xdr:cNvPr id="476" name="AutoShape 1">
          <a:extLst>
            <a:ext uri="{FF2B5EF4-FFF2-40B4-BE49-F238E27FC236}">
              <a16:creationId xmlns:a16="http://schemas.microsoft.com/office/drawing/2014/main" id="{9DE77E41-76CF-424D-BA80-07F5EFE1709B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71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309</xdr:row>
      <xdr:rowOff>0</xdr:rowOff>
    </xdr:from>
    <xdr:ext cx="304800" cy="304800"/>
    <xdr:sp macro="" textlink="">
      <xdr:nvSpPr>
        <xdr:cNvPr id="477" name="AutoShape 1">
          <a:extLst>
            <a:ext uri="{FF2B5EF4-FFF2-40B4-BE49-F238E27FC236}">
              <a16:creationId xmlns:a16="http://schemas.microsoft.com/office/drawing/2014/main" id="{67A265DD-40F9-4F74-B9B1-F9F62358831B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71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309</xdr:row>
      <xdr:rowOff>0</xdr:rowOff>
    </xdr:from>
    <xdr:ext cx="304800" cy="304800"/>
    <xdr:sp macro="" textlink="">
      <xdr:nvSpPr>
        <xdr:cNvPr id="478" name="AutoShape 1">
          <a:extLst>
            <a:ext uri="{FF2B5EF4-FFF2-40B4-BE49-F238E27FC236}">
              <a16:creationId xmlns:a16="http://schemas.microsoft.com/office/drawing/2014/main" id="{224A6DF8-3E17-481D-8233-E80569EF3FC3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71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309</xdr:row>
      <xdr:rowOff>0</xdr:rowOff>
    </xdr:from>
    <xdr:ext cx="304800" cy="304800"/>
    <xdr:sp macro="" textlink="">
      <xdr:nvSpPr>
        <xdr:cNvPr id="479" name="AutoShape 1">
          <a:extLst>
            <a:ext uri="{FF2B5EF4-FFF2-40B4-BE49-F238E27FC236}">
              <a16:creationId xmlns:a16="http://schemas.microsoft.com/office/drawing/2014/main" id="{A0A93704-F28B-4DAD-950B-2982682EC3E9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71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309</xdr:row>
      <xdr:rowOff>0</xdr:rowOff>
    </xdr:from>
    <xdr:ext cx="304800" cy="304800"/>
    <xdr:sp macro="" textlink="">
      <xdr:nvSpPr>
        <xdr:cNvPr id="480" name="AutoShape 1">
          <a:extLst>
            <a:ext uri="{FF2B5EF4-FFF2-40B4-BE49-F238E27FC236}">
              <a16:creationId xmlns:a16="http://schemas.microsoft.com/office/drawing/2014/main" id="{A7E64222-6D25-422C-890F-EE9D0FF4B76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71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309</xdr:row>
      <xdr:rowOff>0</xdr:rowOff>
    </xdr:from>
    <xdr:ext cx="304800" cy="304800"/>
    <xdr:sp macro="" textlink="">
      <xdr:nvSpPr>
        <xdr:cNvPr id="481" name="AutoShape 1">
          <a:extLst>
            <a:ext uri="{FF2B5EF4-FFF2-40B4-BE49-F238E27FC236}">
              <a16:creationId xmlns:a16="http://schemas.microsoft.com/office/drawing/2014/main" id="{6142AB23-52DC-42DC-8565-11A8801E31B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71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309</xdr:row>
      <xdr:rowOff>0</xdr:rowOff>
    </xdr:from>
    <xdr:ext cx="304800" cy="304800"/>
    <xdr:sp macro="" textlink="">
      <xdr:nvSpPr>
        <xdr:cNvPr id="482" name="AutoShape 1">
          <a:extLst>
            <a:ext uri="{FF2B5EF4-FFF2-40B4-BE49-F238E27FC236}">
              <a16:creationId xmlns:a16="http://schemas.microsoft.com/office/drawing/2014/main" id="{17E0BEED-C9EA-4C4B-ABBA-9FE4B926B3FA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71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309</xdr:row>
      <xdr:rowOff>0</xdr:rowOff>
    </xdr:from>
    <xdr:ext cx="304800" cy="304800"/>
    <xdr:sp macro="" textlink="">
      <xdr:nvSpPr>
        <xdr:cNvPr id="483" name="AutoShape 1">
          <a:extLst>
            <a:ext uri="{FF2B5EF4-FFF2-40B4-BE49-F238E27FC236}">
              <a16:creationId xmlns:a16="http://schemas.microsoft.com/office/drawing/2014/main" id="{6B59DC10-D675-4FDC-AAED-016DCE2985CB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71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309</xdr:row>
      <xdr:rowOff>0</xdr:rowOff>
    </xdr:from>
    <xdr:ext cx="304800" cy="304800"/>
    <xdr:sp macro="" textlink="">
      <xdr:nvSpPr>
        <xdr:cNvPr id="484" name="AutoShape 1">
          <a:extLst>
            <a:ext uri="{FF2B5EF4-FFF2-40B4-BE49-F238E27FC236}">
              <a16:creationId xmlns:a16="http://schemas.microsoft.com/office/drawing/2014/main" id="{7839190C-BC29-457F-8436-ED11EDEA482F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71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309</xdr:row>
      <xdr:rowOff>0</xdr:rowOff>
    </xdr:from>
    <xdr:ext cx="304800" cy="304800"/>
    <xdr:sp macro="" textlink="">
      <xdr:nvSpPr>
        <xdr:cNvPr id="485" name="AutoShape 1">
          <a:extLst>
            <a:ext uri="{FF2B5EF4-FFF2-40B4-BE49-F238E27FC236}">
              <a16:creationId xmlns:a16="http://schemas.microsoft.com/office/drawing/2014/main" id="{678B1CE9-8E89-4554-A630-114EC842555E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71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309</xdr:row>
      <xdr:rowOff>0</xdr:rowOff>
    </xdr:from>
    <xdr:ext cx="304800" cy="304800"/>
    <xdr:sp macro="" textlink="">
      <xdr:nvSpPr>
        <xdr:cNvPr id="486" name="AutoShape 1">
          <a:extLst>
            <a:ext uri="{FF2B5EF4-FFF2-40B4-BE49-F238E27FC236}">
              <a16:creationId xmlns:a16="http://schemas.microsoft.com/office/drawing/2014/main" id="{906881D6-47E7-44C7-91A7-7DC0E5FDC496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71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309</xdr:row>
      <xdr:rowOff>0</xdr:rowOff>
    </xdr:from>
    <xdr:ext cx="304800" cy="304800"/>
    <xdr:sp macro="" textlink="">
      <xdr:nvSpPr>
        <xdr:cNvPr id="487" name="AutoShape 1">
          <a:extLst>
            <a:ext uri="{FF2B5EF4-FFF2-40B4-BE49-F238E27FC236}">
              <a16:creationId xmlns:a16="http://schemas.microsoft.com/office/drawing/2014/main" id="{F229A0BB-C110-4918-8F14-82929C83340D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71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309</xdr:row>
      <xdr:rowOff>0</xdr:rowOff>
    </xdr:from>
    <xdr:ext cx="304800" cy="304800"/>
    <xdr:sp macro="" textlink="">
      <xdr:nvSpPr>
        <xdr:cNvPr id="488" name="AutoShape 1">
          <a:extLst>
            <a:ext uri="{FF2B5EF4-FFF2-40B4-BE49-F238E27FC236}">
              <a16:creationId xmlns:a16="http://schemas.microsoft.com/office/drawing/2014/main" id="{8934AF78-71C2-4FBC-AE28-E1BAD99C37AB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71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309</xdr:row>
      <xdr:rowOff>0</xdr:rowOff>
    </xdr:from>
    <xdr:ext cx="304800" cy="304800"/>
    <xdr:sp macro="" textlink="">
      <xdr:nvSpPr>
        <xdr:cNvPr id="489" name="AutoShape 1">
          <a:extLst>
            <a:ext uri="{FF2B5EF4-FFF2-40B4-BE49-F238E27FC236}">
              <a16:creationId xmlns:a16="http://schemas.microsoft.com/office/drawing/2014/main" id="{3C02091F-5BE8-4D87-8CD8-29DDB8154BFE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71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309</xdr:row>
      <xdr:rowOff>0</xdr:rowOff>
    </xdr:from>
    <xdr:ext cx="304800" cy="304800"/>
    <xdr:sp macro="" textlink="">
      <xdr:nvSpPr>
        <xdr:cNvPr id="490" name="AutoShape 1">
          <a:extLst>
            <a:ext uri="{FF2B5EF4-FFF2-40B4-BE49-F238E27FC236}">
              <a16:creationId xmlns:a16="http://schemas.microsoft.com/office/drawing/2014/main" id="{44E2A010-D074-49DE-BDEB-756A440F83B1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71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309</xdr:row>
      <xdr:rowOff>0</xdr:rowOff>
    </xdr:from>
    <xdr:ext cx="304800" cy="304800"/>
    <xdr:sp macro="" textlink="">
      <xdr:nvSpPr>
        <xdr:cNvPr id="491" name="AutoShape 1">
          <a:extLst>
            <a:ext uri="{FF2B5EF4-FFF2-40B4-BE49-F238E27FC236}">
              <a16:creationId xmlns:a16="http://schemas.microsoft.com/office/drawing/2014/main" id="{E47F98B8-EDAB-484A-81D5-DAE48A3036E4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71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309</xdr:row>
      <xdr:rowOff>0</xdr:rowOff>
    </xdr:from>
    <xdr:ext cx="304800" cy="304800"/>
    <xdr:sp macro="" textlink="">
      <xdr:nvSpPr>
        <xdr:cNvPr id="492" name="AutoShape 1">
          <a:extLst>
            <a:ext uri="{FF2B5EF4-FFF2-40B4-BE49-F238E27FC236}">
              <a16:creationId xmlns:a16="http://schemas.microsoft.com/office/drawing/2014/main" id="{6D6F7C2F-9985-41C4-96B1-D2EB1767DAB5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71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309</xdr:row>
      <xdr:rowOff>0</xdr:rowOff>
    </xdr:from>
    <xdr:ext cx="304800" cy="304800"/>
    <xdr:sp macro="" textlink="">
      <xdr:nvSpPr>
        <xdr:cNvPr id="493" name="AutoShape 1">
          <a:extLst>
            <a:ext uri="{FF2B5EF4-FFF2-40B4-BE49-F238E27FC236}">
              <a16:creationId xmlns:a16="http://schemas.microsoft.com/office/drawing/2014/main" id="{77A8A6A9-6BD0-40BB-A9D3-233CBCDB5DA2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71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309</xdr:row>
      <xdr:rowOff>0</xdr:rowOff>
    </xdr:from>
    <xdr:ext cx="304800" cy="304800"/>
    <xdr:sp macro="" textlink="">
      <xdr:nvSpPr>
        <xdr:cNvPr id="494" name="AutoShape 1">
          <a:extLst>
            <a:ext uri="{FF2B5EF4-FFF2-40B4-BE49-F238E27FC236}">
              <a16:creationId xmlns:a16="http://schemas.microsoft.com/office/drawing/2014/main" id="{C639008F-779A-48FE-9883-6AB4392481F5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71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309</xdr:row>
      <xdr:rowOff>0</xdr:rowOff>
    </xdr:from>
    <xdr:ext cx="304800" cy="304800"/>
    <xdr:sp macro="" textlink="">
      <xdr:nvSpPr>
        <xdr:cNvPr id="495" name="AutoShape 1">
          <a:extLst>
            <a:ext uri="{FF2B5EF4-FFF2-40B4-BE49-F238E27FC236}">
              <a16:creationId xmlns:a16="http://schemas.microsoft.com/office/drawing/2014/main" id="{99214299-37A7-4436-8A91-3773057D60BE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71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309</xdr:row>
      <xdr:rowOff>0</xdr:rowOff>
    </xdr:from>
    <xdr:ext cx="304800" cy="304800"/>
    <xdr:sp macro="" textlink="">
      <xdr:nvSpPr>
        <xdr:cNvPr id="496" name="AutoShape 1">
          <a:extLst>
            <a:ext uri="{FF2B5EF4-FFF2-40B4-BE49-F238E27FC236}">
              <a16:creationId xmlns:a16="http://schemas.microsoft.com/office/drawing/2014/main" id="{BB636E0B-673A-46BA-8DB0-56A2AD54AA60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71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309</xdr:row>
      <xdr:rowOff>0</xdr:rowOff>
    </xdr:from>
    <xdr:ext cx="304800" cy="304800"/>
    <xdr:sp macro="" textlink="">
      <xdr:nvSpPr>
        <xdr:cNvPr id="497" name="AutoShape 1">
          <a:extLst>
            <a:ext uri="{FF2B5EF4-FFF2-40B4-BE49-F238E27FC236}">
              <a16:creationId xmlns:a16="http://schemas.microsoft.com/office/drawing/2014/main" id="{FCC2EFAE-B314-47CE-B725-60DA55944E7A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71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309</xdr:row>
      <xdr:rowOff>0</xdr:rowOff>
    </xdr:from>
    <xdr:ext cx="304800" cy="304800"/>
    <xdr:sp macro="" textlink="">
      <xdr:nvSpPr>
        <xdr:cNvPr id="498" name="AutoShape 1">
          <a:extLst>
            <a:ext uri="{FF2B5EF4-FFF2-40B4-BE49-F238E27FC236}">
              <a16:creationId xmlns:a16="http://schemas.microsoft.com/office/drawing/2014/main" id="{1DB715D8-0340-476F-A7F0-033668045221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71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309</xdr:row>
      <xdr:rowOff>0</xdr:rowOff>
    </xdr:from>
    <xdr:ext cx="304800" cy="304800"/>
    <xdr:sp macro="" textlink="">
      <xdr:nvSpPr>
        <xdr:cNvPr id="499" name="AutoShape 1">
          <a:extLst>
            <a:ext uri="{FF2B5EF4-FFF2-40B4-BE49-F238E27FC236}">
              <a16:creationId xmlns:a16="http://schemas.microsoft.com/office/drawing/2014/main" id="{ACE0C059-2FD8-4718-B5BD-9BACA1032B9F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71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309</xdr:row>
      <xdr:rowOff>0</xdr:rowOff>
    </xdr:from>
    <xdr:ext cx="304800" cy="304800"/>
    <xdr:sp macro="" textlink="">
      <xdr:nvSpPr>
        <xdr:cNvPr id="500" name="AutoShape 1">
          <a:extLst>
            <a:ext uri="{FF2B5EF4-FFF2-40B4-BE49-F238E27FC236}">
              <a16:creationId xmlns:a16="http://schemas.microsoft.com/office/drawing/2014/main" id="{12FF027C-9FCF-448B-A8EE-A806BDFCC284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71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309</xdr:row>
      <xdr:rowOff>0</xdr:rowOff>
    </xdr:from>
    <xdr:ext cx="304800" cy="304800"/>
    <xdr:sp macro="" textlink="">
      <xdr:nvSpPr>
        <xdr:cNvPr id="501" name="AutoShape 1">
          <a:extLst>
            <a:ext uri="{FF2B5EF4-FFF2-40B4-BE49-F238E27FC236}">
              <a16:creationId xmlns:a16="http://schemas.microsoft.com/office/drawing/2014/main" id="{9B4EAC0A-4150-4C66-8347-F4222134C080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71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309</xdr:row>
      <xdr:rowOff>0</xdr:rowOff>
    </xdr:from>
    <xdr:ext cx="304800" cy="304800"/>
    <xdr:sp macro="" textlink="">
      <xdr:nvSpPr>
        <xdr:cNvPr id="502" name="AutoShape 1">
          <a:extLst>
            <a:ext uri="{FF2B5EF4-FFF2-40B4-BE49-F238E27FC236}">
              <a16:creationId xmlns:a16="http://schemas.microsoft.com/office/drawing/2014/main" id="{CD9B8743-D820-4537-B7C4-7DDECB5B0C2B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71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309</xdr:row>
      <xdr:rowOff>0</xdr:rowOff>
    </xdr:from>
    <xdr:ext cx="304800" cy="304800"/>
    <xdr:sp macro="" textlink="">
      <xdr:nvSpPr>
        <xdr:cNvPr id="503" name="AutoShape 1">
          <a:extLst>
            <a:ext uri="{FF2B5EF4-FFF2-40B4-BE49-F238E27FC236}">
              <a16:creationId xmlns:a16="http://schemas.microsoft.com/office/drawing/2014/main" id="{4A953566-9FB1-4A4F-B93F-9013982E1493}"/>
            </a:ext>
            <a:ext uri="{147F2762-F138-4A5C-976F-8EAC2B608ADB}">
              <a16:predDERef xmlns:a16="http://schemas.microsoft.com/office/drawing/2014/main" pred="{A9C9C4DB-4B97-447C-9099-E87BCB3C537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71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309</xdr:row>
      <xdr:rowOff>0</xdr:rowOff>
    </xdr:from>
    <xdr:ext cx="304800" cy="304800"/>
    <xdr:sp macro="" textlink="">
      <xdr:nvSpPr>
        <xdr:cNvPr id="504" name="AutoShape 1">
          <a:extLst>
            <a:ext uri="{FF2B5EF4-FFF2-40B4-BE49-F238E27FC236}">
              <a16:creationId xmlns:a16="http://schemas.microsoft.com/office/drawing/2014/main" id="{7A46C0E7-7E08-4A24-994E-785CF6F9C8D5}"/>
            </a:ext>
            <a:ext uri="{147F2762-F138-4A5C-976F-8EAC2B608ADB}">
              <a16:predDERef xmlns:a16="http://schemas.microsoft.com/office/drawing/2014/main" pred="{CD89554D-BD76-42AD-819A-278AD445B86E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71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309</xdr:row>
      <xdr:rowOff>0</xdr:rowOff>
    </xdr:from>
    <xdr:ext cx="304800" cy="304800"/>
    <xdr:sp macro="" textlink="">
      <xdr:nvSpPr>
        <xdr:cNvPr id="505" name="AutoShape 1">
          <a:extLst>
            <a:ext uri="{FF2B5EF4-FFF2-40B4-BE49-F238E27FC236}">
              <a16:creationId xmlns:a16="http://schemas.microsoft.com/office/drawing/2014/main" id="{EC09A65E-E5D6-4382-81E9-EE32072461B7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71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309</xdr:row>
      <xdr:rowOff>0</xdr:rowOff>
    </xdr:from>
    <xdr:ext cx="304800" cy="304800"/>
    <xdr:sp macro="" textlink="">
      <xdr:nvSpPr>
        <xdr:cNvPr id="506" name="AutoShape 1">
          <a:extLst>
            <a:ext uri="{FF2B5EF4-FFF2-40B4-BE49-F238E27FC236}">
              <a16:creationId xmlns:a16="http://schemas.microsoft.com/office/drawing/2014/main" id="{FBD39AA0-203C-4F37-87AC-531A64399E24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71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309</xdr:row>
      <xdr:rowOff>0</xdr:rowOff>
    </xdr:from>
    <xdr:ext cx="304800" cy="304800"/>
    <xdr:sp macro="" textlink="">
      <xdr:nvSpPr>
        <xdr:cNvPr id="507" name="AutoShape 1">
          <a:extLst>
            <a:ext uri="{FF2B5EF4-FFF2-40B4-BE49-F238E27FC236}">
              <a16:creationId xmlns:a16="http://schemas.microsoft.com/office/drawing/2014/main" id="{AA160A32-0FF1-4B1D-A4F4-C3E33127FBBB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71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309</xdr:row>
      <xdr:rowOff>0</xdr:rowOff>
    </xdr:from>
    <xdr:ext cx="304800" cy="304800"/>
    <xdr:sp macro="" textlink="">
      <xdr:nvSpPr>
        <xdr:cNvPr id="508" name="AutoShape 1">
          <a:extLst>
            <a:ext uri="{FF2B5EF4-FFF2-40B4-BE49-F238E27FC236}">
              <a16:creationId xmlns:a16="http://schemas.microsoft.com/office/drawing/2014/main" id="{E66A7A77-3E2A-4907-9C62-2EC50BE4E0FF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71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309</xdr:row>
      <xdr:rowOff>0</xdr:rowOff>
    </xdr:from>
    <xdr:ext cx="304800" cy="304800"/>
    <xdr:sp macro="" textlink="">
      <xdr:nvSpPr>
        <xdr:cNvPr id="509" name="AutoShape 1">
          <a:extLst>
            <a:ext uri="{FF2B5EF4-FFF2-40B4-BE49-F238E27FC236}">
              <a16:creationId xmlns:a16="http://schemas.microsoft.com/office/drawing/2014/main" id="{B691DD36-1FE3-4460-B34D-BC6CD371322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71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309</xdr:row>
      <xdr:rowOff>0</xdr:rowOff>
    </xdr:from>
    <xdr:ext cx="304800" cy="304800"/>
    <xdr:sp macro="" textlink="">
      <xdr:nvSpPr>
        <xdr:cNvPr id="510" name="AutoShape 1">
          <a:extLst>
            <a:ext uri="{FF2B5EF4-FFF2-40B4-BE49-F238E27FC236}">
              <a16:creationId xmlns:a16="http://schemas.microsoft.com/office/drawing/2014/main" id="{D03946BC-7E99-4209-9186-1CB722DA2E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71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309</xdr:row>
      <xdr:rowOff>0</xdr:rowOff>
    </xdr:from>
    <xdr:ext cx="304800" cy="304800"/>
    <xdr:sp macro="" textlink="">
      <xdr:nvSpPr>
        <xdr:cNvPr id="511" name="AutoShape 1">
          <a:extLst>
            <a:ext uri="{FF2B5EF4-FFF2-40B4-BE49-F238E27FC236}">
              <a16:creationId xmlns:a16="http://schemas.microsoft.com/office/drawing/2014/main" id="{83A23302-3F47-4CA6-9038-98DF27289B2E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71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309</xdr:row>
      <xdr:rowOff>0</xdr:rowOff>
    </xdr:from>
    <xdr:ext cx="304800" cy="304800"/>
    <xdr:sp macro="" textlink="">
      <xdr:nvSpPr>
        <xdr:cNvPr id="512" name="AutoShape 1">
          <a:extLst>
            <a:ext uri="{FF2B5EF4-FFF2-40B4-BE49-F238E27FC236}">
              <a16:creationId xmlns:a16="http://schemas.microsoft.com/office/drawing/2014/main" id="{075E75BB-8A7A-4099-B6A0-869393121BC9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71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309</xdr:row>
      <xdr:rowOff>0</xdr:rowOff>
    </xdr:from>
    <xdr:ext cx="304800" cy="304800"/>
    <xdr:sp macro="" textlink="">
      <xdr:nvSpPr>
        <xdr:cNvPr id="513" name="AutoShape 1">
          <a:extLst>
            <a:ext uri="{FF2B5EF4-FFF2-40B4-BE49-F238E27FC236}">
              <a16:creationId xmlns:a16="http://schemas.microsoft.com/office/drawing/2014/main" id="{869A26D5-8CD1-4C0C-AB49-CA6F9B97D77F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71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309</xdr:row>
      <xdr:rowOff>0</xdr:rowOff>
    </xdr:from>
    <xdr:ext cx="304800" cy="304800"/>
    <xdr:sp macro="" textlink="">
      <xdr:nvSpPr>
        <xdr:cNvPr id="514" name="AutoShape 1">
          <a:extLst>
            <a:ext uri="{FF2B5EF4-FFF2-40B4-BE49-F238E27FC236}">
              <a16:creationId xmlns:a16="http://schemas.microsoft.com/office/drawing/2014/main" id="{11122D0A-1FDA-4E27-B5B5-67017D6FCA2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71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309</xdr:row>
      <xdr:rowOff>0</xdr:rowOff>
    </xdr:from>
    <xdr:ext cx="304800" cy="304800"/>
    <xdr:sp macro="" textlink="">
      <xdr:nvSpPr>
        <xdr:cNvPr id="515" name="AutoShape 1">
          <a:extLst>
            <a:ext uri="{FF2B5EF4-FFF2-40B4-BE49-F238E27FC236}">
              <a16:creationId xmlns:a16="http://schemas.microsoft.com/office/drawing/2014/main" id="{1996D820-0009-4A0D-83EE-AAA77121CCC9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71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309</xdr:row>
      <xdr:rowOff>0</xdr:rowOff>
    </xdr:from>
    <xdr:ext cx="304800" cy="304800"/>
    <xdr:sp macro="" textlink="">
      <xdr:nvSpPr>
        <xdr:cNvPr id="516" name="AutoShape 1">
          <a:extLst>
            <a:ext uri="{FF2B5EF4-FFF2-40B4-BE49-F238E27FC236}">
              <a16:creationId xmlns:a16="http://schemas.microsoft.com/office/drawing/2014/main" id="{F3C6460B-11CB-4CDE-809C-CB7F1297133C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71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309</xdr:row>
      <xdr:rowOff>0</xdr:rowOff>
    </xdr:from>
    <xdr:ext cx="304800" cy="304800"/>
    <xdr:sp macro="" textlink="">
      <xdr:nvSpPr>
        <xdr:cNvPr id="517" name="AutoShape 1">
          <a:extLst>
            <a:ext uri="{FF2B5EF4-FFF2-40B4-BE49-F238E27FC236}">
              <a16:creationId xmlns:a16="http://schemas.microsoft.com/office/drawing/2014/main" id="{0AB11666-D4D4-4745-A2DB-2AAD1DE6CFF9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71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309</xdr:row>
      <xdr:rowOff>0</xdr:rowOff>
    </xdr:from>
    <xdr:ext cx="304800" cy="304800"/>
    <xdr:sp macro="" textlink="">
      <xdr:nvSpPr>
        <xdr:cNvPr id="518" name="AutoShape 1">
          <a:extLst>
            <a:ext uri="{FF2B5EF4-FFF2-40B4-BE49-F238E27FC236}">
              <a16:creationId xmlns:a16="http://schemas.microsoft.com/office/drawing/2014/main" id="{F9B6C7CB-A299-4E85-AAA1-881CB5BF334C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71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309</xdr:row>
      <xdr:rowOff>0</xdr:rowOff>
    </xdr:from>
    <xdr:ext cx="304800" cy="304800"/>
    <xdr:sp macro="" textlink="">
      <xdr:nvSpPr>
        <xdr:cNvPr id="519" name="AutoShape 1">
          <a:extLst>
            <a:ext uri="{FF2B5EF4-FFF2-40B4-BE49-F238E27FC236}">
              <a16:creationId xmlns:a16="http://schemas.microsoft.com/office/drawing/2014/main" id="{BD382478-F6CB-4ACD-937E-6897EE127883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71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309</xdr:row>
      <xdr:rowOff>0</xdr:rowOff>
    </xdr:from>
    <xdr:ext cx="304800" cy="304800"/>
    <xdr:sp macro="" textlink="">
      <xdr:nvSpPr>
        <xdr:cNvPr id="520" name="AutoShape 1">
          <a:extLst>
            <a:ext uri="{FF2B5EF4-FFF2-40B4-BE49-F238E27FC236}">
              <a16:creationId xmlns:a16="http://schemas.microsoft.com/office/drawing/2014/main" id="{E004A450-8428-4CF7-86CB-61A673D9E9F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71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309</xdr:row>
      <xdr:rowOff>0</xdr:rowOff>
    </xdr:from>
    <xdr:ext cx="304800" cy="304800"/>
    <xdr:sp macro="" textlink="">
      <xdr:nvSpPr>
        <xdr:cNvPr id="521" name="AutoShape 1">
          <a:extLst>
            <a:ext uri="{FF2B5EF4-FFF2-40B4-BE49-F238E27FC236}">
              <a16:creationId xmlns:a16="http://schemas.microsoft.com/office/drawing/2014/main" id="{7BA04823-460C-4D71-8B8C-BE6B7CC62968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71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309</xdr:row>
      <xdr:rowOff>0</xdr:rowOff>
    </xdr:from>
    <xdr:ext cx="304800" cy="304800"/>
    <xdr:sp macro="" textlink="">
      <xdr:nvSpPr>
        <xdr:cNvPr id="522" name="AutoShape 1">
          <a:extLst>
            <a:ext uri="{FF2B5EF4-FFF2-40B4-BE49-F238E27FC236}">
              <a16:creationId xmlns:a16="http://schemas.microsoft.com/office/drawing/2014/main" id="{3478769D-321B-4419-AA3C-0297239F25D4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71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309</xdr:row>
      <xdr:rowOff>0</xdr:rowOff>
    </xdr:from>
    <xdr:ext cx="304800" cy="304800"/>
    <xdr:sp macro="" textlink="">
      <xdr:nvSpPr>
        <xdr:cNvPr id="523" name="AutoShape 1">
          <a:extLst>
            <a:ext uri="{FF2B5EF4-FFF2-40B4-BE49-F238E27FC236}">
              <a16:creationId xmlns:a16="http://schemas.microsoft.com/office/drawing/2014/main" id="{75907683-53BF-4818-859D-41EB9C429909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71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309</xdr:row>
      <xdr:rowOff>0</xdr:rowOff>
    </xdr:from>
    <xdr:ext cx="304800" cy="304800"/>
    <xdr:sp macro="" textlink="">
      <xdr:nvSpPr>
        <xdr:cNvPr id="524" name="AutoShape 1">
          <a:extLst>
            <a:ext uri="{FF2B5EF4-FFF2-40B4-BE49-F238E27FC236}">
              <a16:creationId xmlns:a16="http://schemas.microsoft.com/office/drawing/2014/main" id="{ADD597B3-585D-4B6A-99FC-CB493F81E6E6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71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309</xdr:row>
      <xdr:rowOff>0</xdr:rowOff>
    </xdr:from>
    <xdr:ext cx="304800" cy="304800"/>
    <xdr:sp macro="" textlink="">
      <xdr:nvSpPr>
        <xdr:cNvPr id="525" name="AutoShape 1">
          <a:extLst>
            <a:ext uri="{FF2B5EF4-FFF2-40B4-BE49-F238E27FC236}">
              <a16:creationId xmlns:a16="http://schemas.microsoft.com/office/drawing/2014/main" id="{85C49681-CEBB-46F6-BFD8-E0BE5C98CC0B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71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309</xdr:row>
      <xdr:rowOff>0</xdr:rowOff>
    </xdr:from>
    <xdr:ext cx="304800" cy="304800"/>
    <xdr:sp macro="" textlink="">
      <xdr:nvSpPr>
        <xdr:cNvPr id="526" name="AutoShape 1">
          <a:extLst>
            <a:ext uri="{FF2B5EF4-FFF2-40B4-BE49-F238E27FC236}">
              <a16:creationId xmlns:a16="http://schemas.microsoft.com/office/drawing/2014/main" id="{DB7B30CC-C199-49D5-8EA0-D58E0C91A82F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71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309</xdr:row>
      <xdr:rowOff>0</xdr:rowOff>
    </xdr:from>
    <xdr:ext cx="304800" cy="304800"/>
    <xdr:sp macro="" textlink="">
      <xdr:nvSpPr>
        <xdr:cNvPr id="527" name="AutoShape 1">
          <a:extLst>
            <a:ext uri="{FF2B5EF4-FFF2-40B4-BE49-F238E27FC236}">
              <a16:creationId xmlns:a16="http://schemas.microsoft.com/office/drawing/2014/main" id="{0F29001B-7869-46A6-8B21-41A061E79BFF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71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309</xdr:row>
      <xdr:rowOff>0</xdr:rowOff>
    </xdr:from>
    <xdr:ext cx="304800" cy="304800"/>
    <xdr:sp macro="" textlink="">
      <xdr:nvSpPr>
        <xdr:cNvPr id="528" name="AutoShape 1">
          <a:extLst>
            <a:ext uri="{FF2B5EF4-FFF2-40B4-BE49-F238E27FC236}">
              <a16:creationId xmlns:a16="http://schemas.microsoft.com/office/drawing/2014/main" id="{5628BAE5-1137-40EF-8DD3-DAC831C30B70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71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309</xdr:row>
      <xdr:rowOff>0</xdr:rowOff>
    </xdr:from>
    <xdr:ext cx="304800" cy="304800"/>
    <xdr:sp macro="" textlink="">
      <xdr:nvSpPr>
        <xdr:cNvPr id="529" name="AutoShape 1">
          <a:extLst>
            <a:ext uri="{FF2B5EF4-FFF2-40B4-BE49-F238E27FC236}">
              <a16:creationId xmlns:a16="http://schemas.microsoft.com/office/drawing/2014/main" id="{A9E88730-6C81-406B-B589-070F08377091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71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309</xdr:row>
      <xdr:rowOff>0</xdr:rowOff>
    </xdr:from>
    <xdr:ext cx="304800" cy="304800"/>
    <xdr:sp macro="" textlink="">
      <xdr:nvSpPr>
        <xdr:cNvPr id="530" name="AutoShape 1">
          <a:extLst>
            <a:ext uri="{FF2B5EF4-FFF2-40B4-BE49-F238E27FC236}">
              <a16:creationId xmlns:a16="http://schemas.microsoft.com/office/drawing/2014/main" id="{5A2800F5-0896-46EB-8F41-564117F49874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71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309</xdr:row>
      <xdr:rowOff>0</xdr:rowOff>
    </xdr:from>
    <xdr:ext cx="304800" cy="304800"/>
    <xdr:sp macro="" textlink="">
      <xdr:nvSpPr>
        <xdr:cNvPr id="531" name="AutoShape 1">
          <a:extLst>
            <a:ext uri="{FF2B5EF4-FFF2-40B4-BE49-F238E27FC236}">
              <a16:creationId xmlns:a16="http://schemas.microsoft.com/office/drawing/2014/main" id="{7E43A038-E9E4-4365-806C-176772D6E8B8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71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309</xdr:row>
      <xdr:rowOff>0</xdr:rowOff>
    </xdr:from>
    <xdr:ext cx="304800" cy="304800"/>
    <xdr:sp macro="" textlink="">
      <xdr:nvSpPr>
        <xdr:cNvPr id="532" name="AutoShape 1">
          <a:extLst>
            <a:ext uri="{FF2B5EF4-FFF2-40B4-BE49-F238E27FC236}">
              <a16:creationId xmlns:a16="http://schemas.microsoft.com/office/drawing/2014/main" id="{B4E31915-54DA-4FBC-959E-6C8A4DEB5AE4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71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309</xdr:row>
      <xdr:rowOff>0</xdr:rowOff>
    </xdr:from>
    <xdr:ext cx="304800" cy="304800"/>
    <xdr:sp macro="" textlink="">
      <xdr:nvSpPr>
        <xdr:cNvPr id="533" name="AutoShape 1">
          <a:extLst>
            <a:ext uri="{FF2B5EF4-FFF2-40B4-BE49-F238E27FC236}">
              <a16:creationId xmlns:a16="http://schemas.microsoft.com/office/drawing/2014/main" id="{287B0AAA-30F9-4C7F-AC14-C9760B177E98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71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309</xdr:row>
      <xdr:rowOff>0</xdr:rowOff>
    </xdr:from>
    <xdr:ext cx="304800" cy="304800"/>
    <xdr:sp macro="" textlink="">
      <xdr:nvSpPr>
        <xdr:cNvPr id="534" name="AutoShape 1">
          <a:extLst>
            <a:ext uri="{FF2B5EF4-FFF2-40B4-BE49-F238E27FC236}">
              <a16:creationId xmlns:a16="http://schemas.microsoft.com/office/drawing/2014/main" id="{71F9FC3A-4FD0-41E9-8191-72F26D949996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71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309</xdr:row>
      <xdr:rowOff>0</xdr:rowOff>
    </xdr:from>
    <xdr:ext cx="304800" cy="304800"/>
    <xdr:sp macro="" textlink="">
      <xdr:nvSpPr>
        <xdr:cNvPr id="535" name="AutoShape 1">
          <a:extLst>
            <a:ext uri="{FF2B5EF4-FFF2-40B4-BE49-F238E27FC236}">
              <a16:creationId xmlns:a16="http://schemas.microsoft.com/office/drawing/2014/main" id="{B2F558FB-D3F3-4964-90CF-D42149F9AECC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71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309</xdr:row>
      <xdr:rowOff>0</xdr:rowOff>
    </xdr:from>
    <xdr:ext cx="304800" cy="304800"/>
    <xdr:sp macro="" textlink="">
      <xdr:nvSpPr>
        <xdr:cNvPr id="536" name="AutoShape 1">
          <a:extLst>
            <a:ext uri="{FF2B5EF4-FFF2-40B4-BE49-F238E27FC236}">
              <a16:creationId xmlns:a16="http://schemas.microsoft.com/office/drawing/2014/main" id="{D23741D7-95A8-42C6-B424-93D9EE61FF5A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71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309</xdr:row>
      <xdr:rowOff>0</xdr:rowOff>
    </xdr:from>
    <xdr:ext cx="304800" cy="304800"/>
    <xdr:sp macro="" textlink="">
      <xdr:nvSpPr>
        <xdr:cNvPr id="537" name="AutoShape 1">
          <a:extLst>
            <a:ext uri="{FF2B5EF4-FFF2-40B4-BE49-F238E27FC236}">
              <a16:creationId xmlns:a16="http://schemas.microsoft.com/office/drawing/2014/main" id="{A470FA00-7635-44E1-B7BA-F15DF95992D5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71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309</xdr:row>
      <xdr:rowOff>0</xdr:rowOff>
    </xdr:from>
    <xdr:ext cx="304800" cy="304800"/>
    <xdr:sp macro="" textlink="">
      <xdr:nvSpPr>
        <xdr:cNvPr id="538" name="AutoShape 1">
          <a:extLst>
            <a:ext uri="{FF2B5EF4-FFF2-40B4-BE49-F238E27FC236}">
              <a16:creationId xmlns:a16="http://schemas.microsoft.com/office/drawing/2014/main" id="{0880D637-AF81-494B-AC75-31E42BD01C22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71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309</xdr:row>
      <xdr:rowOff>0</xdr:rowOff>
    </xdr:from>
    <xdr:ext cx="304800" cy="304800"/>
    <xdr:sp macro="" textlink="">
      <xdr:nvSpPr>
        <xdr:cNvPr id="539" name="AutoShape 1">
          <a:extLst>
            <a:ext uri="{FF2B5EF4-FFF2-40B4-BE49-F238E27FC236}">
              <a16:creationId xmlns:a16="http://schemas.microsoft.com/office/drawing/2014/main" id="{84AD6622-0352-4E4F-B71B-EB7648F9E212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71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309</xdr:row>
      <xdr:rowOff>0</xdr:rowOff>
    </xdr:from>
    <xdr:ext cx="304800" cy="304800"/>
    <xdr:sp macro="" textlink="">
      <xdr:nvSpPr>
        <xdr:cNvPr id="540" name="AutoShape 1">
          <a:extLst>
            <a:ext uri="{FF2B5EF4-FFF2-40B4-BE49-F238E27FC236}">
              <a16:creationId xmlns:a16="http://schemas.microsoft.com/office/drawing/2014/main" id="{460225FC-D235-481F-A423-B8785FC82527}"/>
            </a:ext>
            <a:ext uri="{147F2762-F138-4A5C-976F-8EAC2B608ADB}">
              <a16:predDERef xmlns:a16="http://schemas.microsoft.com/office/drawing/2014/main" pred="{A9C9C4DB-4B97-447C-9099-E87BCB3C537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71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309</xdr:row>
      <xdr:rowOff>0</xdr:rowOff>
    </xdr:from>
    <xdr:ext cx="304800" cy="304800"/>
    <xdr:sp macro="" textlink="">
      <xdr:nvSpPr>
        <xdr:cNvPr id="541" name="AutoShape 1">
          <a:extLst>
            <a:ext uri="{FF2B5EF4-FFF2-40B4-BE49-F238E27FC236}">
              <a16:creationId xmlns:a16="http://schemas.microsoft.com/office/drawing/2014/main" id="{2E927B4C-7457-4BD5-A3C6-5D87C1B2C855}"/>
            </a:ext>
            <a:ext uri="{147F2762-F138-4A5C-976F-8EAC2B608ADB}">
              <a16:predDERef xmlns:a16="http://schemas.microsoft.com/office/drawing/2014/main" pred="{CD89554D-BD76-42AD-819A-278AD445B86E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71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309</xdr:row>
      <xdr:rowOff>0</xdr:rowOff>
    </xdr:from>
    <xdr:ext cx="304800" cy="304800"/>
    <xdr:sp macro="" textlink="">
      <xdr:nvSpPr>
        <xdr:cNvPr id="542" name="AutoShape 1">
          <a:extLst>
            <a:ext uri="{FF2B5EF4-FFF2-40B4-BE49-F238E27FC236}">
              <a16:creationId xmlns:a16="http://schemas.microsoft.com/office/drawing/2014/main" id="{B997A7C4-0C03-43E3-8148-02E89E4E541F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71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309</xdr:row>
      <xdr:rowOff>0</xdr:rowOff>
    </xdr:from>
    <xdr:ext cx="304800" cy="304800"/>
    <xdr:sp macro="" textlink="">
      <xdr:nvSpPr>
        <xdr:cNvPr id="543" name="AutoShape 1">
          <a:extLst>
            <a:ext uri="{FF2B5EF4-FFF2-40B4-BE49-F238E27FC236}">
              <a16:creationId xmlns:a16="http://schemas.microsoft.com/office/drawing/2014/main" id="{E12DCEC7-E50F-40FF-9087-7020B4FDC371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71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309</xdr:row>
      <xdr:rowOff>0</xdr:rowOff>
    </xdr:from>
    <xdr:ext cx="304800" cy="304800"/>
    <xdr:sp macro="" textlink="">
      <xdr:nvSpPr>
        <xdr:cNvPr id="544" name="AutoShape 1">
          <a:extLst>
            <a:ext uri="{FF2B5EF4-FFF2-40B4-BE49-F238E27FC236}">
              <a16:creationId xmlns:a16="http://schemas.microsoft.com/office/drawing/2014/main" id="{9A4E43CA-9878-422B-A295-6C72B3EE19C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71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309</xdr:row>
      <xdr:rowOff>0</xdr:rowOff>
    </xdr:from>
    <xdr:ext cx="304800" cy="304800"/>
    <xdr:sp macro="" textlink="">
      <xdr:nvSpPr>
        <xdr:cNvPr id="545" name="AutoShape 1">
          <a:extLst>
            <a:ext uri="{FF2B5EF4-FFF2-40B4-BE49-F238E27FC236}">
              <a16:creationId xmlns:a16="http://schemas.microsoft.com/office/drawing/2014/main" id="{3CD8BB23-2C8A-4069-B2E6-0EC5BAF12324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71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309</xdr:row>
      <xdr:rowOff>0</xdr:rowOff>
    </xdr:from>
    <xdr:ext cx="304800" cy="304800"/>
    <xdr:sp macro="" textlink="">
      <xdr:nvSpPr>
        <xdr:cNvPr id="546" name="AutoShape 1">
          <a:extLst>
            <a:ext uri="{FF2B5EF4-FFF2-40B4-BE49-F238E27FC236}">
              <a16:creationId xmlns:a16="http://schemas.microsoft.com/office/drawing/2014/main" id="{C70A8A7F-083F-4A81-A306-66433A53F933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71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309</xdr:row>
      <xdr:rowOff>0</xdr:rowOff>
    </xdr:from>
    <xdr:ext cx="304800" cy="304800"/>
    <xdr:sp macro="" textlink="">
      <xdr:nvSpPr>
        <xdr:cNvPr id="547" name="AutoShape 1">
          <a:extLst>
            <a:ext uri="{FF2B5EF4-FFF2-40B4-BE49-F238E27FC236}">
              <a16:creationId xmlns:a16="http://schemas.microsoft.com/office/drawing/2014/main" id="{42F9DAFF-9DA2-449A-82ED-A15F5E613569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71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309</xdr:row>
      <xdr:rowOff>0</xdr:rowOff>
    </xdr:from>
    <xdr:ext cx="304800" cy="304800"/>
    <xdr:sp macro="" textlink="">
      <xdr:nvSpPr>
        <xdr:cNvPr id="548" name="AutoShape 1">
          <a:extLst>
            <a:ext uri="{FF2B5EF4-FFF2-40B4-BE49-F238E27FC236}">
              <a16:creationId xmlns:a16="http://schemas.microsoft.com/office/drawing/2014/main" id="{C20473DD-6B56-4DF9-8D05-E637ADEEB60B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71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309</xdr:row>
      <xdr:rowOff>0</xdr:rowOff>
    </xdr:from>
    <xdr:ext cx="304800" cy="304800"/>
    <xdr:sp macro="" textlink="">
      <xdr:nvSpPr>
        <xdr:cNvPr id="549" name="AutoShape 1">
          <a:extLst>
            <a:ext uri="{FF2B5EF4-FFF2-40B4-BE49-F238E27FC236}">
              <a16:creationId xmlns:a16="http://schemas.microsoft.com/office/drawing/2014/main" id="{6DF97CE1-A8BD-41F6-BAAD-89342607BCFE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71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309</xdr:row>
      <xdr:rowOff>0</xdr:rowOff>
    </xdr:from>
    <xdr:ext cx="304800" cy="304800"/>
    <xdr:sp macro="" textlink="">
      <xdr:nvSpPr>
        <xdr:cNvPr id="550" name="AutoShape 1">
          <a:extLst>
            <a:ext uri="{FF2B5EF4-FFF2-40B4-BE49-F238E27FC236}">
              <a16:creationId xmlns:a16="http://schemas.microsoft.com/office/drawing/2014/main" id="{A11F7375-309B-435B-ADD2-1DDAAB5AFB7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71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309</xdr:row>
      <xdr:rowOff>0</xdr:rowOff>
    </xdr:from>
    <xdr:ext cx="304800" cy="304800"/>
    <xdr:sp macro="" textlink="">
      <xdr:nvSpPr>
        <xdr:cNvPr id="551" name="AutoShape 1">
          <a:extLst>
            <a:ext uri="{FF2B5EF4-FFF2-40B4-BE49-F238E27FC236}">
              <a16:creationId xmlns:a16="http://schemas.microsoft.com/office/drawing/2014/main" id="{F4B01D69-2FC3-45E5-8557-991A730A50DB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71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309</xdr:row>
      <xdr:rowOff>0</xdr:rowOff>
    </xdr:from>
    <xdr:ext cx="304800" cy="304800"/>
    <xdr:sp macro="" textlink="">
      <xdr:nvSpPr>
        <xdr:cNvPr id="552" name="AutoShape 1">
          <a:extLst>
            <a:ext uri="{FF2B5EF4-FFF2-40B4-BE49-F238E27FC236}">
              <a16:creationId xmlns:a16="http://schemas.microsoft.com/office/drawing/2014/main" id="{427104BC-9AC9-44F1-AA9F-4F2BD7BCE58C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71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309</xdr:row>
      <xdr:rowOff>0</xdr:rowOff>
    </xdr:from>
    <xdr:ext cx="304800" cy="304800"/>
    <xdr:sp macro="" textlink="">
      <xdr:nvSpPr>
        <xdr:cNvPr id="553" name="AutoShape 1">
          <a:extLst>
            <a:ext uri="{FF2B5EF4-FFF2-40B4-BE49-F238E27FC236}">
              <a16:creationId xmlns:a16="http://schemas.microsoft.com/office/drawing/2014/main" id="{23038F5D-C5FB-4CA0-91ED-053D8BA7B58F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71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309</xdr:row>
      <xdr:rowOff>0</xdr:rowOff>
    </xdr:from>
    <xdr:ext cx="304800" cy="304800"/>
    <xdr:sp macro="" textlink="">
      <xdr:nvSpPr>
        <xdr:cNvPr id="554" name="AutoShape 1">
          <a:extLst>
            <a:ext uri="{FF2B5EF4-FFF2-40B4-BE49-F238E27FC236}">
              <a16:creationId xmlns:a16="http://schemas.microsoft.com/office/drawing/2014/main" id="{66B1EC4D-D36E-4C51-B14E-85C594DA6684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71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309</xdr:row>
      <xdr:rowOff>0</xdr:rowOff>
    </xdr:from>
    <xdr:ext cx="304800" cy="304800"/>
    <xdr:sp macro="" textlink="">
      <xdr:nvSpPr>
        <xdr:cNvPr id="555" name="AutoShape 1">
          <a:extLst>
            <a:ext uri="{FF2B5EF4-FFF2-40B4-BE49-F238E27FC236}">
              <a16:creationId xmlns:a16="http://schemas.microsoft.com/office/drawing/2014/main" id="{DCCE4628-97AB-4038-89C1-28ED2E6FE36C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71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309</xdr:row>
      <xdr:rowOff>0</xdr:rowOff>
    </xdr:from>
    <xdr:ext cx="304800" cy="304800"/>
    <xdr:sp macro="" textlink="">
      <xdr:nvSpPr>
        <xdr:cNvPr id="556" name="AutoShape 1">
          <a:extLst>
            <a:ext uri="{FF2B5EF4-FFF2-40B4-BE49-F238E27FC236}">
              <a16:creationId xmlns:a16="http://schemas.microsoft.com/office/drawing/2014/main" id="{37F92E06-8DB0-4AC5-8460-DBA7F7458FA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71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309</xdr:row>
      <xdr:rowOff>0</xdr:rowOff>
    </xdr:from>
    <xdr:ext cx="304800" cy="304800"/>
    <xdr:sp macro="" textlink="">
      <xdr:nvSpPr>
        <xdr:cNvPr id="557" name="AutoShape 1">
          <a:extLst>
            <a:ext uri="{FF2B5EF4-FFF2-40B4-BE49-F238E27FC236}">
              <a16:creationId xmlns:a16="http://schemas.microsoft.com/office/drawing/2014/main" id="{E7E32004-AB29-4D28-98DC-22A0597692F4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71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309</xdr:row>
      <xdr:rowOff>0</xdr:rowOff>
    </xdr:from>
    <xdr:ext cx="304800" cy="304800"/>
    <xdr:sp macro="" textlink="">
      <xdr:nvSpPr>
        <xdr:cNvPr id="558" name="AutoShape 1">
          <a:extLst>
            <a:ext uri="{FF2B5EF4-FFF2-40B4-BE49-F238E27FC236}">
              <a16:creationId xmlns:a16="http://schemas.microsoft.com/office/drawing/2014/main" id="{2CE541FA-1AC8-4A01-BDB8-98E3CBCCC765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71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309</xdr:row>
      <xdr:rowOff>0</xdr:rowOff>
    </xdr:from>
    <xdr:ext cx="304800" cy="304800"/>
    <xdr:sp macro="" textlink="">
      <xdr:nvSpPr>
        <xdr:cNvPr id="559" name="AutoShape 1">
          <a:extLst>
            <a:ext uri="{FF2B5EF4-FFF2-40B4-BE49-F238E27FC236}">
              <a16:creationId xmlns:a16="http://schemas.microsoft.com/office/drawing/2014/main" id="{76E60C3D-FCE6-4AD0-91C7-5B6C7213D4ED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71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309</xdr:row>
      <xdr:rowOff>0</xdr:rowOff>
    </xdr:from>
    <xdr:ext cx="304800" cy="304800"/>
    <xdr:sp macro="" textlink="">
      <xdr:nvSpPr>
        <xdr:cNvPr id="560" name="AutoShape 1">
          <a:extLst>
            <a:ext uri="{FF2B5EF4-FFF2-40B4-BE49-F238E27FC236}">
              <a16:creationId xmlns:a16="http://schemas.microsoft.com/office/drawing/2014/main" id="{6152D081-DE54-4CD0-A5F3-F8671D6CCC71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71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309</xdr:row>
      <xdr:rowOff>0</xdr:rowOff>
    </xdr:from>
    <xdr:ext cx="304800" cy="304800"/>
    <xdr:sp macro="" textlink="">
      <xdr:nvSpPr>
        <xdr:cNvPr id="561" name="AutoShape 1">
          <a:extLst>
            <a:ext uri="{FF2B5EF4-FFF2-40B4-BE49-F238E27FC236}">
              <a16:creationId xmlns:a16="http://schemas.microsoft.com/office/drawing/2014/main" id="{9CBF7376-7BA5-4575-910B-F2408F38161E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71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309</xdr:row>
      <xdr:rowOff>0</xdr:rowOff>
    </xdr:from>
    <xdr:ext cx="304800" cy="304800"/>
    <xdr:sp macro="" textlink="">
      <xdr:nvSpPr>
        <xdr:cNvPr id="562" name="AutoShape 1">
          <a:extLst>
            <a:ext uri="{FF2B5EF4-FFF2-40B4-BE49-F238E27FC236}">
              <a16:creationId xmlns:a16="http://schemas.microsoft.com/office/drawing/2014/main" id="{B5AF631B-30FC-4CCD-A916-EE91D858F47A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71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309</xdr:row>
      <xdr:rowOff>0</xdr:rowOff>
    </xdr:from>
    <xdr:ext cx="304800" cy="304800"/>
    <xdr:sp macro="" textlink="">
      <xdr:nvSpPr>
        <xdr:cNvPr id="563" name="AutoShape 1">
          <a:extLst>
            <a:ext uri="{FF2B5EF4-FFF2-40B4-BE49-F238E27FC236}">
              <a16:creationId xmlns:a16="http://schemas.microsoft.com/office/drawing/2014/main" id="{3092774E-DFD6-4B7B-86F3-E9BECD51E8B4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71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309</xdr:row>
      <xdr:rowOff>0</xdr:rowOff>
    </xdr:from>
    <xdr:ext cx="304800" cy="304800"/>
    <xdr:sp macro="" textlink="">
      <xdr:nvSpPr>
        <xdr:cNvPr id="564" name="AutoShape 1">
          <a:extLst>
            <a:ext uri="{FF2B5EF4-FFF2-40B4-BE49-F238E27FC236}">
              <a16:creationId xmlns:a16="http://schemas.microsoft.com/office/drawing/2014/main" id="{DD5AD8CA-0E82-4680-ADE1-646C17A41570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71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309</xdr:row>
      <xdr:rowOff>0</xdr:rowOff>
    </xdr:from>
    <xdr:ext cx="304800" cy="304800"/>
    <xdr:sp macro="" textlink="">
      <xdr:nvSpPr>
        <xdr:cNvPr id="565" name="AutoShape 1">
          <a:extLst>
            <a:ext uri="{FF2B5EF4-FFF2-40B4-BE49-F238E27FC236}">
              <a16:creationId xmlns:a16="http://schemas.microsoft.com/office/drawing/2014/main" id="{9885B353-1F70-4D52-9EA0-32C0BBCC9815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71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309</xdr:row>
      <xdr:rowOff>0</xdr:rowOff>
    </xdr:from>
    <xdr:ext cx="304800" cy="304800"/>
    <xdr:sp macro="" textlink="">
      <xdr:nvSpPr>
        <xdr:cNvPr id="566" name="AutoShape 1">
          <a:extLst>
            <a:ext uri="{FF2B5EF4-FFF2-40B4-BE49-F238E27FC236}">
              <a16:creationId xmlns:a16="http://schemas.microsoft.com/office/drawing/2014/main" id="{E71BDF1B-ABEB-4113-8E6E-DDD4B2B9B07F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71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309</xdr:row>
      <xdr:rowOff>0</xdr:rowOff>
    </xdr:from>
    <xdr:ext cx="304800" cy="304800"/>
    <xdr:sp macro="" textlink="">
      <xdr:nvSpPr>
        <xdr:cNvPr id="567" name="AutoShape 1">
          <a:extLst>
            <a:ext uri="{FF2B5EF4-FFF2-40B4-BE49-F238E27FC236}">
              <a16:creationId xmlns:a16="http://schemas.microsoft.com/office/drawing/2014/main" id="{113CAEA0-0217-4ED2-BB29-82BEAA287F69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71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309</xdr:row>
      <xdr:rowOff>0</xdr:rowOff>
    </xdr:from>
    <xdr:ext cx="304800" cy="304800"/>
    <xdr:sp macro="" textlink="">
      <xdr:nvSpPr>
        <xdr:cNvPr id="568" name="AutoShape 1">
          <a:extLst>
            <a:ext uri="{FF2B5EF4-FFF2-40B4-BE49-F238E27FC236}">
              <a16:creationId xmlns:a16="http://schemas.microsoft.com/office/drawing/2014/main" id="{9696FF5F-F654-4D48-9ACC-B79B0A3AFDF9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71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309</xdr:row>
      <xdr:rowOff>0</xdr:rowOff>
    </xdr:from>
    <xdr:ext cx="304800" cy="304800"/>
    <xdr:sp macro="" textlink="">
      <xdr:nvSpPr>
        <xdr:cNvPr id="569" name="AutoShape 1">
          <a:extLst>
            <a:ext uri="{FF2B5EF4-FFF2-40B4-BE49-F238E27FC236}">
              <a16:creationId xmlns:a16="http://schemas.microsoft.com/office/drawing/2014/main" id="{0F500F33-90E0-4BC9-8800-B4363E0EF6E7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71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309</xdr:row>
      <xdr:rowOff>0</xdr:rowOff>
    </xdr:from>
    <xdr:ext cx="304800" cy="304800"/>
    <xdr:sp macro="" textlink="">
      <xdr:nvSpPr>
        <xdr:cNvPr id="570" name="AutoShape 1">
          <a:extLst>
            <a:ext uri="{FF2B5EF4-FFF2-40B4-BE49-F238E27FC236}">
              <a16:creationId xmlns:a16="http://schemas.microsoft.com/office/drawing/2014/main" id="{E42C994A-AC23-467B-BB23-1667CE3F3681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71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309</xdr:row>
      <xdr:rowOff>0</xdr:rowOff>
    </xdr:from>
    <xdr:ext cx="304800" cy="304800"/>
    <xdr:sp macro="" textlink="">
      <xdr:nvSpPr>
        <xdr:cNvPr id="571" name="AutoShape 1">
          <a:extLst>
            <a:ext uri="{FF2B5EF4-FFF2-40B4-BE49-F238E27FC236}">
              <a16:creationId xmlns:a16="http://schemas.microsoft.com/office/drawing/2014/main" id="{5365D3F7-B3AA-4A12-9582-6DC2F4AC9E4E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71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309</xdr:row>
      <xdr:rowOff>0</xdr:rowOff>
    </xdr:from>
    <xdr:ext cx="304800" cy="304800"/>
    <xdr:sp macro="" textlink="">
      <xdr:nvSpPr>
        <xdr:cNvPr id="572" name="AutoShape 1">
          <a:extLst>
            <a:ext uri="{FF2B5EF4-FFF2-40B4-BE49-F238E27FC236}">
              <a16:creationId xmlns:a16="http://schemas.microsoft.com/office/drawing/2014/main" id="{B5F392E4-9A30-43A9-8E51-D54439073B7A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71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309</xdr:row>
      <xdr:rowOff>0</xdr:rowOff>
    </xdr:from>
    <xdr:ext cx="304800" cy="304800"/>
    <xdr:sp macro="" textlink="">
      <xdr:nvSpPr>
        <xdr:cNvPr id="573" name="AutoShape 1">
          <a:extLst>
            <a:ext uri="{FF2B5EF4-FFF2-40B4-BE49-F238E27FC236}">
              <a16:creationId xmlns:a16="http://schemas.microsoft.com/office/drawing/2014/main" id="{4E8094D5-9CB5-4BCD-BBE8-4F4F008EE290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71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309</xdr:row>
      <xdr:rowOff>0</xdr:rowOff>
    </xdr:from>
    <xdr:ext cx="304800" cy="304800"/>
    <xdr:sp macro="" textlink="">
      <xdr:nvSpPr>
        <xdr:cNvPr id="574" name="AutoShape 1">
          <a:extLst>
            <a:ext uri="{FF2B5EF4-FFF2-40B4-BE49-F238E27FC236}">
              <a16:creationId xmlns:a16="http://schemas.microsoft.com/office/drawing/2014/main" id="{5F182533-5B08-41F6-8A2C-9C9FFB314223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71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309</xdr:row>
      <xdr:rowOff>0</xdr:rowOff>
    </xdr:from>
    <xdr:ext cx="304800" cy="304800"/>
    <xdr:sp macro="" textlink="">
      <xdr:nvSpPr>
        <xdr:cNvPr id="575" name="AutoShape 1">
          <a:extLst>
            <a:ext uri="{FF2B5EF4-FFF2-40B4-BE49-F238E27FC236}">
              <a16:creationId xmlns:a16="http://schemas.microsoft.com/office/drawing/2014/main" id="{861279D6-3597-45EE-A218-C3486350945C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71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309</xdr:row>
      <xdr:rowOff>0</xdr:rowOff>
    </xdr:from>
    <xdr:ext cx="304800" cy="304800"/>
    <xdr:sp macro="" textlink="">
      <xdr:nvSpPr>
        <xdr:cNvPr id="576" name="AutoShape 1">
          <a:extLst>
            <a:ext uri="{FF2B5EF4-FFF2-40B4-BE49-F238E27FC236}">
              <a16:creationId xmlns:a16="http://schemas.microsoft.com/office/drawing/2014/main" id="{7A13232B-C15D-43F3-A8CA-2595B6B87D35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71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309</xdr:row>
      <xdr:rowOff>0</xdr:rowOff>
    </xdr:from>
    <xdr:ext cx="304800" cy="304800"/>
    <xdr:sp macro="" textlink="">
      <xdr:nvSpPr>
        <xdr:cNvPr id="577" name="AutoShape 1">
          <a:extLst>
            <a:ext uri="{FF2B5EF4-FFF2-40B4-BE49-F238E27FC236}">
              <a16:creationId xmlns:a16="http://schemas.microsoft.com/office/drawing/2014/main" id="{336D2313-BCD3-4501-B9E8-3FAC24830339}"/>
            </a:ext>
            <a:ext uri="{147F2762-F138-4A5C-976F-8EAC2B608ADB}">
              <a16:predDERef xmlns:a16="http://schemas.microsoft.com/office/drawing/2014/main" pred="{A9C9C4DB-4B97-447C-9099-E87BCB3C537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71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309</xdr:row>
      <xdr:rowOff>0</xdr:rowOff>
    </xdr:from>
    <xdr:ext cx="304800" cy="304800"/>
    <xdr:sp macro="" textlink="">
      <xdr:nvSpPr>
        <xdr:cNvPr id="578" name="AutoShape 1">
          <a:extLst>
            <a:ext uri="{FF2B5EF4-FFF2-40B4-BE49-F238E27FC236}">
              <a16:creationId xmlns:a16="http://schemas.microsoft.com/office/drawing/2014/main" id="{385D7ED1-7275-4FB8-BE58-6B122BABD51B}"/>
            </a:ext>
            <a:ext uri="{147F2762-F138-4A5C-976F-8EAC2B608ADB}">
              <a16:predDERef xmlns:a16="http://schemas.microsoft.com/office/drawing/2014/main" pred="{CD89554D-BD76-42AD-819A-278AD445B86E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71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309</xdr:row>
      <xdr:rowOff>0</xdr:rowOff>
    </xdr:from>
    <xdr:ext cx="304800" cy="304800"/>
    <xdr:sp macro="" textlink="">
      <xdr:nvSpPr>
        <xdr:cNvPr id="579" name="AutoShape 1">
          <a:extLst>
            <a:ext uri="{FF2B5EF4-FFF2-40B4-BE49-F238E27FC236}">
              <a16:creationId xmlns:a16="http://schemas.microsoft.com/office/drawing/2014/main" id="{04BBD12C-57A1-478B-82D1-7D41C6BA9D0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71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309</xdr:row>
      <xdr:rowOff>0</xdr:rowOff>
    </xdr:from>
    <xdr:ext cx="304800" cy="304800"/>
    <xdr:sp macro="" textlink="">
      <xdr:nvSpPr>
        <xdr:cNvPr id="580" name="AutoShape 1">
          <a:extLst>
            <a:ext uri="{FF2B5EF4-FFF2-40B4-BE49-F238E27FC236}">
              <a16:creationId xmlns:a16="http://schemas.microsoft.com/office/drawing/2014/main" id="{F0A82ECF-DFE7-4940-AC70-94F74DF5B77C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71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309</xdr:row>
      <xdr:rowOff>0</xdr:rowOff>
    </xdr:from>
    <xdr:ext cx="304800" cy="304800"/>
    <xdr:sp macro="" textlink="">
      <xdr:nvSpPr>
        <xdr:cNvPr id="581" name="AutoShape 1">
          <a:extLst>
            <a:ext uri="{FF2B5EF4-FFF2-40B4-BE49-F238E27FC236}">
              <a16:creationId xmlns:a16="http://schemas.microsoft.com/office/drawing/2014/main" id="{20024A06-D58D-44E7-A52D-959199580D4F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71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309</xdr:row>
      <xdr:rowOff>0</xdr:rowOff>
    </xdr:from>
    <xdr:ext cx="304800" cy="304800"/>
    <xdr:sp macro="" textlink="">
      <xdr:nvSpPr>
        <xdr:cNvPr id="582" name="AutoShape 1">
          <a:extLst>
            <a:ext uri="{FF2B5EF4-FFF2-40B4-BE49-F238E27FC236}">
              <a16:creationId xmlns:a16="http://schemas.microsoft.com/office/drawing/2014/main" id="{6748576E-9193-419A-B5B1-FB631B2F8003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71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309</xdr:row>
      <xdr:rowOff>0</xdr:rowOff>
    </xdr:from>
    <xdr:ext cx="304800" cy="304800"/>
    <xdr:sp macro="" textlink="">
      <xdr:nvSpPr>
        <xdr:cNvPr id="583" name="AutoShape 1">
          <a:extLst>
            <a:ext uri="{FF2B5EF4-FFF2-40B4-BE49-F238E27FC236}">
              <a16:creationId xmlns:a16="http://schemas.microsoft.com/office/drawing/2014/main" id="{9468C2A8-0B91-4BBF-8709-4DE1C492DAC3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71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309</xdr:row>
      <xdr:rowOff>0</xdr:rowOff>
    </xdr:from>
    <xdr:ext cx="304800" cy="304800"/>
    <xdr:sp macro="" textlink="">
      <xdr:nvSpPr>
        <xdr:cNvPr id="584" name="AutoShape 1">
          <a:extLst>
            <a:ext uri="{FF2B5EF4-FFF2-40B4-BE49-F238E27FC236}">
              <a16:creationId xmlns:a16="http://schemas.microsoft.com/office/drawing/2014/main" id="{3E033CDD-AFD5-4702-BCC6-13022A4EDD07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71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309</xdr:row>
      <xdr:rowOff>0</xdr:rowOff>
    </xdr:from>
    <xdr:ext cx="304800" cy="304800"/>
    <xdr:sp macro="" textlink="">
      <xdr:nvSpPr>
        <xdr:cNvPr id="585" name="AutoShape 1">
          <a:extLst>
            <a:ext uri="{FF2B5EF4-FFF2-40B4-BE49-F238E27FC236}">
              <a16:creationId xmlns:a16="http://schemas.microsoft.com/office/drawing/2014/main" id="{9224434F-C2B1-444E-AF39-1E3EE20EAD99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71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309</xdr:row>
      <xdr:rowOff>0</xdr:rowOff>
    </xdr:from>
    <xdr:ext cx="304800" cy="304800"/>
    <xdr:sp macro="" textlink="">
      <xdr:nvSpPr>
        <xdr:cNvPr id="586" name="AutoShape 1">
          <a:extLst>
            <a:ext uri="{FF2B5EF4-FFF2-40B4-BE49-F238E27FC236}">
              <a16:creationId xmlns:a16="http://schemas.microsoft.com/office/drawing/2014/main" id="{D0C08AC8-3785-469A-B423-8DC81A8E3FAD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71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309</xdr:row>
      <xdr:rowOff>0</xdr:rowOff>
    </xdr:from>
    <xdr:ext cx="304800" cy="304800"/>
    <xdr:sp macro="" textlink="">
      <xdr:nvSpPr>
        <xdr:cNvPr id="587" name="AutoShape 1">
          <a:extLst>
            <a:ext uri="{FF2B5EF4-FFF2-40B4-BE49-F238E27FC236}">
              <a16:creationId xmlns:a16="http://schemas.microsoft.com/office/drawing/2014/main" id="{6AED1F1A-82BA-4B11-98DE-A27A2E562B87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71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309</xdr:row>
      <xdr:rowOff>0</xdr:rowOff>
    </xdr:from>
    <xdr:ext cx="304800" cy="304800"/>
    <xdr:sp macro="" textlink="">
      <xdr:nvSpPr>
        <xdr:cNvPr id="588" name="AutoShape 1">
          <a:extLst>
            <a:ext uri="{FF2B5EF4-FFF2-40B4-BE49-F238E27FC236}">
              <a16:creationId xmlns:a16="http://schemas.microsoft.com/office/drawing/2014/main" id="{1EE40741-5E27-4106-8831-65D3323F413A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71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309</xdr:row>
      <xdr:rowOff>0</xdr:rowOff>
    </xdr:from>
    <xdr:ext cx="304800" cy="304800"/>
    <xdr:sp macro="" textlink="">
      <xdr:nvSpPr>
        <xdr:cNvPr id="589" name="AutoShape 1">
          <a:extLst>
            <a:ext uri="{FF2B5EF4-FFF2-40B4-BE49-F238E27FC236}">
              <a16:creationId xmlns:a16="http://schemas.microsoft.com/office/drawing/2014/main" id="{9F47C8F3-092B-4AA0-9AB7-DDEB5532229B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71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309</xdr:row>
      <xdr:rowOff>0</xdr:rowOff>
    </xdr:from>
    <xdr:ext cx="304800" cy="304800"/>
    <xdr:sp macro="" textlink="">
      <xdr:nvSpPr>
        <xdr:cNvPr id="590" name="AutoShape 1">
          <a:extLst>
            <a:ext uri="{FF2B5EF4-FFF2-40B4-BE49-F238E27FC236}">
              <a16:creationId xmlns:a16="http://schemas.microsoft.com/office/drawing/2014/main" id="{6A130FED-03AF-4153-9628-927B1BFED5EB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71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309</xdr:row>
      <xdr:rowOff>0</xdr:rowOff>
    </xdr:from>
    <xdr:ext cx="304800" cy="304800"/>
    <xdr:sp macro="" textlink="">
      <xdr:nvSpPr>
        <xdr:cNvPr id="591" name="AutoShape 1">
          <a:extLst>
            <a:ext uri="{FF2B5EF4-FFF2-40B4-BE49-F238E27FC236}">
              <a16:creationId xmlns:a16="http://schemas.microsoft.com/office/drawing/2014/main" id="{25C56349-52A1-4677-B9FC-DC573AB126BA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71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309</xdr:row>
      <xdr:rowOff>0</xdr:rowOff>
    </xdr:from>
    <xdr:ext cx="304800" cy="304800"/>
    <xdr:sp macro="" textlink="">
      <xdr:nvSpPr>
        <xdr:cNvPr id="592" name="AutoShape 1">
          <a:extLst>
            <a:ext uri="{FF2B5EF4-FFF2-40B4-BE49-F238E27FC236}">
              <a16:creationId xmlns:a16="http://schemas.microsoft.com/office/drawing/2014/main" id="{89750642-1E68-4ABF-8BD0-6954D889175E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71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309</xdr:row>
      <xdr:rowOff>0</xdr:rowOff>
    </xdr:from>
    <xdr:ext cx="304800" cy="304800"/>
    <xdr:sp macro="" textlink="">
      <xdr:nvSpPr>
        <xdr:cNvPr id="593" name="AutoShape 1">
          <a:extLst>
            <a:ext uri="{FF2B5EF4-FFF2-40B4-BE49-F238E27FC236}">
              <a16:creationId xmlns:a16="http://schemas.microsoft.com/office/drawing/2014/main" id="{FD93A77F-E95B-4EA0-AEF5-893344DDC48F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71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309</xdr:row>
      <xdr:rowOff>0</xdr:rowOff>
    </xdr:from>
    <xdr:ext cx="304800" cy="304800"/>
    <xdr:sp macro="" textlink="">
      <xdr:nvSpPr>
        <xdr:cNvPr id="594" name="AutoShape 1">
          <a:extLst>
            <a:ext uri="{FF2B5EF4-FFF2-40B4-BE49-F238E27FC236}">
              <a16:creationId xmlns:a16="http://schemas.microsoft.com/office/drawing/2014/main" id="{B198E3B4-CDAC-429D-9D7D-851C92F3438D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71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309</xdr:row>
      <xdr:rowOff>0</xdr:rowOff>
    </xdr:from>
    <xdr:ext cx="304800" cy="304800"/>
    <xdr:sp macro="" textlink="">
      <xdr:nvSpPr>
        <xdr:cNvPr id="595" name="AutoShape 1">
          <a:extLst>
            <a:ext uri="{FF2B5EF4-FFF2-40B4-BE49-F238E27FC236}">
              <a16:creationId xmlns:a16="http://schemas.microsoft.com/office/drawing/2014/main" id="{393E68DB-4310-4FD8-B135-0B6035061808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71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309</xdr:row>
      <xdr:rowOff>0</xdr:rowOff>
    </xdr:from>
    <xdr:ext cx="304800" cy="304800"/>
    <xdr:sp macro="" textlink="">
      <xdr:nvSpPr>
        <xdr:cNvPr id="596" name="AutoShape 1">
          <a:extLst>
            <a:ext uri="{FF2B5EF4-FFF2-40B4-BE49-F238E27FC236}">
              <a16:creationId xmlns:a16="http://schemas.microsoft.com/office/drawing/2014/main" id="{9E84A330-392F-4D53-9D6D-F681D6DEB3A6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71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309</xdr:row>
      <xdr:rowOff>0</xdr:rowOff>
    </xdr:from>
    <xdr:ext cx="304800" cy="304800"/>
    <xdr:sp macro="" textlink="">
      <xdr:nvSpPr>
        <xdr:cNvPr id="597" name="AutoShape 1">
          <a:extLst>
            <a:ext uri="{FF2B5EF4-FFF2-40B4-BE49-F238E27FC236}">
              <a16:creationId xmlns:a16="http://schemas.microsoft.com/office/drawing/2014/main" id="{B1A5F57E-6F53-4A74-85AC-5807F8427375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71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309</xdr:row>
      <xdr:rowOff>0</xdr:rowOff>
    </xdr:from>
    <xdr:ext cx="304800" cy="304800"/>
    <xdr:sp macro="" textlink="">
      <xdr:nvSpPr>
        <xdr:cNvPr id="598" name="AutoShape 1">
          <a:extLst>
            <a:ext uri="{FF2B5EF4-FFF2-40B4-BE49-F238E27FC236}">
              <a16:creationId xmlns:a16="http://schemas.microsoft.com/office/drawing/2014/main" id="{2170379B-95D8-435C-9791-B7EA57583558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71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309</xdr:row>
      <xdr:rowOff>0</xdr:rowOff>
    </xdr:from>
    <xdr:ext cx="304800" cy="304800"/>
    <xdr:sp macro="" textlink="">
      <xdr:nvSpPr>
        <xdr:cNvPr id="599" name="AutoShape 1">
          <a:extLst>
            <a:ext uri="{FF2B5EF4-FFF2-40B4-BE49-F238E27FC236}">
              <a16:creationId xmlns:a16="http://schemas.microsoft.com/office/drawing/2014/main" id="{E72D9411-AD4C-46F1-BF5D-56BACFCACBEC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71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309</xdr:row>
      <xdr:rowOff>0</xdr:rowOff>
    </xdr:from>
    <xdr:ext cx="304800" cy="304800"/>
    <xdr:sp macro="" textlink="">
      <xdr:nvSpPr>
        <xdr:cNvPr id="600" name="AutoShape 1">
          <a:extLst>
            <a:ext uri="{FF2B5EF4-FFF2-40B4-BE49-F238E27FC236}">
              <a16:creationId xmlns:a16="http://schemas.microsoft.com/office/drawing/2014/main" id="{8545E2EA-D929-400C-8AAA-45FD57DEAC7F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71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309</xdr:row>
      <xdr:rowOff>0</xdr:rowOff>
    </xdr:from>
    <xdr:ext cx="304800" cy="304800"/>
    <xdr:sp macro="" textlink="">
      <xdr:nvSpPr>
        <xdr:cNvPr id="601" name="AutoShape 1">
          <a:extLst>
            <a:ext uri="{FF2B5EF4-FFF2-40B4-BE49-F238E27FC236}">
              <a16:creationId xmlns:a16="http://schemas.microsoft.com/office/drawing/2014/main" id="{9B5B2ACB-DBEB-4437-891A-3ECF85FE8D6C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71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309</xdr:row>
      <xdr:rowOff>0</xdr:rowOff>
    </xdr:from>
    <xdr:ext cx="304800" cy="304800"/>
    <xdr:sp macro="" textlink="">
      <xdr:nvSpPr>
        <xdr:cNvPr id="602" name="AutoShape 1">
          <a:extLst>
            <a:ext uri="{FF2B5EF4-FFF2-40B4-BE49-F238E27FC236}">
              <a16:creationId xmlns:a16="http://schemas.microsoft.com/office/drawing/2014/main" id="{51538E3D-2E8A-49B3-A127-8D952403F991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71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309</xdr:row>
      <xdr:rowOff>0</xdr:rowOff>
    </xdr:from>
    <xdr:ext cx="304800" cy="304800"/>
    <xdr:sp macro="" textlink="">
      <xdr:nvSpPr>
        <xdr:cNvPr id="603" name="AutoShape 1">
          <a:extLst>
            <a:ext uri="{FF2B5EF4-FFF2-40B4-BE49-F238E27FC236}">
              <a16:creationId xmlns:a16="http://schemas.microsoft.com/office/drawing/2014/main" id="{527A6338-6E2D-4F57-A144-450FA6E16538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71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309</xdr:row>
      <xdr:rowOff>0</xdr:rowOff>
    </xdr:from>
    <xdr:ext cx="304800" cy="304800"/>
    <xdr:sp macro="" textlink="">
      <xdr:nvSpPr>
        <xdr:cNvPr id="604" name="AutoShape 1">
          <a:extLst>
            <a:ext uri="{FF2B5EF4-FFF2-40B4-BE49-F238E27FC236}">
              <a16:creationId xmlns:a16="http://schemas.microsoft.com/office/drawing/2014/main" id="{AE1BF27B-67B6-4F61-B35D-238E5117974B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71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309</xdr:row>
      <xdr:rowOff>0</xdr:rowOff>
    </xdr:from>
    <xdr:ext cx="304800" cy="304800"/>
    <xdr:sp macro="" textlink="">
      <xdr:nvSpPr>
        <xdr:cNvPr id="605" name="AutoShape 1">
          <a:extLst>
            <a:ext uri="{FF2B5EF4-FFF2-40B4-BE49-F238E27FC236}">
              <a16:creationId xmlns:a16="http://schemas.microsoft.com/office/drawing/2014/main" id="{4032465F-9DD8-47D1-BAFB-0F56C8A50563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71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309</xdr:row>
      <xdr:rowOff>0</xdr:rowOff>
    </xdr:from>
    <xdr:ext cx="304800" cy="304800"/>
    <xdr:sp macro="" textlink="">
      <xdr:nvSpPr>
        <xdr:cNvPr id="606" name="AutoShape 1">
          <a:extLst>
            <a:ext uri="{FF2B5EF4-FFF2-40B4-BE49-F238E27FC236}">
              <a16:creationId xmlns:a16="http://schemas.microsoft.com/office/drawing/2014/main" id="{487F77C1-F017-4E3E-9E5D-76D856EC6126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71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309</xdr:row>
      <xdr:rowOff>0</xdr:rowOff>
    </xdr:from>
    <xdr:ext cx="304800" cy="304800"/>
    <xdr:sp macro="" textlink="">
      <xdr:nvSpPr>
        <xdr:cNvPr id="607" name="AutoShape 1">
          <a:extLst>
            <a:ext uri="{FF2B5EF4-FFF2-40B4-BE49-F238E27FC236}">
              <a16:creationId xmlns:a16="http://schemas.microsoft.com/office/drawing/2014/main" id="{25D5B2B2-8FF2-4D0F-A80E-6A01F3377B2F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71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309</xdr:row>
      <xdr:rowOff>0</xdr:rowOff>
    </xdr:from>
    <xdr:ext cx="304800" cy="304800"/>
    <xdr:sp macro="" textlink="">
      <xdr:nvSpPr>
        <xdr:cNvPr id="608" name="AutoShape 1">
          <a:extLst>
            <a:ext uri="{FF2B5EF4-FFF2-40B4-BE49-F238E27FC236}">
              <a16:creationId xmlns:a16="http://schemas.microsoft.com/office/drawing/2014/main" id="{56F51C7C-88A5-478F-88D0-981A6AA21671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71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309</xdr:row>
      <xdr:rowOff>0</xdr:rowOff>
    </xdr:from>
    <xdr:ext cx="304800" cy="304800"/>
    <xdr:sp macro="" textlink="">
      <xdr:nvSpPr>
        <xdr:cNvPr id="609" name="AutoShape 1">
          <a:extLst>
            <a:ext uri="{FF2B5EF4-FFF2-40B4-BE49-F238E27FC236}">
              <a16:creationId xmlns:a16="http://schemas.microsoft.com/office/drawing/2014/main" id="{9926B9B1-9DB1-4502-9FA5-0FC05A1D86B6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71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309</xdr:row>
      <xdr:rowOff>0</xdr:rowOff>
    </xdr:from>
    <xdr:ext cx="304800" cy="304800"/>
    <xdr:sp macro="" textlink="">
      <xdr:nvSpPr>
        <xdr:cNvPr id="610" name="AutoShape 1">
          <a:extLst>
            <a:ext uri="{FF2B5EF4-FFF2-40B4-BE49-F238E27FC236}">
              <a16:creationId xmlns:a16="http://schemas.microsoft.com/office/drawing/2014/main" id="{A7AE060A-5111-4668-831C-4BDAD3E4822D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71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309</xdr:row>
      <xdr:rowOff>0</xdr:rowOff>
    </xdr:from>
    <xdr:ext cx="304800" cy="304800"/>
    <xdr:sp macro="" textlink="">
      <xdr:nvSpPr>
        <xdr:cNvPr id="611" name="AutoShape 1">
          <a:extLst>
            <a:ext uri="{FF2B5EF4-FFF2-40B4-BE49-F238E27FC236}">
              <a16:creationId xmlns:a16="http://schemas.microsoft.com/office/drawing/2014/main" id="{7B768EEC-64F8-4B55-845B-CCA4E921AB0F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71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309</xdr:row>
      <xdr:rowOff>0</xdr:rowOff>
    </xdr:from>
    <xdr:ext cx="304800" cy="304800"/>
    <xdr:sp macro="" textlink="">
      <xdr:nvSpPr>
        <xdr:cNvPr id="612" name="AutoShape 1">
          <a:extLst>
            <a:ext uri="{FF2B5EF4-FFF2-40B4-BE49-F238E27FC236}">
              <a16:creationId xmlns:a16="http://schemas.microsoft.com/office/drawing/2014/main" id="{1078DEBA-5618-4D7F-B84B-0EF2A8345B08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71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309</xdr:row>
      <xdr:rowOff>0</xdr:rowOff>
    </xdr:from>
    <xdr:ext cx="304800" cy="304800"/>
    <xdr:sp macro="" textlink="">
      <xdr:nvSpPr>
        <xdr:cNvPr id="613" name="AutoShape 1">
          <a:extLst>
            <a:ext uri="{FF2B5EF4-FFF2-40B4-BE49-F238E27FC236}">
              <a16:creationId xmlns:a16="http://schemas.microsoft.com/office/drawing/2014/main" id="{00ACAC92-5132-4EF8-B101-84D47F46E9A1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71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309</xdr:row>
      <xdr:rowOff>0</xdr:rowOff>
    </xdr:from>
    <xdr:ext cx="304800" cy="304800"/>
    <xdr:sp macro="" textlink="">
      <xdr:nvSpPr>
        <xdr:cNvPr id="614" name="AutoShape 1">
          <a:extLst>
            <a:ext uri="{FF2B5EF4-FFF2-40B4-BE49-F238E27FC236}">
              <a16:creationId xmlns:a16="http://schemas.microsoft.com/office/drawing/2014/main" id="{A4A4AB10-8D0E-464C-AEE5-DA43F2934E56}"/>
            </a:ext>
            <a:ext uri="{147F2762-F138-4A5C-976F-8EAC2B608ADB}">
              <a16:predDERef xmlns:a16="http://schemas.microsoft.com/office/drawing/2014/main" pred="{A9C9C4DB-4B97-447C-9099-E87BCB3C537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71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309</xdr:row>
      <xdr:rowOff>0</xdr:rowOff>
    </xdr:from>
    <xdr:ext cx="304800" cy="304800"/>
    <xdr:sp macro="" textlink="">
      <xdr:nvSpPr>
        <xdr:cNvPr id="615" name="AutoShape 1">
          <a:extLst>
            <a:ext uri="{FF2B5EF4-FFF2-40B4-BE49-F238E27FC236}">
              <a16:creationId xmlns:a16="http://schemas.microsoft.com/office/drawing/2014/main" id="{7A661D0D-DFDD-4058-B5EB-5D3293D29755}"/>
            </a:ext>
            <a:ext uri="{147F2762-F138-4A5C-976F-8EAC2B608ADB}">
              <a16:predDERef xmlns:a16="http://schemas.microsoft.com/office/drawing/2014/main" pred="{CD89554D-BD76-42AD-819A-278AD445B86E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71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616" name="AutoShape 1">
          <a:extLst>
            <a:ext uri="{FF2B5EF4-FFF2-40B4-BE49-F238E27FC236}">
              <a16:creationId xmlns:a16="http://schemas.microsoft.com/office/drawing/2014/main" id="{DC93651D-960C-46A8-BC12-1716D1D255D3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617" name="AutoShape 1">
          <a:extLst>
            <a:ext uri="{FF2B5EF4-FFF2-40B4-BE49-F238E27FC236}">
              <a16:creationId xmlns:a16="http://schemas.microsoft.com/office/drawing/2014/main" id="{5EDC70F5-E83A-4C63-A548-F3EDF0AF5A23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618" name="AutoShape 1">
          <a:extLst>
            <a:ext uri="{FF2B5EF4-FFF2-40B4-BE49-F238E27FC236}">
              <a16:creationId xmlns:a16="http://schemas.microsoft.com/office/drawing/2014/main" id="{684DBE19-C267-4A4A-B448-597E08F630BB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619" name="AutoShape 1">
          <a:extLst>
            <a:ext uri="{FF2B5EF4-FFF2-40B4-BE49-F238E27FC236}">
              <a16:creationId xmlns:a16="http://schemas.microsoft.com/office/drawing/2014/main" id="{FB8326A0-5EA5-4C50-961E-DB954655731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620" name="AutoShape 1">
          <a:extLst>
            <a:ext uri="{FF2B5EF4-FFF2-40B4-BE49-F238E27FC236}">
              <a16:creationId xmlns:a16="http://schemas.microsoft.com/office/drawing/2014/main" id="{31B2E3FE-732A-420E-BE3D-A50E8DA45DD1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621" name="AutoShape 1">
          <a:extLst>
            <a:ext uri="{FF2B5EF4-FFF2-40B4-BE49-F238E27FC236}">
              <a16:creationId xmlns:a16="http://schemas.microsoft.com/office/drawing/2014/main" id="{B7E98FAF-948A-41F2-94FF-3EE908E3633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622" name="AutoShape 1">
          <a:extLst>
            <a:ext uri="{FF2B5EF4-FFF2-40B4-BE49-F238E27FC236}">
              <a16:creationId xmlns:a16="http://schemas.microsoft.com/office/drawing/2014/main" id="{8DB9D10F-045A-4014-AF08-4E1AD1E2182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623" name="AutoShape 1">
          <a:extLst>
            <a:ext uri="{FF2B5EF4-FFF2-40B4-BE49-F238E27FC236}">
              <a16:creationId xmlns:a16="http://schemas.microsoft.com/office/drawing/2014/main" id="{813D8E01-47F0-4408-A99D-7D05953B1CCF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624" name="AutoShape 1">
          <a:extLst>
            <a:ext uri="{FF2B5EF4-FFF2-40B4-BE49-F238E27FC236}">
              <a16:creationId xmlns:a16="http://schemas.microsoft.com/office/drawing/2014/main" id="{9EA6DF90-B086-4AB1-8364-789AE5EA037C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625" name="AutoShape 1">
          <a:extLst>
            <a:ext uri="{FF2B5EF4-FFF2-40B4-BE49-F238E27FC236}">
              <a16:creationId xmlns:a16="http://schemas.microsoft.com/office/drawing/2014/main" id="{5E31A3D2-B9B3-46C5-BBC3-79A2C011070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626" name="AutoShape 1">
          <a:extLst>
            <a:ext uri="{FF2B5EF4-FFF2-40B4-BE49-F238E27FC236}">
              <a16:creationId xmlns:a16="http://schemas.microsoft.com/office/drawing/2014/main" id="{138C69BF-F4A6-429F-9772-38AB3FEBFEC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627" name="AutoShape 1">
          <a:extLst>
            <a:ext uri="{FF2B5EF4-FFF2-40B4-BE49-F238E27FC236}">
              <a16:creationId xmlns:a16="http://schemas.microsoft.com/office/drawing/2014/main" id="{78F47935-B9A1-479E-9C14-E17B4835DBF7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628" name="AutoShape 1">
          <a:extLst>
            <a:ext uri="{FF2B5EF4-FFF2-40B4-BE49-F238E27FC236}">
              <a16:creationId xmlns:a16="http://schemas.microsoft.com/office/drawing/2014/main" id="{B061C5DB-3853-4E9F-9AEF-9B0B9535AA7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629" name="AutoShape 1">
          <a:extLst>
            <a:ext uri="{FF2B5EF4-FFF2-40B4-BE49-F238E27FC236}">
              <a16:creationId xmlns:a16="http://schemas.microsoft.com/office/drawing/2014/main" id="{3FC3FE4E-8A42-43EE-B1ED-28140F544929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630" name="AutoShape 1">
          <a:extLst>
            <a:ext uri="{FF2B5EF4-FFF2-40B4-BE49-F238E27FC236}">
              <a16:creationId xmlns:a16="http://schemas.microsoft.com/office/drawing/2014/main" id="{7E51E94D-8CD7-48D5-874C-DB723B09693A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631" name="AutoShape 1">
          <a:extLst>
            <a:ext uri="{FF2B5EF4-FFF2-40B4-BE49-F238E27FC236}">
              <a16:creationId xmlns:a16="http://schemas.microsoft.com/office/drawing/2014/main" id="{F32360C2-004A-4B6C-B132-AFAB7D8ED70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632" name="AutoShape 1">
          <a:extLst>
            <a:ext uri="{FF2B5EF4-FFF2-40B4-BE49-F238E27FC236}">
              <a16:creationId xmlns:a16="http://schemas.microsoft.com/office/drawing/2014/main" id="{E13C2D99-6CDF-44FA-B0DB-24B97C58D8E1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633" name="AutoShape 1">
          <a:extLst>
            <a:ext uri="{FF2B5EF4-FFF2-40B4-BE49-F238E27FC236}">
              <a16:creationId xmlns:a16="http://schemas.microsoft.com/office/drawing/2014/main" id="{5D735B1D-F09C-4EBB-8C5F-9892D3DB0DD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634" name="AutoShape 1">
          <a:extLst>
            <a:ext uri="{FF2B5EF4-FFF2-40B4-BE49-F238E27FC236}">
              <a16:creationId xmlns:a16="http://schemas.microsoft.com/office/drawing/2014/main" id="{62D959EF-17FE-4574-9B11-1E83356F464A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635" name="AutoShape 1">
          <a:extLst>
            <a:ext uri="{FF2B5EF4-FFF2-40B4-BE49-F238E27FC236}">
              <a16:creationId xmlns:a16="http://schemas.microsoft.com/office/drawing/2014/main" id="{749DF131-8317-46D0-8ADA-27DDA573F6F6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636" name="AutoShape 1">
          <a:extLst>
            <a:ext uri="{FF2B5EF4-FFF2-40B4-BE49-F238E27FC236}">
              <a16:creationId xmlns:a16="http://schemas.microsoft.com/office/drawing/2014/main" id="{1AF708B2-31EF-4AE1-8C18-5248494D4FE0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637" name="AutoShape 1">
          <a:extLst>
            <a:ext uri="{FF2B5EF4-FFF2-40B4-BE49-F238E27FC236}">
              <a16:creationId xmlns:a16="http://schemas.microsoft.com/office/drawing/2014/main" id="{65B14F68-CB7A-45CE-B817-3898E9A2EA89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638" name="AutoShape 1">
          <a:extLst>
            <a:ext uri="{FF2B5EF4-FFF2-40B4-BE49-F238E27FC236}">
              <a16:creationId xmlns:a16="http://schemas.microsoft.com/office/drawing/2014/main" id="{7A2D9507-0AB1-40FB-906A-35CAF8D67A0B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639" name="AutoShape 1">
          <a:extLst>
            <a:ext uri="{FF2B5EF4-FFF2-40B4-BE49-F238E27FC236}">
              <a16:creationId xmlns:a16="http://schemas.microsoft.com/office/drawing/2014/main" id="{40DC070F-501E-46B1-BAAA-1ED3E3694EFF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640" name="AutoShape 1">
          <a:extLst>
            <a:ext uri="{FF2B5EF4-FFF2-40B4-BE49-F238E27FC236}">
              <a16:creationId xmlns:a16="http://schemas.microsoft.com/office/drawing/2014/main" id="{7ACB4B0D-001C-488F-90CC-F07AA4261030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641" name="AutoShape 1">
          <a:extLst>
            <a:ext uri="{FF2B5EF4-FFF2-40B4-BE49-F238E27FC236}">
              <a16:creationId xmlns:a16="http://schemas.microsoft.com/office/drawing/2014/main" id="{5A0B98E0-3A31-4DD1-B5CD-67175491CF3B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642" name="AutoShape 1">
          <a:extLst>
            <a:ext uri="{FF2B5EF4-FFF2-40B4-BE49-F238E27FC236}">
              <a16:creationId xmlns:a16="http://schemas.microsoft.com/office/drawing/2014/main" id="{79DBB924-0C8E-48D3-8695-5D3D3C0CA837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643" name="AutoShape 1">
          <a:extLst>
            <a:ext uri="{FF2B5EF4-FFF2-40B4-BE49-F238E27FC236}">
              <a16:creationId xmlns:a16="http://schemas.microsoft.com/office/drawing/2014/main" id="{1A49E0B3-77AD-4E23-9530-93578664951C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644" name="AutoShape 1">
          <a:extLst>
            <a:ext uri="{FF2B5EF4-FFF2-40B4-BE49-F238E27FC236}">
              <a16:creationId xmlns:a16="http://schemas.microsoft.com/office/drawing/2014/main" id="{9416EDF8-9A3A-43D4-9B0E-6337C73E0860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645" name="AutoShape 1">
          <a:extLst>
            <a:ext uri="{FF2B5EF4-FFF2-40B4-BE49-F238E27FC236}">
              <a16:creationId xmlns:a16="http://schemas.microsoft.com/office/drawing/2014/main" id="{ABA57E77-5069-4ED4-BEB4-BBDF135B44D5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646" name="AutoShape 1">
          <a:extLst>
            <a:ext uri="{FF2B5EF4-FFF2-40B4-BE49-F238E27FC236}">
              <a16:creationId xmlns:a16="http://schemas.microsoft.com/office/drawing/2014/main" id="{A922E0FE-5B47-42F4-AB21-16A7B4F02EBF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647" name="AutoShape 1">
          <a:extLst>
            <a:ext uri="{FF2B5EF4-FFF2-40B4-BE49-F238E27FC236}">
              <a16:creationId xmlns:a16="http://schemas.microsoft.com/office/drawing/2014/main" id="{4B4CE14A-08FE-4D79-921C-C5BA9B61C3AB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648" name="AutoShape 1">
          <a:extLst>
            <a:ext uri="{FF2B5EF4-FFF2-40B4-BE49-F238E27FC236}">
              <a16:creationId xmlns:a16="http://schemas.microsoft.com/office/drawing/2014/main" id="{350B1FE5-6C54-41FF-9B7B-C2B7917F1A25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649" name="AutoShape 1">
          <a:extLst>
            <a:ext uri="{FF2B5EF4-FFF2-40B4-BE49-F238E27FC236}">
              <a16:creationId xmlns:a16="http://schemas.microsoft.com/office/drawing/2014/main" id="{4C0421CF-EEDB-4826-824D-D1072E16939E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650" name="AutoShape 1">
          <a:extLst>
            <a:ext uri="{FF2B5EF4-FFF2-40B4-BE49-F238E27FC236}">
              <a16:creationId xmlns:a16="http://schemas.microsoft.com/office/drawing/2014/main" id="{E9363FD3-C8B8-4C8A-8959-C4B2CD4CB5BC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651" name="AutoShape 1">
          <a:extLst>
            <a:ext uri="{FF2B5EF4-FFF2-40B4-BE49-F238E27FC236}">
              <a16:creationId xmlns:a16="http://schemas.microsoft.com/office/drawing/2014/main" id="{40E0AD70-8C99-49ED-8AE0-B2AD4BE92BF3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652" name="AutoShape 1">
          <a:extLst>
            <a:ext uri="{FF2B5EF4-FFF2-40B4-BE49-F238E27FC236}">
              <a16:creationId xmlns:a16="http://schemas.microsoft.com/office/drawing/2014/main" id="{78002BAC-13C5-4B8F-815E-C9F01DCA522C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653" name="AutoShape 1">
          <a:extLst>
            <a:ext uri="{FF2B5EF4-FFF2-40B4-BE49-F238E27FC236}">
              <a16:creationId xmlns:a16="http://schemas.microsoft.com/office/drawing/2014/main" id="{A598777D-9550-4CD3-ADAE-2AC993D8E76D}"/>
            </a:ext>
            <a:ext uri="{147F2762-F138-4A5C-976F-8EAC2B608ADB}">
              <a16:predDERef xmlns:a16="http://schemas.microsoft.com/office/drawing/2014/main" pred="{A9C9C4DB-4B97-447C-9099-E87BCB3C537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654" name="AutoShape 1">
          <a:extLst>
            <a:ext uri="{FF2B5EF4-FFF2-40B4-BE49-F238E27FC236}">
              <a16:creationId xmlns:a16="http://schemas.microsoft.com/office/drawing/2014/main" id="{5760CB83-7C4C-4C88-B66A-BD68CD939C9D}"/>
            </a:ext>
            <a:ext uri="{147F2762-F138-4A5C-976F-8EAC2B608ADB}">
              <a16:predDERef xmlns:a16="http://schemas.microsoft.com/office/drawing/2014/main" pred="{CD89554D-BD76-42AD-819A-278AD445B86E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655" name="AutoShape 1">
          <a:extLst>
            <a:ext uri="{FF2B5EF4-FFF2-40B4-BE49-F238E27FC236}">
              <a16:creationId xmlns:a16="http://schemas.microsoft.com/office/drawing/2014/main" id="{F5CDF69A-4B64-465D-8BAD-A854BA051F3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656" name="AutoShape 1">
          <a:extLst>
            <a:ext uri="{FF2B5EF4-FFF2-40B4-BE49-F238E27FC236}">
              <a16:creationId xmlns:a16="http://schemas.microsoft.com/office/drawing/2014/main" id="{9D303034-339B-4934-87EB-89F94EA63E39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657" name="AutoShape 1">
          <a:extLst>
            <a:ext uri="{FF2B5EF4-FFF2-40B4-BE49-F238E27FC236}">
              <a16:creationId xmlns:a16="http://schemas.microsoft.com/office/drawing/2014/main" id="{38A85B4F-9CB4-4947-B738-4E581DF2540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658" name="AutoShape 1">
          <a:extLst>
            <a:ext uri="{FF2B5EF4-FFF2-40B4-BE49-F238E27FC236}">
              <a16:creationId xmlns:a16="http://schemas.microsoft.com/office/drawing/2014/main" id="{80E5F19F-2615-46C3-BA7A-26190A82FA2A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659" name="AutoShape 1">
          <a:extLst>
            <a:ext uri="{FF2B5EF4-FFF2-40B4-BE49-F238E27FC236}">
              <a16:creationId xmlns:a16="http://schemas.microsoft.com/office/drawing/2014/main" id="{F592B106-998B-4386-BA0E-30ED4C79626C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660" name="AutoShape 1">
          <a:extLst>
            <a:ext uri="{FF2B5EF4-FFF2-40B4-BE49-F238E27FC236}">
              <a16:creationId xmlns:a16="http://schemas.microsoft.com/office/drawing/2014/main" id="{29FFACB6-8150-4E2B-85C9-33E5FF93BEE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661" name="AutoShape 1">
          <a:extLst>
            <a:ext uri="{FF2B5EF4-FFF2-40B4-BE49-F238E27FC236}">
              <a16:creationId xmlns:a16="http://schemas.microsoft.com/office/drawing/2014/main" id="{974F56D0-61A8-4D03-AFB4-989B9E344FF7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662" name="AutoShape 1">
          <a:extLst>
            <a:ext uri="{FF2B5EF4-FFF2-40B4-BE49-F238E27FC236}">
              <a16:creationId xmlns:a16="http://schemas.microsoft.com/office/drawing/2014/main" id="{D2EA6B86-3B2F-4E77-A617-72649F8FDF5A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663" name="AutoShape 1">
          <a:extLst>
            <a:ext uri="{FF2B5EF4-FFF2-40B4-BE49-F238E27FC236}">
              <a16:creationId xmlns:a16="http://schemas.microsoft.com/office/drawing/2014/main" id="{E442A017-7667-44D1-9039-71B49D2778D9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664" name="AutoShape 1">
          <a:extLst>
            <a:ext uri="{FF2B5EF4-FFF2-40B4-BE49-F238E27FC236}">
              <a16:creationId xmlns:a16="http://schemas.microsoft.com/office/drawing/2014/main" id="{F14DC845-C602-4745-937C-BC2053EA51CC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665" name="AutoShape 1">
          <a:extLst>
            <a:ext uri="{FF2B5EF4-FFF2-40B4-BE49-F238E27FC236}">
              <a16:creationId xmlns:a16="http://schemas.microsoft.com/office/drawing/2014/main" id="{E0D0AE82-30AD-4724-B530-868F1423480C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666" name="AutoShape 1">
          <a:extLst>
            <a:ext uri="{FF2B5EF4-FFF2-40B4-BE49-F238E27FC236}">
              <a16:creationId xmlns:a16="http://schemas.microsoft.com/office/drawing/2014/main" id="{3EC89328-8D81-464E-837D-3AC1A31FE873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667" name="AutoShape 1">
          <a:extLst>
            <a:ext uri="{FF2B5EF4-FFF2-40B4-BE49-F238E27FC236}">
              <a16:creationId xmlns:a16="http://schemas.microsoft.com/office/drawing/2014/main" id="{5C984D41-236E-49B3-A4B3-730F08DC6B84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668" name="AutoShape 1">
          <a:extLst>
            <a:ext uri="{FF2B5EF4-FFF2-40B4-BE49-F238E27FC236}">
              <a16:creationId xmlns:a16="http://schemas.microsoft.com/office/drawing/2014/main" id="{EBF36ADA-581A-4F19-B928-4817FA9C677E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669" name="AutoShape 1">
          <a:extLst>
            <a:ext uri="{FF2B5EF4-FFF2-40B4-BE49-F238E27FC236}">
              <a16:creationId xmlns:a16="http://schemas.microsoft.com/office/drawing/2014/main" id="{B1964C0C-70EA-4523-B504-ADCF119D860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670" name="AutoShape 1">
          <a:extLst>
            <a:ext uri="{FF2B5EF4-FFF2-40B4-BE49-F238E27FC236}">
              <a16:creationId xmlns:a16="http://schemas.microsoft.com/office/drawing/2014/main" id="{C09978D0-FEE8-4090-BF1F-B064F549391C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671" name="AutoShape 1">
          <a:extLst>
            <a:ext uri="{FF2B5EF4-FFF2-40B4-BE49-F238E27FC236}">
              <a16:creationId xmlns:a16="http://schemas.microsoft.com/office/drawing/2014/main" id="{667D727E-26BB-47AD-B8E7-DCF11CDE5069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672" name="AutoShape 1">
          <a:extLst>
            <a:ext uri="{FF2B5EF4-FFF2-40B4-BE49-F238E27FC236}">
              <a16:creationId xmlns:a16="http://schemas.microsoft.com/office/drawing/2014/main" id="{F7478802-96D4-46A2-A8A6-8EA7B1DF76D7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673" name="AutoShape 1">
          <a:extLst>
            <a:ext uri="{FF2B5EF4-FFF2-40B4-BE49-F238E27FC236}">
              <a16:creationId xmlns:a16="http://schemas.microsoft.com/office/drawing/2014/main" id="{5C1F0E46-D41E-4971-AAAD-66C19522ABC3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674" name="AutoShape 1">
          <a:extLst>
            <a:ext uri="{FF2B5EF4-FFF2-40B4-BE49-F238E27FC236}">
              <a16:creationId xmlns:a16="http://schemas.microsoft.com/office/drawing/2014/main" id="{99C9A3FE-6445-4B40-9426-731B43311AB7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675" name="AutoShape 1">
          <a:extLst>
            <a:ext uri="{FF2B5EF4-FFF2-40B4-BE49-F238E27FC236}">
              <a16:creationId xmlns:a16="http://schemas.microsoft.com/office/drawing/2014/main" id="{325A9B91-5F70-4631-8395-50781E49B101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676" name="AutoShape 1">
          <a:extLst>
            <a:ext uri="{FF2B5EF4-FFF2-40B4-BE49-F238E27FC236}">
              <a16:creationId xmlns:a16="http://schemas.microsoft.com/office/drawing/2014/main" id="{CB5221F5-5DC9-4C6A-A48A-C9103BC548DA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677" name="AutoShape 1">
          <a:extLst>
            <a:ext uri="{FF2B5EF4-FFF2-40B4-BE49-F238E27FC236}">
              <a16:creationId xmlns:a16="http://schemas.microsoft.com/office/drawing/2014/main" id="{2796B047-D42C-44FF-8003-DA80AB4561EE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678" name="AutoShape 1">
          <a:extLst>
            <a:ext uri="{FF2B5EF4-FFF2-40B4-BE49-F238E27FC236}">
              <a16:creationId xmlns:a16="http://schemas.microsoft.com/office/drawing/2014/main" id="{E249D379-32B0-421F-8377-9A7274436830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679" name="AutoShape 1">
          <a:extLst>
            <a:ext uri="{FF2B5EF4-FFF2-40B4-BE49-F238E27FC236}">
              <a16:creationId xmlns:a16="http://schemas.microsoft.com/office/drawing/2014/main" id="{73CFD4BA-8C93-43F7-8E25-5A49A0262086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680" name="AutoShape 1">
          <a:extLst>
            <a:ext uri="{FF2B5EF4-FFF2-40B4-BE49-F238E27FC236}">
              <a16:creationId xmlns:a16="http://schemas.microsoft.com/office/drawing/2014/main" id="{04E63D68-77AC-4ACE-B657-F44465FC55C2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681" name="AutoShape 1">
          <a:extLst>
            <a:ext uri="{FF2B5EF4-FFF2-40B4-BE49-F238E27FC236}">
              <a16:creationId xmlns:a16="http://schemas.microsoft.com/office/drawing/2014/main" id="{A5B728D5-D61D-46F3-BADD-B16F22F580CF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682" name="AutoShape 1">
          <a:extLst>
            <a:ext uri="{FF2B5EF4-FFF2-40B4-BE49-F238E27FC236}">
              <a16:creationId xmlns:a16="http://schemas.microsoft.com/office/drawing/2014/main" id="{2E676F1B-82E8-4AB9-A96C-2EBAB15B721A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683" name="AutoShape 1">
          <a:extLst>
            <a:ext uri="{FF2B5EF4-FFF2-40B4-BE49-F238E27FC236}">
              <a16:creationId xmlns:a16="http://schemas.microsoft.com/office/drawing/2014/main" id="{134C0A6B-0241-4789-A887-E46E4CDD4673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684" name="AutoShape 1">
          <a:extLst>
            <a:ext uri="{FF2B5EF4-FFF2-40B4-BE49-F238E27FC236}">
              <a16:creationId xmlns:a16="http://schemas.microsoft.com/office/drawing/2014/main" id="{5AA4972C-1CAB-4690-83E9-AF50A734B48E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685" name="AutoShape 1">
          <a:extLst>
            <a:ext uri="{FF2B5EF4-FFF2-40B4-BE49-F238E27FC236}">
              <a16:creationId xmlns:a16="http://schemas.microsoft.com/office/drawing/2014/main" id="{919FEB9D-0956-46F8-8F60-AC82E8A99AF4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686" name="AutoShape 1">
          <a:extLst>
            <a:ext uri="{FF2B5EF4-FFF2-40B4-BE49-F238E27FC236}">
              <a16:creationId xmlns:a16="http://schemas.microsoft.com/office/drawing/2014/main" id="{2379328F-9BE3-4365-831D-15C60ED101D6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687" name="AutoShape 1">
          <a:extLst>
            <a:ext uri="{FF2B5EF4-FFF2-40B4-BE49-F238E27FC236}">
              <a16:creationId xmlns:a16="http://schemas.microsoft.com/office/drawing/2014/main" id="{10CB6F8B-5A0C-45D0-97F9-D474D9F90674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688" name="AutoShape 1">
          <a:extLst>
            <a:ext uri="{FF2B5EF4-FFF2-40B4-BE49-F238E27FC236}">
              <a16:creationId xmlns:a16="http://schemas.microsoft.com/office/drawing/2014/main" id="{566D1996-581E-4808-976C-D2BDA6C8077C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689" name="AutoShape 1">
          <a:extLst>
            <a:ext uri="{FF2B5EF4-FFF2-40B4-BE49-F238E27FC236}">
              <a16:creationId xmlns:a16="http://schemas.microsoft.com/office/drawing/2014/main" id="{718259B1-2AA0-46EE-9BC2-8BF614279FC1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690" name="AutoShape 1">
          <a:extLst>
            <a:ext uri="{FF2B5EF4-FFF2-40B4-BE49-F238E27FC236}">
              <a16:creationId xmlns:a16="http://schemas.microsoft.com/office/drawing/2014/main" id="{A3EB802F-55BC-488C-9B33-1DEBC06F138A}"/>
            </a:ext>
            <a:ext uri="{147F2762-F138-4A5C-976F-8EAC2B608ADB}">
              <a16:predDERef xmlns:a16="http://schemas.microsoft.com/office/drawing/2014/main" pred="{A9C9C4DB-4B97-447C-9099-E87BCB3C537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691" name="AutoShape 1">
          <a:extLst>
            <a:ext uri="{FF2B5EF4-FFF2-40B4-BE49-F238E27FC236}">
              <a16:creationId xmlns:a16="http://schemas.microsoft.com/office/drawing/2014/main" id="{E5E77951-5196-433E-AC97-B333FBC263CE}"/>
            </a:ext>
            <a:ext uri="{147F2762-F138-4A5C-976F-8EAC2B608ADB}">
              <a16:predDERef xmlns:a16="http://schemas.microsoft.com/office/drawing/2014/main" pred="{CD89554D-BD76-42AD-819A-278AD445B86E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692" name="AutoShape 1">
          <a:extLst>
            <a:ext uri="{FF2B5EF4-FFF2-40B4-BE49-F238E27FC236}">
              <a16:creationId xmlns:a16="http://schemas.microsoft.com/office/drawing/2014/main" id="{1337675F-C742-408B-9758-A9103F5681FE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693" name="AutoShape 1">
          <a:extLst>
            <a:ext uri="{FF2B5EF4-FFF2-40B4-BE49-F238E27FC236}">
              <a16:creationId xmlns:a16="http://schemas.microsoft.com/office/drawing/2014/main" id="{D7F5C578-D5A3-43D9-B2CB-AC9077350B2F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694" name="AutoShape 1">
          <a:extLst>
            <a:ext uri="{FF2B5EF4-FFF2-40B4-BE49-F238E27FC236}">
              <a16:creationId xmlns:a16="http://schemas.microsoft.com/office/drawing/2014/main" id="{3EC754EB-D406-4DCF-B23C-B502495E788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695" name="AutoShape 1">
          <a:extLst>
            <a:ext uri="{FF2B5EF4-FFF2-40B4-BE49-F238E27FC236}">
              <a16:creationId xmlns:a16="http://schemas.microsoft.com/office/drawing/2014/main" id="{AAFECECF-A9BE-4624-8A36-6A08B8DD1906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696" name="AutoShape 1">
          <a:extLst>
            <a:ext uri="{FF2B5EF4-FFF2-40B4-BE49-F238E27FC236}">
              <a16:creationId xmlns:a16="http://schemas.microsoft.com/office/drawing/2014/main" id="{38A165D7-4F01-4CF3-A440-BCC45B090A9F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697" name="AutoShape 1">
          <a:extLst>
            <a:ext uri="{FF2B5EF4-FFF2-40B4-BE49-F238E27FC236}">
              <a16:creationId xmlns:a16="http://schemas.microsoft.com/office/drawing/2014/main" id="{5DEDFB83-027E-4283-AC4F-3ED852784ED4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698" name="AutoShape 1">
          <a:extLst>
            <a:ext uri="{FF2B5EF4-FFF2-40B4-BE49-F238E27FC236}">
              <a16:creationId xmlns:a16="http://schemas.microsoft.com/office/drawing/2014/main" id="{83381C84-F604-4BAA-B586-DE5E0F1CF78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699" name="AutoShape 1">
          <a:extLst>
            <a:ext uri="{FF2B5EF4-FFF2-40B4-BE49-F238E27FC236}">
              <a16:creationId xmlns:a16="http://schemas.microsoft.com/office/drawing/2014/main" id="{DA50FF28-5533-451D-9F52-F91EFEE7576E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700" name="AutoShape 1">
          <a:extLst>
            <a:ext uri="{FF2B5EF4-FFF2-40B4-BE49-F238E27FC236}">
              <a16:creationId xmlns:a16="http://schemas.microsoft.com/office/drawing/2014/main" id="{74007057-7562-43B1-82B6-1186B6FCED8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701" name="AutoShape 1">
          <a:extLst>
            <a:ext uri="{FF2B5EF4-FFF2-40B4-BE49-F238E27FC236}">
              <a16:creationId xmlns:a16="http://schemas.microsoft.com/office/drawing/2014/main" id="{779A919D-74EE-42BC-A42D-7D67A9804E6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702" name="AutoShape 1">
          <a:extLst>
            <a:ext uri="{FF2B5EF4-FFF2-40B4-BE49-F238E27FC236}">
              <a16:creationId xmlns:a16="http://schemas.microsoft.com/office/drawing/2014/main" id="{ADD4EB21-05BA-4DAC-B3FE-471FD29F8417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703" name="AutoShape 1">
          <a:extLst>
            <a:ext uri="{FF2B5EF4-FFF2-40B4-BE49-F238E27FC236}">
              <a16:creationId xmlns:a16="http://schemas.microsoft.com/office/drawing/2014/main" id="{19628107-EB9A-481A-9632-2B1D256DA60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704" name="AutoShape 1">
          <a:extLst>
            <a:ext uri="{FF2B5EF4-FFF2-40B4-BE49-F238E27FC236}">
              <a16:creationId xmlns:a16="http://schemas.microsoft.com/office/drawing/2014/main" id="{7E83FD1A-DD72-4A0A-B82E-8FEA73EBDC4F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705" name="AutoShape 1">
          <a:extLst>
            <a:ext uri="{FF2B5EF4-FFF2-40B4-BE49-F238E27FC236}">
              <a16:creationId xmlns:a16="http://schemas.microsoft.com/office/drawing/2014/main" id="{5C8E0A8C-46D8-4850-AA2F-35DAA9AB70EF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706" name="AutoShape 1">
          <a:extLst>
            <a:ext uri="{FF2B5EF4-FFF2-40B4-BE49-F238E27FC236}">
              <a16:creationId xmlns:a16="http://schemas.microsoft.com/office/drawing/2014/main" id="{A9F0E174-DD5A-435B-A09C-A4C6FA632EC3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707" name="AutoShape 1">
          <a:extLst>
            <a:ext uri="{FF2B5EF4-FFF2-40B4-BE49-F238E27FC236}">
              <a16:creationId xmlns:a16="http://schemas.microsoft.com/office/drawing/2014/main" id="{CA051C92-F3DD-4B01-A3AA-A2E79AF57FE1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708" name="AutoShape 1">
          <a:extLst>
            <a:ext uri="{FF2B5EF4-FFF2-40B4-BE49-F238E27FC236}">
              <a16:creationId xmlns:a16="http://schemas.microsoft.com/office/drawing/2014/main" id="{4B13930E-9164-409A-A2CB-F45E87D082F2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709" name="AutoShape 1">
          <a:extLst>
            <a:ext uri="{FF2B5EF4-FFF2-40B4-BE49-F238E27FC236}">
              <a16:creationId xmlns:a16="http://schemas.microsoft.com/office/drawing/2014/main" id="{9B000C0D-139F-4A4B-A2E0-298504560EDA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710" name="AutoShape 1">
          <a:extLst>
            <a:ext uri="{FF2B5EF4-FFF2-40B4-BE49-F238E27FC236}">
              <a16:creationId xmlns:a16="http://schemas.microsoft.com/office/drawing/2014/main" id="{38417126-C1BE-4F68-94F8-53F5B9D8E06F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711" name="AutoShape 1">
          <a:extLst>
            <a:ext uri="{FF2B5EF4-FFF2-40B4-BE49-F238E27FC236}">
              <a16:creationId xmlns:a16="http://schemas.microsoft.com/office/drawing/2014/main" id="{0060846A-D320-4D68-8A21-5C932C8A0AF1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712" name="AutoShape 1">
          <a:extLst>
            <a:ext uri="{FF2B5EF4-FFF2-40B4-BE49-F238E27FC236}">
              <a16:creationId xmlns:a16="http://schemas.microsoft.com/office/drawing/2014/main" id="{0CB300A6-E5FD-4450-BCB2-667483CD3E57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713" name="AutoShape 1">
          <a:extLst>
            <a:ext uri="{FF2B5EF4-FFF2-40B4-BE49-F238E27FC236}">
              <a16:creationId xmlns:a16="http://schemas.microsoft.com/office/drawing/2014/main" id="{520F40D6-7038-4398-A771-364840F98FC5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714" name="AutoShape 1">
          <a:extLst>
            <a:ext uri="{FF2B5EF4-FFF2-40B4-BE49-F238E27FC236}">
              <a16:creationId xmlns:a16="http://schemas.microsoft.com/office/drawing/2014/main" id="{3D5F0CDB-3EC9-4757-AF3C-16950F5EA7B3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715" name="AutoShape 1">
          <a:extLst>
            <a:ext uri="{FF2B5EF4-FFF2-40B4-BE49-F238E27FC236}">
              <a16:creationId xmlns:a16="http://schemas.microsoft.com/office/drawing/2014/main" id="{6AFCD8CF-CC7F-4AA3-804E-F1103D266B4B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716" name="AutoShape 1">
          <a:extLst>
            <a:ext uri="{FF2B5EF4-FFF2-40B4-BE49-F238E27FC236}">
              <a16:creationId xmlns:a16="http://schemas.microsoft.com/office/drawing/2014/main" id="{EED5060B-8E26-4449-B667-2CABCA4B5430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717" name="AutoShape 1">
          <a:extLst>
            <a:ext uri="{FF2B5EF4-FFF2-40B4-BE49-F238E27FC236}">
              <a16:creationId xmlns:a16="http://schemas.microsoft.com/office/drawing/2014/main" id="{05B18BCF-FF35-484F-B24A-92B9366FC312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718" name="AutoShape 1">
          <a:extLst>
            <a:ext uri="{FF2B5EF4-FFF2-40B4-BE49-F238E27FC236}">
              <a16:creationId xmlns:a16="http://schemas.microsoft.com/office/drawing/2014/main" id="{A851F2D6-BC81-4F47-BDAC-D4CDB9A7F910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719" name="AutoShape 1">
          <a:extLst>
            <a:ext uri="{FF2B5EF4-FFF2-40B4-BE49-F238E27FC236}">
              <a16:creationId xmlns:a16="http://schemas.microsoft.com/office/drawing/2014/main" id="{F773EF9B-38E4-46BC-9A3A-529615A55147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720" name="AutoShape 1">
          <a:extLst>
            <a:ext uri="{FF2B5EF4-FFF2-40B4-BE49-F238E27FC236}">
              <a16:creationId xmlns:a16="http://schemas.microsoft.com/office/drawing/2014/main" id="{B3A4AE07-F916-454A-B488-0394C5D03AC6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721" name="AutoShape 1">
          <a:extLst>
            <a:ext uri="{FF2B5EF4-FFF2-40B4-BE49-F238E27FC236}">
              <a16:creationId xmlns:a16="http://schemas.microsoft.com/office/drawing/2014/main" id="{B3E4C9D5-3A4D-4B5E-97E5-714C4A706A4A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722" name="AutoShape 1">
          <a:extLst>
            <a:ext uri="{FF2B5EF4-FFF2-40B4-BE49-F238E27FC236}">
              <a16:creationId xmlns:a16="http://schemas.microsoft.com/office/drawing/2014/main" id="{3FC095CE-1232-4BD5-9A13-0FCE6C149143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723" name="AutoShape 1">
          <a:extLst>
            <a:ext uri="{FF2B5EF4-FFF2-40B4-BE49-F238E27FC236}">
              <a16:creationId xmlns:a16="http://schemas.microsoft.com/office/drawing/2014/main" id="{4F17C319-7CBC-4B2F-B897-ACF94A0CA863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724" name="AutoShape 1">
          <a:extLst>
            <a:ext uri="{FF2B5EF4-FFF2-40B4-BE49-F238E27FC236}">
              <a16:creationId xmlns:a16="http://schemas.microsoft.com/office/drawing/2014/main" id="{F2520943-01C1-454B-AEB6-CA7E79EB4F56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725" name="AutoShape 1">
          <a:extLst>
            <a:ext uri="{FF2B5EF4-FFF2-40B4-BE49-F238E27FC236}">
              <a16:creationId xmlns:a16="http://schemas.microsoft.com/office/drawing/2014/main" id="{02272CB8-9E2F-4007-9FC0-DDC21B80E851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726" name="AutoShape 1">
          <a:extLst>
            <a:ext uri="{FF2B5EF4-FFF2-40B4-BE49-F238E27FC236}">
              <a16:creationId xmlns:a16="http://schemas.microsoft.com/office/drawing/2014/main" id="{DBB5E291-BB85-4817-9EF4-E785E9D7DA2F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727" name="AutoShape 1">
          <a:extLst>
            <a:ext uri="{FF2B5EF4-FFF2-40B4-BE49-F238E27FC236}">
              <a16:creationId xmlns:a16="http://schemas.microsoft.com/office/drawing/2014/main" id="{B4CA9C7A-135C-479A-9242-38BF69FC8FA8}"/>
            </a:ext>
            <a:ext uri="{147F2762-F138-4A5C-976F-8EAC2B608ADB}">
              <a16:predDERef xmlns:a16="http://schemas.microsoft.com/office/drawing/2014/main" pred="{A9C9C4DB-4B97-447C-9099-E87BCB3C537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728" name="AutoShape 1">
          <a:extLst>
            <a:ext uri="{FF2B5EF4-FFF2-40B4-BE49-F238E27FC236}">
              <a16:creationId xmlns:a16="http://schemas.microsoft.com/office/drawing/2014/main" id="{F996FBA4-18B8-4433-9E38-A7BE28BF1AE5}"/>
            </a:ext>
            <a:ext uri="{147F2762-F138-4A5C-976F-8EAC2B608ADB}">
              <a16:predDERef xmlns:a16="http://schemas.microsoft.com/office/drawing/2014/main" pred="{CD89554D-BD76-42AD-819A-278AD445B86E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729" name="AutoShape 1">
          <a:extLst>
            <a:ext uri="{FF2B5EF4-FFF2-40B4-BE49-F238E27FC236}">
              <a16:creationId xmlns:a16="http://schemas.microsoft.com/office/drawing/2014/main" id="{051AA31D-E43A-4DEF-B9D5-F8B63DFB1E1C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730" name="AutoShape 1">
          <a:extLst>
            <a:ext uri="{FF2B5EF4-FFF2-40B4-BE49-F238E27FC236}">
              <a16:creationId xmlns:a16="http://schemas.microsoft.com/office/drawing/2014/main" id="{ABF14893-E658-45C9-A657-7E3B77092754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731" name="AutoShape 1">
          <a:extLst>
            <a:ext uri="{FF2B5EF4-FFF2-40B4-BE49-F238E27FC236}">
              <a16:creationId xmlns:a16="http://schemas.microsoft.com/office/drawing/2014/main" id="{E72C6EC6-5DFD-4BD5-A009-3A252C7D1906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732" name="AutoShape 1">
          <a:extLst>
            <a:ext uri="{FF2B5EF4-FFF2-40B4-BE49-F238E27FC236}">
              <a16:creationId xmlns:a16="http://schemas.microsoft.com/office/drawing/2014/main" id="{32D7F95E-A096-4D3E-AF1B-F44DDB18416B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733" name="AutoShape 1">
          <a:extLst>
            <a:ext uri="{FF2B5EF4-FFF2-40B4-BE49-F238E27FC236}">
              <a16:creationId xmlns:a16="http://schemas.microsoft.com/office/drawing/2014/main" id="{630BF429-1440-46F9-A030-3EDB9CC10C54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734" name="AutoShape 1">
          <a:extLst>
            <a:ext uri="{FF2B5EF4-FFF2-40B4-BE49-F238E27FC236}">
              <a16:creationId xmlns:a16="http://schemas.microsoft.com/office/drawing/2014/main" id="{8216A88C-B3A3-489B-A92E-A74B156B90A7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735" name="AutoShape 1">
          <a:extLst>
            <a:ext uri="{FF2B5EF4-FFF2-40B4-BE49-F238E27FC236}">
              <a16:creationId xmlns:a16="http://schemas.microsoft.com/office/drawing/2014/main" id="{8D31428B-8310-461D-8598-408A0635AA3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736" name="AutoShape 1">
          <a:extLst>
            <a:ext uri="{FF2B5EF4-FFF2-40B4-BE49-F238E27FC236}">
              <a16:creationId xmlns:a16="http://schemas.microsoft.com/office/drawing/2014/main" id="{FD7C3D73-BE35-4BF8-8E98-252A49DDFED9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737" name="AutoShape 1">
          <a:extLst>
            <a:ext uri="{FF2B5EF4-FFF2-40B4-BE49-F238E27FC236}">
              <a16:creationId xmlns:a16="http://schemas.microsoft.com/office/drawing/2014/main" id="{E5478CCD-8E40-48CB-B7EC-41B58C3D672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738" name="AutoShape 1">
          <a:extLst>
            <a:ext uri="{FF2B5EF4-FFF2-40B4-BE49-F238E27FC236}">
              <a16:creationId xmlns:a16="http://schemas.microsoft.com/office/drawing/2014/main" id="{BDE315E2-0438-46F6-9630-1A52134BFC6D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739" name="AutoShape 1">
          <a:extLst>
            <a:ext uri="{FF2B5EF4-FFF2-40B4-BE49-F238E27FC236}">
              <a16:creationId xmlns:a16="http://schemas.microsoft.com/office/drawing/2014/main" id="{9532E3A1-FF48-4982-AB0B-B1BACB85A1FF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740" name="AutoShape 1">
          <a:extLst>
            <a:ext uri="{FF2B5EF4-FFF2-40B4-BE49-F238E27FC236}">
              <a16:creationId xmlns:a16="http://schemas.microsoft.com/office/drawing/2014/main" id="{4715B627-EAD6-4C3B-AA35-45D7BE6F9157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741" name="AutoShape 1">
          <a:extLst>
            <a:ext uri="{FF2B5EF4-FFF2-40B4-BE49-F238E27FC236}">
              <a16:creationId xmlns:a16="http://schemas.microsoft.com/office/drawing/2014/main" id="{3924C712-E690-402D-9626-976ED104756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742" name="AutoShape 1">
          <a:extLst>
            <a:ext uri="{FF2B5EF4-FFF2-40B4-BE49-F238E27FC236}">
              <a16:creationId xmlns:a16="http://schemas.microsoft.com/office/drawing/2014/main" id="{9793B565-C2D4-446A-9784-DF00B394448E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743" name="AutoShape 1">
          <a:extLst>
            <a:ext uri="{FF2B5EF4-FFF2-40B4-BE49-F238E27FC236}">
              <a16:creationId xmlns:a16="http://schemas.microsoft.com/office/drawing/2014/main" id="{3ED79D7B-4433-426C-8654-F9DC29540E2F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744" name="AutoShape 1">
          <a:extLst>
            <a:ext uri="{FF2B5EF4-FFF2-40B4-BE49-F238E27FC236}">
              <a16:creationId xmlns:a16="http://schemas.microsoft.com/office/drawing/2014/main" id="{8346B909-24E0-4CCF-9D34-445646B6E47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745" name="AutoShape 1">
          <a:extLst>
            <a:ext uri="{FF2B5EF4-FFF2-40B4-BE49-F238E27FC236}">
              <a16:creationId xmlns:a16="http://schemas.microsoft.com/office/drawing/2014/main" id="{EF6171C4-DE95-421E-B696-816AC79C4BC0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746" name="AutoShape 1">
          <a:extLst>
            <a:ext uri="{FF2B5EF4-FFF2-40B4-BE49-F238E27FC236}">
              <a16:creationId xmlns:a16="http://schemas.microsoft.com/office/drawing/2014/main" id="{EBD0EC77-D582-4A0E-AB08-1166F7E4CD15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747" name="AutoShape 1">
          <a:extLst>
            <a:ext uri="{FF2B5EF4-FFF2-40B4-BE49-F238E27FC236}">
              <a16:creationId xmlns:a16="http://schemas.microsoft.com/office/drawing/2014/main" id="{E4FD752C-AD5E-4060-AEED-7E3C5ADF0ADD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748" name="AutoShape 1">
          <a:extLst>
            <a:ext uri="{FF2B5EF4-FFF2-40B4-BE49-F238E27FC236}">
              <a16:creationId xmlns:a16="http://schemas.microsoft.com/office/drawing/2014/main" id="{3525D5E0-6FBD-494F-AD63-F9F1BFD29B63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749" name="AutoShape 1">
          <a:extLst>
            <a:ext uri="{FF2B5EF4-FFF2-40B4-BE49-F238E27FC236}">
              <a16:creationId xmlns:a16="http://schemas.microsoft.com/office/drawing/2014/main" id="{83D2F429-361B-4008-B899-16078F90690A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750" name="AutoShape 1">
          <a:extLst>
            <a:ext uri="{FF2B5EF4-FFF2-40B4-BE49-F238E27FC236}">
              <a16:creationId xmlns:a16="http://schemas.microsoft.com/office/drawing/2014/main" id="{AE53BF12-1DF3-4DD7-ACB3-2FA614A9A0ED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751" name="AutoShape 1">
          <a:extLst>
            <a:ext uri="{FF2B5EF4-FFF2-40B4-BE49-F238E27FC236}">
              <a16:creationId xmlns:a16="http://schemas.microsoft.com/office/drawing/2014/main" id="{CD5F7AA2-6C61-46CF-89B9-67ED82A929E6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752" name="AutoShape 1">
          <a:extLst>
            <a:ext uri="{FF2B5EF4-FFF2-40B4-BE49-F238E27FC236}">
              <a16:creationId xmlns:a16="http://schemas.microsoft.com/office/drawing/2014/main" id="{B8268CA5-5251-4622-BD07-4E16BCDABFA8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753" name="AutoShape 1">
          <a:extLst>
            <a:ext uri="{FF2B5EF4-FFF2-40B4-BE49-F238E27FC236}">
              <a16:creationId xmlns:a16="http://schemas.microsoft.com/office/drawing/2014/main" id="{1CCC2FC0-D790-4AF1-8015-650E1B4B794C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754" name="AutoShape 1">
          <a:extLst>
            <a:ext uri="{FF2B5EF4-FFF2-40B4-BE49-F238E27FC236}">
              <a16:creationId xmlns:a16="http://schemas.microsoft.com/office/drawing/2014/main" id="{CCD0690F-5A45-497C-B766-66B33D2DBFDB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755" name="AutoShape 1">
          <a:extLst>
            <a:ext uri="{FF2B5EF4-FFF2-40B4-BE49-F238E27FC236}">
              <a16:creationId xmlns:a16="http://schemas.microsoft.com/office/drawing/2014/main" id="{2D6012D8-1728-4B6C-BE3B-326C9DD5155F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756" name="AutoShape 1">
          <a:extLst>
            <a:ext uri="{FF2B5EF4-FFF2-40B4-BE49-F238E27FC236}">
              <a16:creationId xmlns:a16="http://schemas.microsoft.com/office/drawing/2014/main" id="{7B8020E5-7F9A-4264-86B4-1349CB1C92C1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757" name="AutoShape 1">
          <a:extLst>
            <a:ext uri="{FF2B5EF4-FFF2-40B4-BE49-F238E27FC236}">
              <a16:creationId xmlns:a16="http://schemas.microsoft.com/office/drawing/2014/main" id="{48803B53-3711-4E5B-8944-FA87F010B3A6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758" name="AutoShape 1">
          <a:extLst>
            <a:ext uri="{FF2B5EF4-FFF2-40B4-BE49-F238E27FC236}">
              <a16:creationId xmlns:a16="http://schemas.microsoft.com/office/drawing/2014/main" id="{E63FE527-BDDF-4558-A180-2E059B3357E3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759" name="AutoShape 1">
          <a:extLst>
            <a:ext uri="{FF2B5EF4-FFF2-40B4-BE49-F238E27FC236}">
              <a16:creationId xmlns:a16="http://schemas.microsoft.com/office/drawing/2014/main" id="{595B2641-9981-4D69-BD54-36ACF9AB56BB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760" name="AutoShape 1">
          <a:extLst>
            <a:ext uri="{FF2B5EF4-FFF2-40B4-BE49-F238E27FC236}">
              <a16:creationId xmlns:a16="http://schemas.microsoft.com/office/drawing/2014/main" id="{59D0CEE1-E185-4D28-BBEF-B1B1F1E65065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761" name="AutoShape 1">
          <a:extLst>
            <a:ext uri="{FF2B5EF4-FFF2-40B4-BE49-F238E27FC236}">
              <a16:creationId xmlns:a16="http://schemas.microsoft.com/office/drawing/2014/main" id="{08BED2FC-E00C-4EF8-BFF6-3227FAF0B17B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762" name="AutoShape 1">
          <a:extLst>
            <a:ext uri="{FF2B5EF4-FFF2-40B4-BE49-F238E27FC236}">
              <a16:creationId xmlns:a16="http://schemas.microsoft.com/office/drawing/2014/main" id="{8D11F8FB-203C-4E06-B775-01AC44771C99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763" name="AutoShape 1">
          <a:extLst>
            <a:ext uri="{FF2B5EF4-FFF2-40B4-BE49-F238E27FC236}">
              <a16:creationId xmlns:a16="http://schemas.microsoft.com/office/drawing/2014/main" id="{72E5D73C-8F5C-4705-B005-B5D9030A60A9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764" name="AutoShape 1">
          <a:extLst>
            <a:ext uri="{FF2B5EF4-FFF2-40B4-BE49-F238E27FC236}">
              <a16:creationId xmlns:a16="http://schemas.microsoft.com/office/drawing/2014/main" id="{D5A39BDC-AA7E-4B8B-BD0B-6F2D209ACB2C}"/>
            </a:ext>
            <a:ext uri="{147F2762-F138-4A5C-976F-8EAC2B608ADB}">
              <a16:predDERef xmlns:a16="http://schemas.microsoft.com/office/drawing/2014/main" pred="{A9C9C4DB-4B97-447C-9099-E87BCB3C537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765" name="AutoShape 1">
          <a:extLst>
            <a:ext uri="{FF2B5EF4-FFF2-40B4-BE49-F238E27FC236}">
              <a16:creationId xmlns:a16="http://schemas.microsoft.com/office/drawing/2014/main" id="{D6364A05-A4D2-4E21-A63E-3116EBA7569B}"/>
            </a:ext>
            <a:ext uri="{147F2762-F138-4A5C-976F-8EAC2B608ADB}">
              <a16:predDERef xmlns:a16="http://schemas.microsoft.com/office/drawing/2014/main" pred="{CD89554D-BD76-42AD-819A-278AD445B86E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766" name="AutoShape 1">
          <a:extLst>
            <a:ext uri="{FF2B5EF4-FFF2-40B4-BE49-F238E27FC236}">
              <a16:creationId xmlns:a16="http://schemas.microsoft.com/office/drawing/2014/main" id="{5C2934A7-FB56-4D5C-BF48-396600AEEF8A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767" name="AutoShape 1">
          <a:extLst>
            <a:ext uri="{FF2B5EF4-FFF2-40B4-BE49-F238E27FC236}">
              <a16:creationId xmlns:a16="http://schemas.microsoft.com/office/drawing/2014/main" id="{54AA62A8-2213-418F-808A-3283772EB3CE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768" name="AutoShape 1">
          <a:extLst>
            <a:ext uri="{FF2B5EF4-FFF2-40B4-BE49-F238E27FC236}">
              <a16:creationId xmlns:a16="http://schemas.microsoft.com/office/drawing/2014/main" id="{D4CDE875-66A3-4E28-B14E-FEAA922680E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769" name="AutoShape 1">
          <a:extLst>
            <a:ext uri="{FF2B5EF4-FFF2-40B4-BE49-F238E27FC236}">
              <a16:creationId xmlns:a16="http://schemas.microsoft.com/office/drawing/2014/main" id="{A72FF86B-A03C-49F6-818B-3ADC4B6AD6FF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770" name="AutoShape 1">
          <a:extLst>
            <a:ext uri="{FF2B5EF4-FFF2-40B4-BE49-F238E27FC236}">
              <a16:creationId xmlns:a16="http://schemas.microsoft.com/office/drawing/2014/main" id="{A586F13E-BC99-40BB-8F3B-4E46EAB70BAC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771" name="AutoShape 1">
          <a:extLst>
            <a:ext uri="{FF2B5EF4-FFF2-40B4-BE49-F238E27FC236}">
              <a16:creationId xmlns:a16="http://schemas.microsoft.com/office/drawing/2014/main" id="{203A3CBC-506B-4B66-A37C-D17F97CB3A0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772" name="AutoShape 1">
          <a:extLst>
            <a:ext uri="{FF2B5EF4-FFF2-40B4-BE49-F238E27FC236}">
              <a16:creationId xmlns:a16="http://schemas.microsoft.com/office/drawing/2014/main" id="{1A093004-14B1-4D36-923E-87FEEF2CDEA1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773" name="AutoShape 1">
          <a:extLst>
            <a:ext uri="{FF2B5EF4-FFF2-40B4-BE49-F238E27FC236}">
              <a16:creationId xmlns:a16="http://schemas.microsoft.com/office/drawing/2014/main" id="{163F5211-5C2E-4762-8A29-414FAE5CEF27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774" name="AutoShape 1">
          <a:extLst>
            <a:ext uri="{FF2B5EF4-FFF2-40B4-BE49-F238E27FC236}">
              <a16:creationId xmlns:a16="http://schemas.microsoft.com/office/drawing/2014/main" id="{F40DAAA0-50D4-4FBF-A42C-3AFD6FE0DEE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775" name="AutoShape 1">
          <a:extLst>
            <a:ext uri="{FF2B5EF4-FFF2-40B4-BE49-F238E27FC236}">
              <a16:creationId xmlns:a16="http://schemas.microsoft.com/office/drawing/2014/main" id="{A30F6DE3-93E8-45F5-BE9D-92C17A2D670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776" name="AutoShape 1">
          <a:extLst>
            <a:ext uri="{FF2B5EF4-FFF2-40B4-BE49-F238E27FC236}">
              <a16:creationId xmlns:a16="http://schemas.microsoft.com/office/drawing/2014/main" id="{8E25B5C5-2EE5-41E9-98AB-767308C359BB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777" name="AutoShape 1">
          <a:extLst>
            <a:ext uri="{FF2B5EF4-FFF2-40B4-BE49-F238E27FC236}">
              <a16:creationId xmlns:a16="http://schemas.microsoft.com/office/drawing/2014/main" id="{A6B70596-7EFB-4027-8BFC-FF961D46C493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778" name="AutoShape 1">
          <a:extLst>
            <a:ext uri="{FF2B5EF4-FFF2-40B4-BE49-F238E27FC236}">
              <a16:creationId xmlns:a16="http://schemas.microsoft.com/office/drawing/2014/main" id="{A47EC8AE-445D-42D8-B041-FAB3321913A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779" name="AutoShape 1">
          <a:extLst>
            <a:ext uri="{FF2B5EF4-FFF2-40B4-BE49-F238E27FC236}">
              <a16:creationId xmlns:a16="http://schemas.microsoft.com/office/drawing/2014/main" id="{3A4AFB94-2074-44D5-9ECD-66968E563E1D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780" name="AutoShape 1">
          <a:extLst>
            <a:ext uri="{FF2B5EF4-FFF2-40B4-BE49-F238E27FC236}">
              <a16:creationId xmlns:a16="http://schemas.microsoft.com/office/drawing/2014/main" id="{9BAD5D37-40B3-4AE5-9A99-E367BF77F6ED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781" name="AutoShape 1">
          <a:extLst>
            <a:ext uri="{FF2B5EF4-FFF2-40B4-BE49-F238E27FC236}">
              <a16:creationId xmlns:a16="http://schemas.microsoft.com/office/drawing/2014/main" id="{17C0EE24-1544-43DC-AB9E-DF28487A9C9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782" name="AutoShape 1">
          <a:extLst>
            <a:ext uri="{FF2B5EF4-FFF2-40B4-BE49-F238E27FC236}">
              <a16:creationId xmlns:a16="http://schemas.microsoft.com/office/drawing/2014/main" id="{2A4A0C0F-5B19-4AEE-B256-90730F95CB30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783" name="AutoShape 1">
          <a:extLst>
            <a:ext uri="{FF2B5EF4-FFF2-40B4-BE49-F238E27FC236}">
              <a16:creationId xmlns:a16="http://schemas.microsoft.com/office/drawing/2014/main" id="{B2838151-5249-4D04-B542-FA4749387292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784" name="AutoShape 1">
          <a:extLst>
            <a:ext uri="{FF2B5EF4-FFF2-40B4-BE49-F238E27FC236}">
              <a16:creationId xmlns:a16="http://schemas.microsoft.com/office/drawing/2014/main" id="{1D3DA0AA-5C20-4DF6-89DF-63D514180593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785" name="AutoShape 1">
          <a:extLst>
            <a:ext uri="{FF2B5EF4-FFF2-40B4-BE49-F238E27FC236}">
              <a16:creationId xmlns:a16="http://schemas.microsoft.com/office/drawing/2014/main" id="{19E028CD-BD5E-43AE-8340-9575ED1FBAAE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786" name="AutoShape 1">
          <a:extLst>
            <a:ext uri="{FF2B5EF4-FFF2-40B4-BE49-F238E27FC236}">
              <a16:creationId xmlns:a16="http://schemas.microsoft.com/office/drawing/2014/main" id="{0410F911-BD03-4945-9B56-A5B804254C76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787" name="AutoShape 1">
          <a:extLst>
            <a:ext uri="{FF2B5EF4-FFF2-40B4-BE49-F238E27FC236}">
              <a16:creationId xmlns:a16="http://schemas.microsoft.com/office/drawing/2014/main" id="{2886E90E-9D54-46B7-84DD-2DA0F7C199E3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788" name="AutoShape 1">
          <a:extLst>
            <a:ext uri="{FF2B5EF4-FFF2-40B4-BE49-F238E27FC236}">
              <a16:creationId xmlns:a16="http://schemas.microsoft.com/office/drawing/2014/main" id="{B4FD3773-0BCD-4D13-BF02-B0E215E1D874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789" name="AutoShape 1">
          <a:extLst>
            <a:ext uri="{FF2B5EF4-FFF2-40B4-BE49-F238E27FC236}">
              <a16:creationId xmlns:a16="http://schemas.microsoft.com/office/drawing/2014/main" id="{FD148493-DA6A-40C4-B597-1AF6D7A3322C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790" name="AutoShape 1">
          <a:extLst>
            <a:ext uri="{FF2B5EF4-FFF2-40B4-BE49-F238E27FC236}">
              <a16:creationId xmlns:a16="http://schemas.microsoft.com/office/drawing/2014/main" id="{96B1940B-03B7-4E5D-8CDD-48AC620384ED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791" name="AutoShape 1">
          <a:extLst>
            <a:ext uri="{FF2B5EF4-FFF2-40B4-BE49-F238E27FC236}">
              <a16:creationId xmlns:a16="http://schemas.microsoft.com/office/drawing/2014/main" id="{1CDD5497-556E-41FE-BE11-80A6ADFB727B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792" name="AutoShape 1">
          <a:extLst>
            <a:ext uri="{FF2B5EF4-FFF2-40B4-BE49-F238E27FC236}">
              <a16:creationId xmlns:a16="http://schemas.microsoft.com/office/drawing/2014/main" id="{BA69B4AC-EA70-499E-9A11-C6B43BFEDDB4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793" name="AutoShape 1">
          <a:extLst>
            <a:ext uri="{FF2B5EF4-FFF2-40B4-BE49-F238E27FC236}">
              <a16:creationId xmlns:a16="http://schemas.microsoft.com/office/drawing/2014/main" id="{9C32C2B2-9CA7-43CF-81A2-E21D78550E33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794" name="AutoShape 1">
          <a:extLst>
            <a:ext uri="{FF2B5EF4-FFF2-40B4-BE49-F238E27FC236}">
              <a16:creationId xmlns:a16="http://schemas.microsoft.com/office/drawing/2014/main" id="{1628F4CC-B126-4E58-8BB9-DD549920EA82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795" name="AutoShape 1">
          <a:extLst>
            <a:ext uri="{FF2B5EF4-FFF2-40B4-BE49-F238E27FC236}">
              <a16:creationId xmlns:a16="http://schemas.microsoft.com/office/drawing/2014/main" id="{CD6547AF-11D3-4773-A2BE-0B6DEABB5DBB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796" name="AutoShape 1">
          <a:extLst>
            <a:ext uri="{FF2B5EF4-FFF2-40B4-BE49-F238E27FC236}">
              <a16:creationId xmlns:a16="http://schemas.microsoft.com/office/drawing/2014/main" id="{0CF4A404-FBAF-4C64-BECD-ACEDC83FA184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797" name="AutoShape 1">
          <a:extLst>
            <a:ext uri="{FF2B5EF4-FFF2-40B4-BE49-F238E27FC236}">
              <a16:creationId xmlns:a16="http://schemas.microsoft.com/office/drawing/2014/main" id="{DDDB7280-629D-4DE6-8F91-24C4D0C90F2A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798" name="AutoShape 1">
          <a:extLst>
            <a:ext uri="{FF2B5EF4-FFF2-40B4-BE49-F238E27FC236}">
              <a16:creationId xmlns:a16="http://schemas.microsoft.com/office/drawing/2014/main" id="{8D85AB51-5D66-4AE9-8561-BB5F97C6CA16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799" name="AutoShape 1">
          <a:extLst>
            <a:ext uri="{FF2B5EF4-FFF2-40B4-BE49-F238E27FC236}">
              <a16:creationId xmlns:a16="http://schemas.microsoft.com/office/drawing/2014/main" id="{F0C9156B-02F0-42C5-898D-27897F7CE18E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800" name="AutoShape 1">
          <a:extLst>
            <a:ext uri="{FF2B5EF4-FFF2-40B4-BE49-F238E27FC236}">
              <a16:creationId xmlns:a16="http://schemas.microsoft.com/office/drawing/2014/main" id="{9B2B4896-D671-4DD0-9660-0022E19F2127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801" name="AutoShape 1">
          <a:extLst>
            <a:ext uri="{FF2B5EF4-FFF2-40B4-BE49-F238E27FC236}">
              <a16:creationId xmlns:a16="http://schemas.microsoft.com/office/drawing/2014/main" id="{5C203905-DE90-4F60-BFE1-C1D5E605AE2E}"/>
            </a:ext>
            <a:ext uri="{147F2762-F138-4A5C-976F-8EAC2B608ADB}">
              <a16:predDERef xmlns:a16="http://schemas.microsoft.com/office/drawing/2014/main" pred="{A9C9C4DB-4B97-447C-9099-E87BCB3C537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330</xdr:row>
      <xdr:rowOff>0</xdr:rowOff>
    </xdr:from>
    <xdr:ext cx="304800" cy="304800"/>
    <xdr:sp macro="" textlink="">
      <xdr:nvSpPr>
        <xdr:cNvPr id="802" name="AutoShape 1">
          <a:extLst>
            <a:ext uri="{FF2B5EF4-FFF2-40B4-BE49-F238E27FC236}">
              <a16:creationId xmlns:a16="http://schemas.microsoft.com/office/drawing/2014/main" id="{E4F23183-60F3-4E0B-B175-96499F73EF4C}"/>
            </a:ext>
            <a:ext uri="{147F2762-F138-4A5C-976F-8EAC2B608ADB}">
              <a16:predDERef xmlns:a16="http://schemas.microsoft.com/office/drawing/2014/main" pred="{CD89554D-BD76-42AD-819A-278AD445B86E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0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338</xdr:row>
      <xdr:rowOff>0</xdr:rowOff>
    </xdr:from>
    <xdr:ext cx="304800" cy="304800"/>
    <xdr:sp macro="" textlink="">
      <xdr:nvSpPr>
        <xdr:cNvPr id="803" name="AutoShape 1">
          <a:extLst>
            <a:ext uri="{FF2B5EF4-FFF2-40B4-BE49-F238E27FC236}">
              <a16:creationId xmlns:a16="http://schemas.microsoft.com/office/drawing/2014/main" id="{D3F6C3DD-ACC0-4800-A3DB-F58AF1E06C5C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24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338</xdr:row>
      <xdr:rowOff>0</xdr:rowOff>
    </xdr:from>
    <xdr:ext cx="304800" cy="304800"/>
    <xdr:sp macro="" textlink="">
      <xdr:nvSpPr>
        <xdr:cNvPr id="804" name="AutoShape 1">
          <a:extLst>
            <a:ext uri="{FF2B5EF4-FFF2-40B4-BE49-F238E27FC236}">
              <a16:creationId xmlns:a16="http://schemas.microsoft.com/office/drawing/2014/main" id="{1F9278F9-DD5D-496D-8B32-F693D6757191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24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338</xdr:row>
      <xdr:rowOff>0</xdr:rowOff>
    </xdr:from>
    <xdr:ext cx="304800" cy="304800"/>
    <xdr:sp macro="" textlink="">
      <xdr:nvSpPr>
        <xdr:cNvPr id="805" name="AutoShape 1">
          <a:extLst>
            <a:ext uri="{FF2B5EF4-FFF2-40B4-BE49-F238E27FC236}">
              <a16:creationId xmlns:a16="http://schemas.microsoft.com/office/drawing/2014/main" id="{4D205715-91BF-46C1-88C2-6D6639797C36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24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338</xdr:row>
      <xdr:rowOff>0</xdr:rowOff>
    </xdr:from>
    <xdr:ext cx="304800" cy="304800"/>
    <xdr:sp macro="" textlink="">
      <xdr:nvSpPr>
        <xdr:cNvPr id="806" name="AutoShape 1">
          <a:extLst>
            <a:ext uri="{FF2B5EF4-FFF2-40B4-BE49-F238E27FC236}">
              <a16:creationId xmlns:a16="http://schemas.microsoft.com/office/drawing/2014/main" id="{C878BBF5-83D6-4ED9-90EF-A5570DDBA26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24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338</xdr:row>
      <xdr:rowOff>0</xdr:rowOff>
    </xdr:from>
    <xdr:ext cx="304800" cy="304800"/>
    <xdr:sp macro="" textlink="">
      <xdr:nvSpPr>
        <xdr:cNvPr id="807" name="AutoShape 1">
          <a:extLst>
            <a:ext uri="{FF2B5EF4-FFF2-40B4-BE49-F238E27FC236}">
              <a16:creationId xmlns:a16="http://schemas.microsoft.com/office/drawing/2014/main" id="{B62D7656-BC47-45C3-AB60-4A503D62FC7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24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338</xdr:row>
      <xdr:rowOff>0</xdr:rowOff>
    </xdr:from>
    <xdr:ext cx="304800" cy="304800"/>
    <xdr:sp macro="" textlink="">
      <xdr:nvSpPr>
        <xdr:cNvPr id="808" name="AutoShape 1">
          <a:extLst>
            <a:ext uri="{FF2B5EF4-FFF2-40B4-BE49-F238E27FC236}">
              <a16:creationId xmlns:a16="http://schemas.microsoft.com/office/drawing/2014/main" id="{C99A3C7E-3693-4D4E-AED0-E70E7E89208C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24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338</xdr:row>
      <xdr:rowOff>0</xdr:rowOff>
    </xdr:from>
    <xdr:ext cx="304800" cy="304800"/>
    <xdr:sp macro="" textlink="">
      <xdr:nvSpPr>
        <xdr:cNvPr id="809" name="AutoShape 1">
          <a:extLst>
            <a:ext uri="{FF2B5EF4-FFF2-40B4-BE49-F238E27FC236}">
              <a16:creationId xmlns:a16="http://schemas.microsoft.com/office/drawing/2014/main" id="{13599DB6-7647-42D2-964A-CA4512348A77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24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338</xdr:row>
      <xdr:rowOff>0</xdr:rowOff>
    </xdr:from>
    <xdr:ext cx="304800" cy="304800"/>
    <xdr:sp macro="" textlink="">
      <xdr:nvSpPr>
        <xdr:cNvPr id="810" name="AutoShape 1">
          <a:extLst>
            <a:ext uri="{FF2B5EF4-FFF2-40B4-BE49-F238E27FC236}">
              <a16:creationId xmlns:a16="http://schemas.microsoft.com/office/drawing/2014/main" id="{1C988591-C8AE-44F8-9686-843161B3B01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24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338</xdr:row>
      <xdr:rowOff>0</xdr:rowOff>
    </xdr:from>
    <xdr:ext cx="304800" cy="304800"/>
    <xdr:sp macro="" textlink="">
      <xdr:nvSpPr>
        <xdr:cNvPr id="811" name="AutoShape 1">
          <a:extLst>
            <a:ext uri="{FF2B5EF4-FFF2-40B4-BE49-F238E27FC236}">
              <a16:creationId xmlns:a16="http://schemas.microsoft.com/office/drawing/2014/main" id="{0E019F46-1822-448A-A257-4E167AE6DE3E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24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338</xdr:row>
      <xdr:rowOff>0</xdr:rowOff>
    </xdr:from>
    <xdr:ext cx="304800" cy="304800"/>
    <xdr:sp macro="" textlink="">
      <xdr:nvSpPr>
        <xdr:cNvPr id="812" name="AutoShape 1">
          <a:extLst>
            <a:ext uri="{FF2B5EF4-FFF2-40B4-BE49-F238E27FC236}">
              <a16:creationId xmlns:a16="http://schemas.microsoft.com/office/drawing/2014/main" id="{E214662E-7DB2-46FA-BEDD-5F9B41FFC057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24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338</xdr:row>
      <xdr:rowOff>0</xdr:rowOff>
    </xdr:from>
    <xdr:ext cx="304800" cy="304800"/>
    <xdr:sp macro="" textlink="">
      <xdr:nvSpPr>
        <xdr:cNvPr id="813" name="AutoShape 1">
          <a:extLst>
            <a:ext uri="{FF2B5EF4-FFF2-40B4-BE49-F238E27FC236}">
              <a16:creationId xmlns:a16="http://schemas.microsoft.com/office/drawing/2014/main" id="{BED6E4A7-67BE-452C-8434-F4AEDA32F4A6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24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338</xdr:row>
      <xdr:rowOff>0</xdr:rowOff>
    </xdr:from>
    <xdr:ext cx="304800" cy="304800"/>
    <xdr:sp macro="" textlink="">
      <xdr:nvSpPr>
        <xdr:cNvPr id="814" name="AutoShape 1">
          <a:extLst>
            <a:ext uri="{FF2B5EF4-FFF2-40B4-BE49-F238E27FC236}">
              <a16:creationId xmlns:a16="http://schemas.microsoft.com/office/drawing/2014/main" id="{23B481DD-43AF-4552-BBFF-E956429E98B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24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338</xdr:row>
      <xdr:rowOff>0</xdr:rowOff>
    </xdr:from>
    <xdr:ext cx="304800" cy="304800"/>
    <xdr:sp macro="" textlink="">
      <xdr:nvSpPr>
        <xdr:cNvPr id="815" name="AutoShape 1">
          <a:extLst>
            <a:ext uri="{FF2B5EF4-FFF2-40B4-BE49-F238E27FC236}">
              <a16:creationId xmlns:a16="http://schemas.microsoft.com/office/drawing/2014/main" id="{9B5184A8-DCE2-48B7-9E31-8B52CC4A6981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24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338</xdr:row>
      <xdr:rowOff>0</xdr:rowOff>
    </xdr:from>
    <xdr:ext cx="304800" cy="304800"/>
    <xdr:sp macro="" textlink="">
      <xdr:nvSpPr>
        <xdr:cNvPr id="816" name="AutoShape 1">
          <a:extLst>
            <a:ext uri="{FF2B5EF4-FFF2-40B4-BE49-F238E27FC236}">
              <a16:creationId xmlns:a16="http://schemas.microsoft.com/office/drawing/2014/main" id="{CD4817EF-2376-4366-BD1C-6BF82908DF8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24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338</xdr:row>
      <xdr:rowOff>0</xdr:rowOff>
    </xdr:from>
    <xdr:ext cx="304800" cy="304800"/>
    <xdr:sp macro="" textlink="">
      <xdr:nvSpPr>
        <xdr:cNvPr id="817" name="AutoShape 1">
          <a:extLst>
            <a:ext uri="{FF2B5EF4-FFF2-40B4-BE49-F238E27FC236}">
              <a16:creationId xmlns:a16="http://schemas.microsoft.com/office/drawing/2014/main" id="{8C0EE0AB-884D-4EF4-8C97-4D5DB8DF279F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24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338</xdr:row>
      <xdr:rowOff>0</xdr:rowOff>
    </xdr:from>
    <xdr:ext cx="304800" cy="304800"/>
    <xdr:sp macro="" textlink="">
      <xdr:nvSpPr>
        <xdr:cNvPr id="818" name="AutoShape 1">
          <a:extLst>
            <a:ext uri="{FF2B5EF4-FFF2-40B4-BE49-F238E27FC236}">
              <a16:creationId xmlns:a16="http://schemas.microsoft.com/office/drawing/2014/main" id="{45B81EA0-5D9E-4053-934E-17E95FAD0CC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24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338</xdr:row>
      <xdr:rowOff>0</xdr:rowOff>
    </xdr:from>
    <xdr:ext cx="304800" cy="304800"/>
    <xdr:sp macro="" textlink="">
      <xdr:nvSpPr>
        <xdr:cNvPr id="819" name="AutoShape 1">
          <a:extLst>
            <a:ext uri="{FF2B5EF4-FFF2-40B4-BE49-F238E27FC236}">
              <a16:creationId xmlns:a16="http://schemas.microsoft.com/office/drawing/2014/main" id="{28FBB82A-4AD0-4D46-A6F0-71CADE559EDA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24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338</xdr:row>
      <xdr:rowOff>0</xdr:rowOff>
    </xdr:from>
    <xdr:ext cx="304800" cy="304800"/>
    <xdr:sp macro="" textlink="">
      <xdr:nvSpPr>
        <xdr:cNvPr id="820" name="AutoShape 1">
          <a:extLst>
            <a:ext uri="{FF2B5EF4-FFF2-40B4-BE49-F238E27FC236}">
              <a16:creationId xmlns:a16="http://schemas.microsoft.com/office/drawing/2014/main" id="{32C99A9C-F5C1-43BA-8656-9609DEAB1F39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24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338</xdr:row>
      <xdr:rowOff>0</xdr:rowOff>
    </xdr:from>
    <xdr:ext cx="304800" cy="304800"/>
    <xdr:sp macro="" textlink="">
      <xdr:nvSpPr>
        <xdr:cNvPr id="821" name="AutoShape 1">
          <a:extLst>
            <a:ext uri="{FF2B5EF4-FFF2-40B4-BE49-F238E27FC236}">
              <a16:creationId xmlns:a16="http://schemas.microsoft.com/office/drawing/2014/main" id="{9A33817B-C1B0-4B3E-AEBF-CFB713826C06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24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338</xdr:row>
      <xdr:rowOff>0</xdr:rowOff>
    </xdr:from>
    <xdr:ext cx="304800" cy="304800"/>
    <xdr:sp macro="" textlink="">
      <xdr:nvSpPr>
        <xdr:cNvPr id="822" name="AutoShape 1">
          <a:extLst>
            <a:ext uri="{FF2B5EF4-FFF2-40B4-BE49-F238E27FC236}">
              <a16:creationId xmlns:a16="http://schemas.microsoft.com/office/drawing/2014/main" id="{902702DA-F6AB-410D-BB7A-AFEC97009CFA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24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338</xdr:row>
      <xdr:rowOff>0</xdr:rowOff>
    </xdr:from>
    <xdr:ext cx="304800" cy="304800"/>
    <xdr:sp macro="" textlink="">
      <xdr:nvSpPr>
        <xdr:cNvPr id="823" name="AutoShape 1">
          <a:extLst>
            <a:ext uri="{FF2B5EF4-FFF2-40B4-BE49-F238E27FC236}">
              <a16:creationId xmlns:a16="http://schemas.microsoft.com/office/drawing/2014/main" id="{EFD2EE8D-6B0B-4EB2-8096-DAF7CF79A2C2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24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338</xdr:row>
      <xdr:rowOff>0</xdr:rowOff>
    </xdr:from>
    <xdr:ext cx="304800" cy="304800"/>
    <xdr:sp macro="" textlink="">
      <xdr:nvSpPr>
        <xdr:cNvPr id="824" name="AutoShape 1">
          <a:extLst>
            <a:ext uri="{FF2B5EF4-FFF2-40B4-BE49-F238E27FC236}">
              <a16:creationId xmlns:a16="http://schemas.microsoft.com/office/drawing/2014/main" id="{C9656DCA-E377-4AE5-B958-7F851C3A3352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24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338</xdr:row>
      <xdr:rowOff>0</xdr:rowOff>
    </xdr:from>
    <xdr:ext cx="304800" cy="304800"/>
    <xdr:sp macro="" textlink="">
      <xdr:nvSpPr>
        <xdr:cNvPr id="825" name="AutoShape 1">
          <a:extLst>
            <a:ext uri="{FF2B5EF4-FFF2-40B4-BE49-F238E27FC236}">
              <a16:creationId xmlns:a16="http://schemas.microsoft.com/office/drawing/2014/main" id="{4985FC1F-1FDC-4F22-8190-AC6B7283C7E3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24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338</xdr:row>
      <xdr:rowOff>0</xdr:rowOff>
    </xdr:from>
    <xdr:ext cx="304800" cy="304800"/>
    <xdr:sp macro="" textlink="">
      <xdr:nvSpPr>
        <xdr:cNvPr id="826" name="AutoShape 1">
          <a:extLst>
            <a:ext uri="{FF2B5EF4-FFF2-40B4-BE49-F238E27FC236}">
              <a16:creationId xmlns:a16="http://schemas.microsoft.com/office/drawing/2014/main" id="{C6008CB4-5F2C-4BF2-BC4F-02E20454CF70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24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338</xdr:row>
      <xdr:rowOff>0</xdr:rowOff>
    </xdr:from>
    <xdr:ext cx="304800" cy="304800"/>
    <xdr:sp macro="" textlink="">
      <xdr:nvSpPr>
        <xdr:cNvPr id="827" name="AutoShape 1">
          <a:extLst>
            <a:ext uri="{FF2B5EF4-FFF2-40B4-BE49-F238E27FC236}">
              <a16:creationId xmlns:a16="http://schemas.microsoft.com/office/drawing/2014/main" id="{493B679A-7C27-416D-9AE8-88F0C58B3270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24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338</xdr:row>
      <xdr:rowOff>0</xdr:rowOff>
    </xdr:from>
    <xdr:ext cx="304800" cy="304800"/>
    <xdr:sp macro="" textlink="">
      <xdr:nvSpPr>
        <xdr:cNvPr id="828" name="AutoShape 1">
          <a:extLst>
            <a:ext uri="{FF2B5EF4-FFF2-40B4-BE49-F238E27FC236}">
              <a16:creationId xmlns:a16="http://schemas.microsoft.com/office/drawing/2014/main" id="{4B05FF97-BD0A-4507-A812-EE1583E794FC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24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338</xdr:row>
      <xdr:rowOff>0</xdr:rowOff>
    </xdr:from>
    <xdr:ext cx="304800" cy="304800"/>
    <xdr:sp macro="" textlink="">
      <xdr:nvSpPr>
        <xdr:cNvPr id="829" name="AutoShape 1">
          <a:extLst>
            <a:ext uri="{FF2B5EF4-FFF2-40B4-BE49-F238E27FC236}">
              <a16:creationId xmlns:a16="http://schemas.microsoft.com/office/drawing/2014/main" id="{25E5DC29-7E76-4FDC-9421-19D299B4493B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24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338</xdr:row>
      <xdr:rowOff>0</xdr:rowOff>
    </xdr:from>
    <xdr:ext cx="304800" cy="304800"/>
    <xdr:sp macro="" textlink="">
      <xdr:nvSpPr>
        <xdr:cNvPr id="830" name="AutoShape 1">
          <a:extLst>
            <a:ext uri="{FF2B5EF4-FFF2-40B4-BE49-F238E27FC236}">
              <a16:creationId xmlns:a16="http://schemas.microsoft.com/office/drawing/2014/main" id="{DB65056A-0139-4411-B147-7FAAC97FF299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24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338</xdr:row>
      <xdr:rowOff>0</xdr:rowOff>
    </xdr:from>
    <xdr:ext cx="304800" cy="304800"/>
    <xdr:sp macro="" textlink="">
      <xdr:nvSpPr>
        <xdr:cNvPr id="831" name="AutoShape 1">
          <a:extLst>
            <a:ext uri="{FF2B5EF4-FFF2-40B4-BE49-F238E27FC236}">
              <a16:creationId xmlns:a16="http://schemas.microsoft.com/office/drawing/2014/main" id="{810609F5-0BDE-4FF9-BD56-A7B39927FA32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24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338</xdr:row>
      <xdr:rowOff>0</xdr:rowOff>
    </xdr:from>
    <xdr:ext cx="304800" cy="304800"/>
    <xdr:sp macro="" textlink="">
      <xdr:nvSpPr>
        <xdr:cNvPr id="832" name="AutoShape 1">
          <a:extLst>
            <a:ext uri="{FF2B5EF4-FFF2-40B4-BE49-F238E27FC236}">
              <a16:creationId xmlns:a16="http://schemas.microsoft.com/office/drawing/2014/main" id="{D5778EBB-2999-452B-AE86-A48688BBB560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24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338</xdr:row>
      <xdr:rowOff>0</xdr:rowOff>
    </xdr:from>
    <xdr:ext cx="304800" cy="304800"/>
    <xdr:sp macro="" textlink="">
      <xdr:nvSpPr>
        <xdr:cNvPr id="833" name="AutoShape 1">
          <a:extLst>
            <a:ext uri="{FF2B5EF4-FFF2-40B4-BE49-F238E27FC236}">
              <a16:creationId xmlns:a16="http://schemas.microsoft.com/office/drawing/2014/main" id="{B62982EC-AADF-489D-830A-A5FABFDC6826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24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338</xdr:row>
      <xdr:rowOff>0</xdr:rowOff>
    </xdr:from>
    <xdr:ext cx="304800" cy="304800"/>
    <xdr:sp macro="" textlink="">
      <xdr:nvSpPr>
        <xdr:cNvPr id="834" name="AutoShape 1">
          <a:extLst>
            <a:ext uri="{FF2B5EF4-FFF2-40B4-BE49-F238E27FC236}">
              <a16:creationId xmlns:a16="http://schemas.microsoft.com/office/drawing/2014/main" id="{E6335113-A916-4D1F-837D-197F02A3B0C0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24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338</xdr:row>
      <xdr:rowOff>0</xdr:rowOff>
    </xdr:from>
    <xdr:ext cx="304800" cy="304800"/>
    <xdr:sp macro="" textlink="">
      <xdr:nvSpPr>
        <xdr:cNvPr id="835" name="AutoShape 1">
          <a:extLst>
            <a:ext uri="{FF2B5EF4-FFF2-40B4-BE49-F238E27FC236}">
              <a16:creationId xmlns:a16="http://schemas.microsoft.com/office/drawing/2014/main" id="{54594D2A-3C17-42A0-8D1D-B8ED21753EF2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24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338</xdr:row>
      <xdr:rowOff>0</xdr:rowOff>
    </xdr:from>
    <xdr:ext cx="304800" cy="304800"/>
    <xdr:sp macro="" textlink="">
      <xdr:nvSpPr>
        <xdr:cNvPr id="836" name="AutoShape 1">
          <a:extLst>
            <a:ext uri="{FF2B5EF4-FFF2-40B4-BE49-F238E27FC236}">
              <a16:creationId xmlns:a16="http://schemas.microsoft.com/office/drawing/2014/main" id="{49B18FDE-F4AF-4C69-A931-4C97740F24B5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24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338</xdr:row>
      <xdr:rowOff>0</xdr:rowOff>
    </xdr:from>
    <xdr:ext cx="304800" cy="304800"/>
    <xdr:sp macro="" textlink="">
      <xdr:nvSpPr>
        <xdr:cNvPr id="837" name="AutoShape 1">
          <a:extLst>
            <a:ext uri="{FF2B5EF4-FFF2-40B4-BE49-F238E27FC236}">
              <a16:creationId xmlns:a16="http://schemas.microsoft.com/office/drawing/2014/main" id="{9E25A41C-BF69-47C9-8648-3F009C38A86E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24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338</xdr:row>
      <xdr:rowOff>0</xdr:rowOff>
    </xdr:from>
    <xdr:ext cx="304800" cy="304800"/>
    <xdr:sp macro="" textlink="">
      <xdr:nvSpPr>
        <xdr:cNvPr id="838" name="AutoShape 1">
          <a:extLst>
            <a:ext uri="{FF2B5EF4-FFF2-40B4-BE49-F238E27FC236}">
              <a16:creationId xmlns:a16="http://schemas.microsoft.com/office/drawing/2014/main" id="{151381FC-AB2E-4612-8932-5F4EE6171D75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24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338</xdr:row>
      <xdr:rowOff>0</xdr:rowOff>
    </xdr:from>
    <xdr:ext cx="304800" cy="304800"/>
    <xdr:sp macro="" textlink="">
      <xdr:nvSpPr>
        <xdr:cNvPr id="839" name="AutoShape 1">
          <a:extLst>
            <a:ext uri="{FF2B5EF4-FFF2-40B4-BE49-F238E27FC236}">
              <a16:creationId xmlns:a16="http://schemas.microsoft.com/office/drawing/2014/main" id="{A451BD7E-BD58-4D5D-890B-BE2EC91CAA66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24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338</xdr:row>
      <xdr:rowOff>0</xdr:rowOff>
    </xdr:from>
    <xdr:ext cx="304800" cy="304800"/>
    <xdr:sp macro="" textlink="">
      <xdr:nvSpPr>
        <xdr:cNvPr id="840" name="AutoShape 1">
          <a:extLst>
            <a:ext uri="{FF2B5EF4-FFF2-40B4-BE49-F238E27FC236}">
              <a16:creationId xmlns:a16="http://schemas.microsoft.com/office/drawing/2014/main" id="{7B31DC25-262D-4D60-A656-29BB4191FABB}"/>
            </a:ext>
            <a:ext uri="{147F2762-F138-4A5C-976F-8EAC2B608ADB}">
              <a16:predDERef xmlns:a16="http://schemas.microsoft.com/office/drawing/2014/main" pred="{A9C9C4DB-4B97-447C-9099-E87BCB3C537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24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338</xdr:row>
      <xdr:rowOff>0</xdr:rowOff>
    </xdr:from>
    <xdr:ext cx="304800" cy="304800"/>
    <xdr:sp macro="" textlink="">
      <xdr:nvSpPr>
        <xdr:cNvPr id="841" name="AutoShape 1">
          <a:extLst>
            <a:ext uri="{FF2B5EF4-FFF2-40B4-BE49-F238E27FC236}">
              <a16:creationId xmlns:a16="http://schemas.microsoft.com/office/drawing/2014/main" id="{FE531CB3-F671-4846-83B4-2ABF0D8C03EA}"/>
            </a:ext>
            <a:ext uri="{147F2762-F138-4A5C-976F-8EAC2B608ADB}">
              <a16:predDERef xmlns:a16="http://schemas.microsoft.com/office/drawing/2014/main" pred="{CD89554D-BD76-42AD-819A-278AD445B86E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24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338</xdr:row>
      <xdr:rowOff>0</xdr:rowOff>
    </xdr:from>
    <xdr:ext cx="304800" cy="304800"/>
    <xdr:sp macro="" textlink="">
      <xdr:nvSpPr>
        <xdr:cNvPr id="842" name="AutoShape 1">
          <a:extLst>
            <a:ext uri="{FF2B5EF4-FFF2-40B4-BE49-F238E27FC236}">
              <a16:creationId xmlns:a16="http://schemas.microsoft.com/office/drawing/2014/main" id="{97FC28CC-C3A5-48DB-A870-FD149E216783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24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338</xdr:row>
      <xdr:rowOff>0</xdr:rowOff>
    </xdr:from>
    <xdr:ext cx="304800" cy="304800"/>
    <xdr:sp macro="" textlink="">
      <xdr:nvSpPr>
        <xdr:cNvPr id="843" name="AutoShape 1">
          <a:extLst>
            <a:ext uri="{FF2B5EF4-FFF2-40B4-BE49-F238E27FC236}">
              <a16:creationId xmlns:a16="http://schemas.microsoft.com/office/drawing/2014/main" id="{E8BC8779-116A-4D29-ABDC-6A51A2346EFF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24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338</xdr:row>
      <xdr:rowOff>0</xdr:rowOff>
    </xdr:from>
    <xdr:ext cx="304800" cy="304800"/>
    <xdr:sp macro="" textlink="">
      <xdr:nvSpPr>
        <xdr:cNvPr id="844" name="AutoShape 1">
          <a:extLst>
            <a:ext uri="{FF2B5EF4-FFF2-40B4-BE49-F238E27FC236}">
              <a16:creationId xmlns:a16="http://schemas.microsoft.com/office/drawing/2014/main" id="{91F64B6C-74F8-47A6-99D3-87D442B65F1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24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338</xdr:row>
      <xdr:rowOff>0</xdr:rowOff>
    </xdr:from>
    <xdr:ext cx="304800" cy="304800"/>
    <xdr:sp macro="" textlink="">
      <xdr:nvSpPr>
        <xdr:cNvPr id="845" name="AutoShape 1">
          <a:extLst>
            <a:ext uri="{FF2B5EF4-FFF2-40B4-BE49-F238E27FC236}">
              <a16:creationId xmlns:a16="http://schemas.microsoft.com/office/drawing/2014/main" id="{9DE921BF-C3CD-4F93-ACC2-577A66655F67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24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338</xdr:row>
      <xdr:rowOff>0</xdr:rowOff>
    </xdr:from>
    <xdr:ext cx="304800" cy="304800"/>
    <xdr:sp macro="" textlink="">
      <xdr:nvSpPr>
        <xdr:cNvPr id="846" name="AutoShape 1">
          <a:extLst>
            <a:ext uri="{FF2B5EF4-FFF2-40B4-BE49-F238E27FC236}">
              <a16:creationId xmlns:a16="http://schemas.microsoft.com/office/drawing/2014/main" id="{514E13ED-920D-4EAC-A720-2EF9F7CC507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24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338</xdr:row>
      <xdr:rowOff>0</xdr:rowOff>
    </xdr:from>
    <xdr:ext cx="304800" cy="304800"/>
    <xdr:sp macro="" textlink="">
      <xdr:nvSpPr>
        <xdr:cNvPr id="847" name="AutoShape 1">
          <a:extLst>
            <a:ext uri="{FF2B5EF4-FFF2-40B4-BE49-F238E27FC236}">
              <a16:creationId xmlns:a16="http://schemas.microsoft.com/office/drawing/2014/main" id="{4CF813BE-9E22-425E-8316-AE0360133B8F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24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338</xdr:row>
      <xdr:rowOff>0</xdr:rowOff>
    </xdr:from>
    <xdr:ext cx="304800" cy="304800"/>
    <xdr:sp macro="" textlink="">
      <xdr:nvSpPr>
        <xdr:cNvPr id="848" name="AutoShape 1">
          <a:extLst>
            <a:ext uri="{FF2B5EF4-FFF2-40B4-BE49-F238E27FC236}">
              <a16:creationId xmlns:a16="http://schemas.microsoft.com/office/drawing/2014/main" id="{C6318156-B7AE-4F34-8708-F41B261DFDC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24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338</xdr:row>
      <xdr:rowOff>0</xdr:rowOff>
    </xdr:from>
    <xdr:ext cx="304800" cy="304800"/>
    <xdr:sp macro="" textlink="">
      <xdr:nvSpPr>
        <xdr:cNvPr id="849" name="AutoShape 1">
          <a:extLst>
            <a:ext uri="{FF2B5EF4-FFF2-40B4-BE49-F238E27FC236}">
              <a16:creationId xmlns:a16="http://schemas.microsoft.com/office/drawing/2014/main" id="{EA354977-CAFE-4A6D-87B7-2F04A5D3BBC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24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338</xdr:row>
      <xdr:rowOff>0</xdr:rowOff>
    </xdr:from>
    <xdr:ext cx="304800" cy="304800"/>
    <xdr:sp macro="" textlink="">
      <xdr:nvSpPr>
        <xdr:cNvPr id="850" name="AutoShape 1">
          <a:extLst>
            <a:ext uri="{FF2B5EF4-FFF2-40B4-BE49-F238E27FC236}">
              <a16:creationId xmlns:a16="http://schemas.microsoft.com/office/drawing/2014/main" id="{E7028F19-4E38-4960-BB9E-5947BE43A3A1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24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338</xdr:row>
      <xdr:rowOff>0</xdr:rowOff>
    </xdr:from>
    <xdr:ext cx="304800" cy="304800"/>
    <xdr:sp macro="" textlink="">
      <xdr:nvSpPr>
        <xdr:cNvPr id="851" name="AutoShape 1">
          <a:extLst>
            <a:ext uri="{FF2B5EF4-FFF2-40B4-BE49-F238E27FC236}">
              <a16:creationId xmlns:a16="http://schemas.microsoft.com/office/drawing/2014/main" id="{513A8980-7C34-4C96-8D5E-5C772B97731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24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338</xdr:row>
      <xdr:rowOff>0</xdr:rowOff>
    </xdr:from>
    <xdr:ext cx="304800" cy="304800"/>
    <xdr:sp macro="" textlink="">
      <xdr:nvSpPr>
        <xdr:cNvPr id="852" name="AutoShape 1">
          <a:extLst>
            <a:ext uri="{FF2B5EF4-FFF2-40B4-BE49-F238E27FC236}">
              <a16:creationId xmlns:a16="http://schemas.microsoft.com/office/drawing/2014/main" id="{8DC87B21-E696-4271-80CF-BC6945AF3A66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24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338</xdr:row>
      <xdr:rowOff>0</xdr:rowOff>
    </xdr:from>
    <xdr:ext cx="304800" cy="304800"/>
    <xdr:sp macro="" textlink="">
      <xdr:nvSpPr>
        <xdr:cNvPr id="853" name="AutoShape 1">
          <a:extLst>
            <a:ext uri="{FF2B5EF4-FFF2-40B4-BE49-F238E27FC236}">
              <a16:creationId xmlns:a16="http://schemas.microsoft.com/office/drawing/2014/main" id="{CA3D5FF9-7AD8-49B7-AC6B-25BFF3B07EE6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24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338</xdr:row>
      <xdr:rowOff>0</xdr:rowOff>
    </xdr:from>
    <xdr:ext cx="304800" cy="304800"/>
    <xdr:sp macro="" textlink="">
      <xdr:nvSpPr>
        <xdr:cNvPr id="854" name="AutoShape 1">
          <a:extLst>
            <a:ext uri="{FF2B5EF4-FFF2-40B4-BE49-F238E27FC236}">
              <a16:creationId xmlns:a16="http://schemas.microsoft.com/office/drawing/2014/main" id="{07E897FF-2AD7-4EE4-8E00-C9DB600BE66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24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338</xdr:row>
      <xdr:rowOff>0</xdr:rowOff>
    </xdr:from>
    <xdr:ext cx="304800" cy="304800"/>
    <xdr:sp macro="" textlink="">
      <xdr:nvSpPr>
        <xdr:cNvPr id="855" name="AutoShape 1">
          <a:extLst>
            <a:ext uri="{FF2B5EF4-FFF2-40B4-BE49-F238E27FC236}">
              <a16:creationId xmlns:a16="http://schemas.microsoft.com/office/drawing/2014/main" id="{5AE25F77-6582-4182-ACFE-27DC13556219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24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338</xdr:row>
      <xdr:rowOff>0</xdr:rowOff>
    </xdr:from>
    <xdr:ext cx="304800" cy="304800"/>
    <xdr:sp macro="" textlink="">
      <xdr:nvSpPr>
        <xdr:cNvPr id="856" name="AutoShape 1">
          <a:extLst>
            <a:ext uri="{FF2B5EF4-FFF2-40B4-BE49-F238E27FC236}">
              <a16:creationId xmlns:a16="http://schemas.microsoft.com/office/drawing/2014/main" id="{7D8AD3FE-83FD-4473-9E4C-9C048FA00559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24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338</xdr:row>
      <xdr:rowOff>0</xdr:rowOff>
    </xdr:from>
    <xdr:ext cx="304800" cy="304800"/>
    <xdr:sp macro="" textlink="">
      <xdr:nvSpPr>
        <xdr:cNvPr id="857" name="AutoShape 1">
          <a:extLst>
            <a:ext uri="{FF2B5EF4-FFF2-40B4-BE49-F238E27FC236}">
              <a16:creationId xmlns:a16="http://schemas.microsoft.com/office/drawing/2014/main" id="{BE58F099-D55D-4920-85E7-5C6FF8B49F8B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24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338</xdr:row>
      <xdr:rowOff>0</xdr:rowOff>
    </xdr:from>
    <xdr:ext cx="304800" cy="304800"/>
    <xdr:sp macro="" textlink="">
      <xdr:nvSpPr>
        <xdr:cNvPr id="858" name="AutoShape 1">
          <a:extLst>
            <a:ext uri="{FF2B5EF4-FFF2-40B4-BE49-F238E27FC236}">
              <a16:creationId xmlns:a16="http://schemas.microsoft.com/office/drawing/2014/main" id="{635C5D88-A8DB-408E-BD42-7C6251AD7EE3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24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338</xdr:row>
      <xdr:rowOff>0</xdr:rowOff>
    </xdr:from>
    <xdr:ext cx="304800" cy="304800"/>
    <xdr:sp macro="" textlink="">
      <xdr:nvSpPr>
        <xdr:cNvPr id="859" name="AutoShape 1">
          <a:extLst>
            <a:ext uri="{FF2B5EF4-FFF2-40B4-BE49-F238E27FC236}">
              <a16:creationId xmlns:a16="http://schemas.microsoft.com/office/drawing/2014/main" id="{6C918649-6EB9-4976-9198-FD322EE9EB7C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24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338</xdr:row>
      <xdr:rowOff>0</xdr:rowOff>
    </xdr:from>
    <xdr:ext cx="304800" cy="304800"/>
    <xdr:sp macro="" textlink="">
      <xdr:nvSpPr>
        <xdr:cNvPr id="860" name="AutoShape 1">
          <a:extLst>
            <a:ext uri="{FF2B5EF4-FFF2-40B4-BE49-F238E27FC236}">
              <a16:creationId xmlns:a16="http://schemas.microsoft.com/office/drawing/2014/main" id="{DDEE67B4-B047-4420-B3B2-3BDCA0E3515C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24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338</xdr:row>
      <xdr:rowOff>0</xdr:rowOff>
    </xdr:from>
    <xdr:ext cx="304800" cy="304800"/>
    <xdr:sp macro="" textlink="">
      <xdr:nvSpPr>
        <xdr:cNvPr id="861" name="AutoShape 1">
          <a:extLst>
            <a:ext uri="{FF2B5EF4-FFF2-40B4-BE49-F238E27FC236}">
              <a16:creationId xmlns:a16="http://schemas.microsoft.com/office/drawing/2014/main" id="{BE2D1690-D812-49C5-9A67-A9B3A258A747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24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338</xdr:row>
      <xdr:rowOff>0</xdr:rowOff>
    </xdr:from>
    <xdr:ext cx="304800" cy="304800"/>
    <xdr:sp macro="" textlink="">
      <xdr:nvSpPr>
        <xdr:cNvPr id="862" name="AutoShape 1">
          <a:extLst>
            <a:ext uri="{FF2B5EF4-FFF2-40B4-BE49-F238E27FC236}">
              <a16:creationId xmlns:a16="http://schemas.microsoft.com/office/drawing/2014/main" id="{23ECF7F4-46D6-4F1F-A0F4-9949EE094DEE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24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338</xdr:row>
      <xdr:rowOff>0</xdr:rowOff>
    </xdr:from>
    <xdr:ext cx="304800" cy="304800"/>
    <xdr:sp macro="" textlink="">
      <xdr:nvSpPr>
        <xdr:cNvPr id="863" name="AutoShape 1">
          <a:extLst>
            <a:ext uri="{FF2B5EF4-FFF2-40B4-BE49-F238E27FC236}">
              <a16:creationId xmlns:a16="http://schemas.microsoft.com/office/drawing/2014/main" id="{5066FBA2-CCA7-45B9-93F6-FD485B163FBF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24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338</xdr:row>
      <xdr:rowOff>0</xdr:rowOff>
    </xdr:from>
    <xdr:ext cx="304800" cy="304800"/>
    <xdr:sp macro="" textlink="">
      <xdr:nvSpPr>
        <xdr:cNvPr id="864" name="AutoShape 1">
          <a:extLst>
            <a:ext uri="{FF2B5EF4-FFF2-40B4-BE49-F238E27FC236}">
              <a16:creationId xmlns:a16="http://schemas.microsoft.com/office/drawing/2014/main" id="{856912FC-4D31-4FE8-9089-2B55D7F5A730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24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338</xdr:row>
      <xdr:rowOff>0</xdr:rowOff>
    </xdr:from>
    <xdr:ext cx="304800" cy="304800"/>
    <xdr:sp macro="" textlink="">
      <xdr:nvSpPr>
        <xdr:cNvPr id="865" name="AutoShape 1">
          <a:extLst>
            <a:ext uri="{FF2B5EF4-FFF2-40B4-BE49-F238E27FC236}">
              <a16:creationId xmlns:a16="http://schemas.microsoft.com/office/drawing/2014/main" id="{32E37AB4-9D33-4300-BC42-7F5B9D09DBDC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24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338</xdr:row>
      <xdr:rowOff>0</xdr:rowOff>
    </xdr:from>
    <xdr:ext cx="304800" cy="304800"/>
    <xdr:sp macro="" textlink="">
      <xdr:nvSpPr>
        <xdr:cNvPr id="866" name="AutoShape 1">
          <a:extLst>
            <a:ext uri="{FF2B5EF4-FFF2-40B4-BE49-F238E27FC236}">
              <a16:creationId xmlns:a16="http://schemas.microsoft.com/office/drawing/2014/main" id="{407434C8-32EC-4B41-B26D-FD80C9F1D79B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24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338</xdr:row>
      <xdr:rowOff>0</xdr:rowOff>
    </xdr:from>
    <xdr:ext cx="304800" cy="304800"/>
    <xdr:sp macro="" textlink="">
      <xdr:nvSpPr>
        <xdr:cNvPr id="867" name="AutoShape 1">
          <a:extLst>
            <a:ext uri="{FF2B5EF4-FFF2-40B4-BE49-F238E27FC236}">
              <a16:creationId xmlns:a16="http://schemas.microsoft.com/office/drawing/2014/main" id="{A8871812-0695-4C7C-9271-EF9CAAE434D1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24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338</xdr:row>
      <xdr:rowOff>0</xdr:rowOff>
    </xdr:from>
    <xdr:ext cx="304800" cy="304800"/>
    <xdr:sp macro="" textlink="">
      <xdr:nvSpPr>
        <xdr:cNvPr id="868" name="AutoShape 1">
          <a:extLst>
            <a:ext uri="{FF2B5EF4-FFF2-40B4-BE49-F238E27FC236}">
              <a16:creationId xmlns:a16="http://schemas.microsoft.com/office/drawing/2014/main" id="{74EA2B22-6AF2-4DD7-A8C9-7F2931291AE2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24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338</xdr:row>
      <xdr:rowOff>0</xdr:rowOff>
    </xdr:from>
    <xdr:ext cx="304800" cy="304800"/>
    <xdr:sp macro="" textlink="">
      <xdr:nvSpPr>
        <xdr:cNvPr id="869" name="AutoShape 1">
          <a:extLst>
            <a:ext uri="{FF2B5EF4-FFF2-40B4-BE49-F238E27FC236}">
              <a16:creationId xmlns:a16="http://schemas.microsoft.com/office/drawing/2014/main" id="{A0E884AC-C754-4207-9700-63ACBD653945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24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338</xdr:row>
      <xdr:rowOff>0</xdr:rowOff>
    </xdr:from>
    <xdr:ext cx="304800" cy="304800"/>
    <xdr:sp macro="" textlink="">
      <xdr:nvSpPr>
        <xdr:cNvPr id="870" name="AutoShape 1">
          <a:extLst>
            <a:ext uri="{FF2B5EF4-FFF2-40B4-BE49-F238E27FC236}">
              <a16:creationId xmlns:a16="http://schemas.microsoft.com/office/drawing/2014/main" id="{753F4272-C7A4-4970-B254-6DFB0341783F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24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338</xdr:row>
      <xdr:rowOff>0</xdr:rowOff>
    </xdr:from>
    <xdr:ext cx="304800" cy="304800"/>
    <xdr:sp macro="" textlink="">
      <xdr:nvSpPr>
        <xdr:cNvPr id="871" name="AutoShape 1">
          <a:extLst>
            <a:ext uri="{FF2B5EF4-FFF2-40B4-BE49-F238E27FC236}">
              <a16:creationId xmlns:a16="http://schemas.microsoft.com/office/drawing/2014/main" id="{3E81149B-B11B-4772-B0F5-0826E3091814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24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338</xdr:row>
      <xdr:rowOff>0</xdr:rowOff>
    </xdr:from>
    <xdr:ext cx="304800" cy="304800"/>
    <xdr:sp macro="" textlink="">
      <xdr:nvSpPr>
        <xdr:cNvPr id="872" name="AutoShape 1">
          <a:extLst>
            <a:ext uri="{FF2B5EF4-FFF2-40B4-BE49-F238E27FC236}">
              <a16:creationId xmlns:a16="http://schemas.microsoft.com/office/drawing/2014/main" id="{F50D5429-0321-4F6D-842D-077B28C98B46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24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338</xdr:row>
      <xdr:rowOff>0</xdr:rowOff>
    </xdr:from>
    <xdr:ext cx="304800" cy="304800"/>
    <xdr:sp macro="" textlink="">
      <xdr:nvSpPr>
        <xdr:cNvPr id="873" name="AutoShape 1">
          <a:extLst>
            <a:ext uri="{FF2B5EF4-FFF2-40B4-BE49-F238E27FC236}">
              <a16:creationId xmlns:a16="http://schemas.microsoft.com/office/drawing/2014/main" id="{CAE4B396-0898-417D-9461-764FF2A1627B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24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338</xdr:row>
      <xdr:rowOff>0</xdr:rowOff>
    </xdr:from>
    <xdr:ext cx="304800" cy="304800"/>
    <xdr:sp macro="" textlink="">
      <xdr:nvSpPr>
        <xdr:cNvPr id="874" name="AutoShape 1">
          <a:extLst>
            <a:ext uri="{FF2B5EF4-FFF2-40B4-BE49-F238E27FC236}">
              <a16:creationId xmlns:a16="http://schemas.microsoft.com/office/drawing/2014/main" id="{982BF6C5-3935-4318-9D30-20C67C0923CC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24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338</xdr:row>
      <xdr:rowOff>0</xdr:rowOff>
    </xdr:from>
    <xdr:ext cx="304800" cy="304800"/>
    <xdr:sp macro="" textlink="">
      <xdr:nvSpPr>
        <xdr:cNvPr id="875" name="AutoShape 1">
          <a:extLst>
            <a:ext uri="{FF2B5EF4-FFF2-40B4-BE49-F238E27FC236}">
              <a16:creationId xmlns:a16="http://schemas.microsoft.com/office/drawing/2014/main" id="{F9B35EC7-782D-4A17-A644-A84EC230959E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24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338</xdr:row>
      <xdr:rowOff>0</xdr:rowOff>
    </xdr:from>
    <xdr:ext cx="304800" cy="304800"/>
    <xdr:sp macro="" textlink="">
      <xdr:nvSpPr>
        <xdr:cNvPr id="876" name="AutoShape 1">
          <a:extLst>
            <a:ext uri="{FF2B5EF4-FFF2-40B4-BE49-F238E27FC236}">
              <a16:creationId xmlns:a16="http://schemas.microsoft.com/office/drawing/2014/main" id="{0DCE34E7-77E5-46CE-988F-4B7B558AFE0E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24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338</xdr:row>
      <xdr:rowOff>0</xdr:rowOff>
    </xdr:from>
    <xdr:ext cx="304800" cy="304800"/>
    <xdr:sp macro="" textlink="">
      <xdr:nvSpPr>
        <xdr:cNvPr id="877" name="AutoShape 1">
          <a:extLst>
            <a:ext uri="{FF2B5EF4-FFF2-40B4-BE49-F238E27FC236}">
              <a16:creationId xmlns:a16="http://schemas.microsoft.com/office/drawing/2014/main" id="{287ED768-5B3A-423D-97F1-0943DA9437D4}"/>
            </a:ext>
            <a:ext uri="{147F2762-F138-4A5C-976F-8EAC2B608ADB}">
              <a16:predDERef xmlns:a16="http://schemas.microsoft.com/office/drawing/2014/main" pred="{A9C9C4DB-4B97-447C-9099-E87BCB3C537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24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338</xdr:row>
      <xdr:rowOff>0</xdr:rowOff>
    </xdr:from>
    <xdr:ext cx="304800" cy="304800"/>
    <xdr:sp macro="" textlink="">
      <xdr:nvSpPr>
        <xdr:cNvPr id="878" name="AutoShape 1">
          <a:extLst>
            <a:ext uri="{FF2B5EF4-FFF2-40B4-BE49-F238E27FC236}">
              <a16:creationId xmlns:a16="http://schemas.microsoft.com/office/drawing/2014/main" id="{60C31649-0F73-4B32-83AC-B719B9482EB5}"/>
            </a:ext>
            <a:ext uri="{147F2762-F138-4A5C-976F-8EAC2B608ADB}">
              <a16:predDERef xmlns:a16="http://schemas.microsoft.com/office/drawing/2014/main" pred="{CD89554D-BD76-42AD-819A-278AD445B86E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24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338</xdr:row>
      <xdr:rowOff>0</xdr:rowOff>
    </xdr:from>
    <xdr:ext cx="304800" cy="304800"/>
    <xdr:sp macro="" textlink="">
      <xdr:nvSpPr>
        <xdr:cNvPr id="879" name="AutoShape 1">
          <a:extLst>
            <a:ext uri="{FF2B5EF4-FFF2-40B4-BE49-F238E27FC236}">
              <a16:creationId xmlns:a16="http://schemas.microsoft.com/office/drawing/2014/main" id="{3EC70B67-602A-4F98-86CB-3287BEB5C13C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24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338</xdr:row>
      <xdr:rowOff>0</xdr:rowOff>
    </xdr:from>
    <xdr:ext cx="304800" cy="304800"/>
    <xdr:sp macro="" textlink="">
      <xdr:nvSpPr>
        <xdr:cNvPr id="880" name="AutoShape 1">
          <a:extLst>
            <a:ext uri="{FF2B5EF4-FFF2-40B4-BE49-F238E27FC236}">
              <a16:creationId xmlns:a16="http://schemas.microsoft.com/office/drawing/2014/main" id="{4A3C2A01-30B9-488F-9520-A076FC7703C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24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338</xdr:row>
      <xdr:rowOff>0</xdr:rowOff>
    </xdr:from>
    <xdr:ext cx="304800" cy="304800"/>
    <xdr:sp macro="" textlink="">
      <xdr:nvSpPr>
        <xdr:cNvPr id="881" name="AutoShape 1">
          <a:extLst>
            <a:ext uri="{FF2B5EF4-FFF2-40B4-BE49-F238E27FC236}">
              <a16:creationId xmlns:a16="http://schemas.microsoft.com/office/drawing/2014/main" id="{76B6336E-FDBF-42BC-B5FD-DE883FD314DD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24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338</xdr:row>
      <xdr:rowOff>0</xdr:rowOff>
    </xdr:from>
    <xdr:ext cx="304800" cy="304800"/>
    <xdr:sp macro="" textlink="">
      <xdr:nvSpPr>
        <xdr:cNvPr id="882" name="AutoShape 1">
          <a:extLst>
            <a:ext uri="{FF2B5EF4-FFF2-40B4-BE49-F238E27FC236}">
              <a16:creationId xmlns:a16="http://schemas.microsoft.com/office/drawing/2014/main" id="{B0990F0C-41B4-4819-8397-CE26A70308AD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24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338</xdr:row>
      <xdr:rowOff>0</xdr:rowOff>
    </xdr:from>
    <xdr:ext cx="304800" cy="304800"/>
    <xdr:sp macro="" textlink="">
      <xdr:nvSpPr>
        <xdr:cNvPr id="883" name="AutoShape 1">
          <a:extLst>
            <a:ext uri="{FF2B5EF4-FFF2-40B4-BE49-F238E27FC236}">
              <a16:creationId xmlns:a16="http://schemas.microsoft.com/office/drawing/2014/main" id="{F0B0371C-A672-40C0-B0A5-1540FF41792C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24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338</xdr:row>
      <xdr:rowOff>0</xdr:rowOff>
    </xdr:from>
    <xdr:ext cx="304800" cy="304800"/>
    <xdr:sp macro="" textlink="">
      <xdr:nvSpPr>
        <xdr:cNvPr id="884" name="AutoShape 1">
          <a:extLst>
            <a:ext uri="{FF2B5EF4-FFF2-40B4-BE49-F238E27FC236}">
              <a16:creationId xmlns:a16="http://schemas.microsoft.com/office/drawing/2014/main" id="{9A0DF3DC-155A-4A04-A546-D155DA5416D7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24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338</xdr:row>
      <xdr:rowOff>0</xdr:rowOff>
    </xdr:from>
    <xdr:ext cx="304800" cy="304800"/>
    <xdr:sp macro="" textlink="">
      <xdr:nvSpPr>
        <xdr:cNvPr id="885" name="AutoShape 1">
          <a:extLst>
            <a:ext uri="{FF2B5EF4-FFF2-40B4-BE49-F238E27FC236}">
              <a16:creationId xmlns:a16="http://schemas.microsoft.com/office/drawing/2014/main" id="{784655B6-551D-43FC-978E-0330CB80CEAC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24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338</xdr:row>
      <xdr:rowOff>0</xdr:rowOff>
    </xdr:from>
    <xdr:ext cx="304800" cy="304800"/>
    <xdr:sp macro="" textlink="">
      <xdr:nvSpPr>
        <xdr:cNvPr id="886" name="AutoShape 1">
          <a:extLst>
            <a:ext uri="{FF2B5EF4-FFF2-40B4-BE49-F238E27FC236}">
              <a16:creationId xmlns:a16="http://schemas.microsoft.com/office/drawing/2014/main" id="{F1E23EF8-A4D3-4781-920C-D386957EF4D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24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338</xdr:row>
      <xdr:rowOff>0</xdr:rowOff>
    </xdr:from>
    <xdr:ext cx="304800" cy="304800"/>
    <xdr:sp macro="" textlink="">
      <xdr:nvSpPr>
        <xdr:cNvPr id="887" name="AutoShape 1">
          <a:extLst>
            <a:ext uri="{FF2B5EF4-FFF2-40B4-BE49-F238E27FC236}">
              <a16:creationId xmlns:a16="http://schemas.microsoft.com/office/drawing/2014/main" id="{C9B36626-BCF9-4912-BFD8-1AA2AEC84FA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24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338</xdr:row>
      <xdr:rowOff>0</xdr:rowOff>
    </xdr:from>
    <xdr:ext cx="304800" cy="304800"/>
    <xdr:sp macro="" textlink="">
      <xdr:nvSpPr>
        <xdr:cNvPr id="888" name="AutoShape 1">
          <a:extLst>
            <a:ext uri="{FF2B5EF4-FFF2-40B4-BE49-F238E27FC236}">
              <a16:creationId xmlns:a16="http://schemas.microsoft.com/office/drawing/2014/main" id="{91036B3F-4C4A-4EAD-8FA5-2E7C8ABE47D6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24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338</xdr:row>
      <xdr:rowOff>0</xdr:rowOff>
    </xdr:from>
    <xdr:ext cx="304800" cy="304800"/>
    <xdr:sp macro="" textlink="">
      <xdr:nvSpPr>
        <xdr:cNvPr id="889" name="AutoShape 1">
          <a:extLst>
            <a:ext uri="{FF2B5EF4-FFF2-40B4-BE49-F238E27FC236}">
              <a16:creationId xmlns:a16="http://schemas.microsoft.com/office/drawing/2014/main" id="{F368EA30-67E6-42E8-A92E-CC85E5874819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24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338</xdr:row>
      <xdr:rowOff>0</xdr:rowOff>
    </xdr:from>
    <xdr:ext cx="304800" cy="304800"/>
    <xdr:sp macro="" textlink="">
      <xdr:nvSpPr>
        <xdr:cNvPr id="890" name="AutoShape 1">
          <a:extLst>
            <a:ext uri="{FF2B5EF4-FFF2-40B4-BE49-F238E27FC236}">
              <a16:creationId xmlns:a16="http://schemas.microsoft.com/office/drawing/2014/main" id="{C639C446-857A-4273-9EB6-389E550A073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24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338</xdr:row>
      <xdr:rowOff>0</xdr:rowOff>
    </xdr:from>
    <xdr:ext cx="304800" cy="304800"/>
    <xdr:sp macro="" textlink="">
      <xdr:nvSpPr>
        <xdr:cNvPr id="891" name="AutoShape 1">
          <a:extLst>
            <a:ext uri="{FF2B5EF4-FFF2-40B4-BE49-F238E27FC236}">
              <a16:creationId xmlns:a16="http://schemas.microsoft.com/office/drawing/2014/main" id="{376BC48F-9D1D-47CC-8706-DCEDF041D794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24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338</xdr:row>
      <xdr:rowOff>0</xdr:rowOff>
    </xdr:from>
    <xdr:ext cx="304800" cy="304800"/>
    <xdr:sp macro="" textlink="">
      <xdr:nvSpPr>
        <xdr:cNvPr id="892" name="AutoShape 1">
          <a:extLst>
            <a:ext uri="{FF2B5EF4-FFF2-40B4-BE49-F238E27FC236}">
              <a16:creationId xmlns:a16="http://schemas.microsoft.com/office/drawing/2014/main" id="{EDCF41D1-92BA-40CF-A452-C1B65EA6A4C7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24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338</xdr:row>
      <xdr:rowOff>0</xdr:rowOff>
    </xdr:from>
    <xdr:ext cx="304800" cy="304800"/>
    <xdr:sp macro="" textlink="">
      <xdr:nvSpPr>
        <xdr:cNvPr id="893" name="AutoShape 1">
          <a:extLst>
            <a:ext uri="{FF2B5EF4-FFF2-40B4-BE49-F238E27FC236}">
              <a16:creationId xmlns:a16="http://schemas.microsoft.com/office/drawing/2014/main" id="{06321F81-F08E-40EF-95C6-3AB247AA0B36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24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338</xdr:row>
      <xdr:rowOff>0</xdr:rowOff>
    </xdr:from>
    <xdr:ext cx="304800" cy="304800"/>
    <xdr:sp macro="" textlink="">
      <xdr:nvSpPr>
        <xdr:cNvPr id="894" name="AutoShape 1">
          <a:extLst>
            <a:ext uri="{FF2B5EF4-FFF2-40B4-BE49-F238E27FC236}">
              <a16:creationId xmlns:a16="http://schemas.microsoft.com/office/drawing/2014/main" id="{A62F136F-BCAA-4160-8052-C77C7430BBEC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24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338</xdr:row>
      <xdr:rowOff>0</xdr:rowOff>
    </xdr:from>
    <xdr:ext cx="304800" cy="304800"/>
    <xdr:sp macro="" textlink="">
      <xdr:nvSpPr>
        <xdr:cNvPr id="895" name="AutoShape 1">
          <a:extLst>
            <a:ext uri="{FF2B5EF4-FFF2-40B4-BE49-F238E27FC236}">
              <a16:creationId xmlns:a16="http://schemas.microsoft.com/office/drawing/2014/main" id="{CEDB7E94-6480-47D4-AEC2-558FBAFA7E43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24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338</xdr:row>
      <xdr:rowOff>0</xdr:rowOff>
    </xdr:from>
    <xdr:ext cx="304800" cy="304800"/>
    <xdr:sp macro="" textlink="">
      <xdr:nvSpPr>
        <xdr:cNvPr id="896" name="AutoShape 1">
          <a:extLst>
            <a:ext uri="{FF2B5EF4-FFF2-40B4-BE49-F238E27FC236}">
              <a16:creationId xmlns:a16="http://schemas.microsoft.com/office/drawing/2014/main" id="{21D6BC4D-862C-4A64-906A-1BA460C9F9FD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24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338</xdr:row>
      <xdr:rowOff>0</xdr:rowOff>
    </xdr:from>
    <xdr:ext cx="304800" cy="304800"/>
    <xdr:sp macro="" textlink="">
      <xdr:nvSpPr>
        <xdr:cNvPr id="897" name="AutoShape 1">
          <a:extLst>
            <a:ext uri="{FF2B5EF4-FFF2-40B4-BE49-F238E27FC236}">
              <a16:creationId xmlns:a16="http://schemas.microsoft.com/office/drawing/2014/main" id="{9BAE8E7E-F4B0-4713-9D0E-7CF5A208A2EF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24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338</xdr:row>
      <xdr:rowOff>0</xdr:rowOff>
    </xdr:from>
    <xdr:ext cx="304800" cy="304800"/>
    <xdr:sp macro="" textlink="">
      <xdr:nvSpPr>
        <xdr:cNvPr id="898" name="AutoShape 1">
          <a:extLst>
            <a:ext uri="{FF2B5EF4-FFF2-40B4-BE49-F238E27FC236}">
              <a16:creationId xmlns:a16="http://schemas.microsoft.com/office/drawing/2014/main" id="{ABD67EFF-2C78-4BF5-B32F-A582D7A3A090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24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338</xdr:row>
      <xdr:rowOff>0</xdr:rowOff>
    </xdr:from>
    <xdr:ext cx="304800" cy="304800"/>
    <xdr:sp macro="" textlink="">
      <xdr:nvSpPr>
        <xdr:cNvPr id="899" name="AutoShape 1">
          <a:extLst>
            <a:ext uri="{FF2B5EF4-FFF2-40B4-BE49-F238E27FC236}">
              <a16:creationId xmlns:a16="http://schemas.microsoft.com/office/drawing/2014/main" id="{D29AA207-4C57-4D84-8DD6-29CBD28E683A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24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338</xdr:row>
      <xdr:rowOff>0</xdr:rowOff>
    </xdr:from>
    <xdr:ext cx="304800" cy="304800"/>
    <xdr:sp macro="" textlink="">
      <xdr:nvSpPr>
        <xdr:cNvPr id="900" name="AutoShape 1">
          <a:extLst>
            <a:ext uri="{FF2B5EF4-FFF2-40B4-BE49-F238E27FC236}">
              <a16:creationId xmlns:a16="http://schemas.microsoft.com/office/drawing/2014/main" id="{C882F690-6BED-46F3-A105-C3DE23E11A40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24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338</xdr:row>
      <xdr:rowOff>0</xdr:rowOff>
    </xdr:from>
    <xdr:ext cx="304800" cy="304800"/>
    <xdr:sp macro="" textlink="">
      <xdr:nvSpPr>
        <xdr:cNvPr id="901" name="AutoShape 1">
          <a:extLst>
            <a:ext uri="{FF2B5EF4-FFF2-40B4-BE49-F238E27FC236}">
              <a16:creationId xmlns:a16="http://schemas.microsoft.com/office/drawing/2014/main" id="{EBECB474-CED7-4FB2-9D8F-670F4D1416D7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24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338</xdr:row>
      <xdr:rowOff>0</xdr:rowOff>
    </xdr:from>
    <xdr:ext cx="304800" cy="304800"/>
    <xdr:sp macro="" textlink="">
      <xdr:nvSpPr>
        <xdr:cNvPr id="902" name="AutoShape 1">
          <a:extLst>
            <a:ext uri="{FF2B5EF4-FFF2-40B4-BE49-F238E27FC236}">
              <a16:creationId xmlns:a16="http://schemas.microsoft.com/office/drawing/2014/main" id="{C4E258C4-C1CC-48B4-8469-AEE1524AE296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24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338</xdr:row>
      <xdr:rowOff>0</xdr:rowOff>
    </xdr:from>
    <xdr:ext cx="304800" cy="304800"/>
    <xdr:sp macro="" textlink="">
      <xdr:nvSpPr>
        <xdr:cNvPr id="903" name="AutoShape 1">
          <a:extLst>
            <a:ext uri="{FF2B5EF4-FFF2-40B4-BE49-F238E27FC236}">
              <a16:creationId xmlns:a16="http://schemas.microsoft.com/office/drawing/2014/main" id="{81DA9CA1-EF27-465D-A492-24AC5D5A6EF4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24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338</xdr:row>
      <xdr:rowOff>0</xdr:rowOff>
    </xdr:from>
    <xdr:ext cx="304800" cy="304800"/>
    <xdr:sp macro="" textlink="">
      <xdr:nvSpPr>
        <xdr:cNvPr id="904" name="AutoShape 1">
          <a:extLst>
            <a:ext uri="{FF2B5EF4-FFF2-40B4-BE49-F238E27FC236}">
              <a16:creationId xmlns:a16="http://schemas.microsoft.com/office/drawing/2014/main" id="{58E7C2B8-50F7-40EA-BEE6-7FA51409EB2A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24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338</xdr:row>
      <xdr:rowOff>0</xdr:rowOff>
    </xdr:from>
    <xdr:ext cx="304800" cy="304800"/>
    <xdr:sp macro="" textlink="">
      <xdr:nvSpPr>
        <xdr:cNvPr id="905" name="AutoShape 1">
          <a:extLst>
            <a:ext uri="{FF2B5EF4-FFF2-40B4-BE49-F238E27FC236}">
              <a16:creationId xmlns:a16="http://schemas.microsoft.com/office/drawing/2014/main" id="{36B008D5-0B08-4C81-BFC0-8AB42AE21590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24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338</xdr:row>
      <xdr:rowOff>0</xdr:rowOff>
    </xdr:from>
    <xdr:ext cx="304800" cy="304800"/>
    <xdr:sp macro="" textlink="">
      <xdr:nvSpPr>
        <xdr:cNvPr id="906" name="AutoShape 1">
          <a:extLst>
            <a:ext uri="{FF2B5EF4-FFF2-40B4-BE49-F238E27FC236}">
              <a16:creationId xmlns:a16="http://schemas.microsoft.com/office/drawing/2014/main" id="{FC67E1C0-CB25-4C24-A2DB-D3C8D08E70BA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24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338</xdr:row>
      <xdr:rowOff>0</xdr:rowOff>
    </xdr:from>
    <xdr:ext cx="304800" cy="304800"/>
    <xdr:sp macro="" textlink="">
      <xdr:nvSpPr>
        <xdr:cNvPr id="907" name="AutoShape 1">
          <a:extLst>
            <a:ext uri="{FF2B5EF4-FFF2-40B4-BE49-F238E27FC236}">
              <a16:creationId xmlns:a16="http://schemas.microsoft.com/office/drawing/2014/main" id="{F6C05AF6-CC21-4EF4-843B-43A7F94F02B6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24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338</xdr:row>
      <xdr:rowOff>0</xdr:rowOff>
    </xdr:from>
    <xdr:ext cx="304800" cy="304800"/>
    <xdr:sp macro="" textlink="">
      <xdr:nvSpPr>
        <xdr:cNvPr id="908" name="AutoShape 1">
          <a:extLst>
            <a:ext uri="{FF2B5EF4-FFF2-40B4-BE49-F238E27FC236}">
              <a16:creationId xmlns:a16="http://schemas.microsoft.com/office/drawing/2014/main" id="{1CFFD1F8-1991-4B6C-9E52-547767C98B11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24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338</xdr:row>
      <xdr:rowOff>0</xdr:rowOff>
    </xdr:from>
    <xdr:ext cx="304800" cy="304800"/>
    <xdr:sp macro="" textlink="">
      <xdr:nvSpPr>
        <xdr:cNvPr id="909" name="AutoShape 1">
          <a:extLst>
            <a:ext uri="{FF2B5EF4-FFF2-40B4-BE49-F238E27FC236}">
              <a16:creationId xmlns:a16="http://schemas.microsoft.com/office/drawing/2014/main" id="{2F7D3FD9-451D-4C50-8383-D13EC6414838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24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338</xdr:row>
      <xdr:rowOff>0</xdr:rowOff>
    </xdr:from>
    <xdr:ext cx="304800" cy="304800"/>
    <xdr:sp macro="" textlink="">
      <xdr:nvSpPr>
        <xdr:cNvPr id="910" name="AutoShape 1">
          <a:extLst>
            <a:ext uri="{FF2B5EF4-FFF2-40B4-BE49-F238E27FC236}">
              <a16:creationId xmlns:a16="http://schemas.microsoft.com/office/drawing/2014/main" id="{042D2B93-CDC6-47A1-B681-4C12E7FD4469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24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338</xdr:row>
      <xdr:rowOff>0</xdr:rowOff>
    </xdr:from>
    <xdr:ext cx="304800" cy="304800"/>
    <xdr:sp macro="" textlink="">
      <xdr:nvSpPr>
        <xdr:cNvPr id="911" name="AutoShape 1">
          <a:extLst>
            <a:ext uri="{FF2B5EF4-FFF2-40B4-BE49-F238E27FC236}">
              <a16:creationId xmlns:a16="http://schemas.microsoft.com/office/drawing/2014/main" id="{41D5B6ED-9C96-48EA-A15F-99890050DEEE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24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338</xdr:row>
      <xdr:rowOff>0</xdr:rowOff>
    </xdr:from>
    <xdr:ext cx="304800" cy="304800"/>
    <xdr:sp macro="" textlink="">
      <xdr:nvSpPr>
        <xdr:cNvPr id="912" name="AutoShape 1">
          <a:extLst>
            <a:ext uri="{FF2B5EF4-FFF2-40B4-BE49-F238E27FC236}">
              <a16:creationId xmlns:a16="http://schemas.microsoft.com/office/drawing/2014/main" id="{6E502880-1C47-4560-AEDA-EF03C2826287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24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338</xdr:row>
      <xdr:rowOff>0</xdr:rowOff>
    </xdr:from>
    <xdr:ext cx="304800" cy="304800"/>
    <xdr:sp macro="" textlink="">
      <xdr:nvSpPr>
        <xdr:cNvPr id="913" name="AutoShape 1">
          <a:extLst>
            <a:ext uri="{FF2B5EF4-FFF2-40B4-BE49-F238E27FC236}">
              <a16:creationId xmlns:a16="http://schemas.microsoft.com/office/drawing/2014/main" id="{B909CE4D-2DF4-497E-BA9C-D1C1BC85CB3F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24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338</xdr:row>
      <xdr:rowOff>0</xdr:rowOff>
    </xdr:from>
    <xdr:ext cx="304800" cy="304800"/>
    <xdr:sp macro="" textlink="">
      <xdr:nvSpPr>
        <xdr:cNvPr id="914" name="AutoShape 1">
          <a:extLst>
            <a:ext uri="{FF2B5EF4-FFF2-40B4-BE49-F238E27FC236}">
              <a16:creationId xmlns:a16="http://schemas.microsoft.com/office/drawing/2014/main" id="{101005A0-D3CD-4EFF-9199-F7F88F90F684}"/>
            </a:ext>
            <a:ext uri="{147F2762-F138-4A5C-976F-8EAC2B608ADB}">
              <a16:predDERef xmlns:a16="http://schemas.microsoft.com/office/drawing/2014/main" pred="{A9C9C4DB-4B97-447C-9099-E87BCB3C537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24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338</xdr:row>
      <xdr:rowOff>0</xdr:rowOff>
    </xdr:from>
    <xdr:ext cx="304800" cy="304800"/>
    <xdr:sp macro="" textlink="">
      <xdr:nvSpPr>
        <xdr:cNvPr id="915" name="AutoShape 1">
          <a:extLst>
            <a:ext uri="{FF2B5EF4-FFF2-40B4-BE49-F238E27FC236}">
              <a16:creationId xmlns:a16="http://schemas.microsoft.com/office/drawing/2014/main" id="{2FEA975E-0716-47A4-88D5-CD1044AB9BAC}"/>
            </a:ext>
            <a:ext uri="{147F2762-F138-4A5C-976F-8EAC2B608ADB}">
              <a16:predDERef xmlns:a16="http://schemas.microsoft.com/office/drawing/2014/main" pred="{CD89554D-BD76-42AD-819A-278AD445B86E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24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338</xdr:row>
      <xdr:rowOff>0</xdr:rowOff>
    </xdr:from>
    <xdr:ext cx="304800" cy="304800"/>
    <xdr:sp macro="" textlink="">
      <xdr:nvSpPr>
        <xdr:cNvPr id="916" name="AutoShape 1">
          <a:extLst>
            <a:ext uri="{FF2B5EF4-FFF2-40B4-BE49-F238E27FC236}">
              <a16:creationId xmlns:a16="http://schemas.microsoft.com/office/drawing/2014/main" id="{C9ED3F13-1D32-49BD-88FF-1F90E51D67A1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24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338</xdr:row>
      <xdr:rowOff>0</xdr:rowOff>
    </xdr:from>
    <xdr:ext cx="304800" cy="304800"/>
    <xdr:sp macro="" textlink="">
      <xdr:nvSpPr>
        <xdr:cNvPr id="917" name="AutoShape 1">
          <a:extLst>
            <a:ext uri="{FF2B5EF4-FFF2-40B4-BE49-F238E27FC236}">
              <a16:creationId xmlns:a16="http://schemas.microsoft.com/office/drawing/2014/main" id="{F5D3F584-C71F-4213-AE2B-9F6E54B5B5CA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24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338</xdr:row>
      <xdr:rowOff>0</xdr:rowOff>
    </xdr:from>
    <xdr:ext cx="304800" cy="304800"/>
    <xdr:sp macro="" textlink="">
      <xdr:nvSpPr>
        <xdr:cNvPr id="918" name="AutoShape 1">
          <a:extLst>
            <a:ext uri="{FF2B5EF4-FFF2-40B4-BE49-F238E27FC236}">
              <a16:creationId xmlns:a16="http://schemas.microsoft.com/office/drawing/2014/main" id="{0C609DC2-7C09-4A2C-A686-C40E307C7B9C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24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338</xdr:row>
      <xdr:rowOff>0</xdr:rowOff>
    </xdr:from>
    <xdr:ext cx="304800" cy="304800"/>
    <xdr:sp macro="" textlink="">
      <xdr:nvSpPr>
        <xdr:cNvPr id="919" name="AutoShape 1">
          <a:extLst>
            <a:ext uri="{FF2B5EF4-FFF2-40B4-BE49-F238E27FC236}">
              <a16:creationId xmlns:a16="http://schemas.microsoft.com/office/drawing/2014/main" id="{766CD68E-04C6-473E-ACDE-F169CF851B4D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24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338</xdr:row>
      <xdr:rowOff>0</xdr:rowOff>
    </xdr:from>
    <xdr:ext cx="304800" cy="304800"/>
    <xdr:sp macro="" textlink="">
      <xdr:nvSpPr>
        <xdr:cNvPr id="920" name="AutoShape 1">
          <a:extLst>
            <a:ext uri="{FF2B5EF4-FFF2-40B4-BE49-F238E27FC236}">
              <a16:creationId xmlns:a16="http://schemas.microsoft.com/office/drawing/2014/main" id="{172C9EBA-84C6-4248-9630-58DFB2D3469C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24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338</xdr:row>
      <xdr:rowOff>0</xdr:rowOff>
    </xdr:from>
    <xdr:ext cx="304800" cy="304800"/>
    <xdr:sp macro="" textlink="">
      <xdr:nvSpPr>
        <xdr:cNvPr id="921" name="AutoShape 1">
          <a:extLst>
            <a:ext uri="{FF2B5EF4-FFF2-40B4-BE49-F238E27FC236}">
              <a16:creationId xmlns:a16="http://schemas.microsoft.com/office/drawing/2014/main" id="{4A628903-9891-46A0-A95A-92181EE994AF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24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338</xdr:row>
      <xdr:rowOff>0</xdr:rowOff>
    </xdr:from>
    <xdr:ext cx="304800" cy="304800"/>
    <xdr:sp macro="" textlink="">
      <xdr:nvSpPr>
        <xdr:cNvPr id="922" name="AutoShape 1">
          <a:extLst>
            <a:ext uri="{FF2B5EF4-FFF2-40B4-BE49-F238E27FC236}">
              <a16:creationId xmlns:a16="http://schemas.microsoft.com/office/drawing/2014/main" id="{F0278782-BD74-4AF6-B35A-B4EF9420A8D6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24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338</xdr:row>
      <xdr:rowOff>0</xdr:rowOff>
    </xdr:from>
    <xdr:ext cx="304800" cy="304800"/>
    <xdr:sp macro="" textlink="">
      <xdr:nvSpPr>
        <xdr:cNvPr id="923" name="AutoShape 1">
          <a:extLst>
            <a:ext uri="{FF2B5EF4-FFF2-40B4-BE49-F238E27FC236}">
              <a16:creationId xmlns:a16="http://schemas.microsoft.com/office/drawing/2014/main" id="{C8BEB203-8F7D-4BD8-B750-11FE678D82F3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24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338</xdr:row>
      <xdr:rowOff>0</xdr:rowOff>
    </xdr:from>
    <xdr:ext cx="304800" cy="304800"/>
    <xdr:sp macro="" textlink="">
      <xdr:nvSpPr>
        <xdr:cNvPr id="924" name="AutoShape 1">
          <a:extLst>
            <a:ext uri="{FF2B5EF4-FFF2-40B4-BE49-F238E27FC236}">
              <a16:creationId xmlns:a16="http://schemas.microsoft.com/office/drawing/2014/main" id="{FA552ED9-BC50-419B-B598-0358E95D388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24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338</xdr:row>
      <xdr:rowOff>0</xdr:rowOff>
    </xdr:from>
    <xdr:ext cx="304800" cy="304800"/>
    <xdr:sp macro="" textlink="">
      <xdr:nvSpPr>
        <xdr:cNvPr id="925" name="AutoShape 1">
          <a:extLst>
            <a:ext uri="{FF2B5EF4-FFF2-40B4-BE49-F238E27FC236}">
              <a16:creationId xmlns:a16="http://schemas.microsoft.com/office/drawing/2014/main" id="{C38BC3BE-DE4A-4514-AC24-808C4A3B3044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24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338</xdr:row>
      <xdr:rowOff>0</xdr:rowOff>
    </xdr:from>
    <xdr:ext cx="304800" cy="304800"/>
    <xdr:sp macro="" textlink="">
      <xdr:nvSpPr>
        <xdr:cNvPr id="926" name="AutoShape 1">
          <a:extLst>
            <a:ext uri="{FF2B5EF4-FFF2-40B4-BE49-F238E27FC236}">
              <a16:creationId xmlns:a16="http://schemas.microsoft.com/office/drawing/2014/main" id="{F5F0A911-8A60-4509-9703-4E03BB3FD177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24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338</xdr:row>
      <xdr:rowOff>0</xdr:rowOff>
    </xdr:from>
    <xdr:ext cx="304800" cy="304800"/>
    <xdr:sp macro="" textlink="">
      <xdr:nvSpPr>
        <xdr:cNvPr id="927" name="AutoShape 1">
          <a:extLst>
            <a:ext uri="{FF2B5EF4-FFF2-40B4-BE49-F238E27FC236}">
              <a16:creationId xmlns:a16="http://schemas.microsoft.com/office/drawing/2014/main" id="{EA4FA849-934C-4974-A220-6810400D52F3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24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338</xdr:row>
      <xdr:rowOff>0</xdr:rowOff>
    </xdr:from>
    <xdr:ext cx="304800" cy="304800"/>
    <xdr:sp macro="" textlink="">
      <xdr:nvSpPr>
        <xdr:cNvPr id="928" name="AutoShape 1">
          <a:extLst>
            <a:ext uri="{FF2B5EF4-FFF2-40B4-BE49-F238E27FC236}">
              <a16:creationId xmlns:a16="http://schemas.microsoft.com/office/drawing/2014/main" id="{B983361F-EF8C-4A90-BAE6-C067A1A477D3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24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338</xdr:row>
      <xdr:rowOff>0</xdr:rowOff>
    </xdr:from>
    <xdr:ext cx="304800" cy="304800"/>
    <xdr:sp macro="" textlink="">
      <xdr:nvSpPr>
        <xdr:cNvPr id="929" name="AutoShape 1">
          <a:extLst>
            <a:ext uri="{FF2B5EF4-FFF2-40B4-BE49-F238E27FC236}">
              <a16:creationId xmlns:a16="http://schemas.microsoft.com/office/drawing/2014/main" id="{C37E7FA3-A90A-4BB6-BF47-8CE5D653165A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24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338</xdr:row>
      <xdr:rowOff>0</xdr:rowOff>
    </xdr:from>
    <xdr:ext cx="304800" cy="304800"/>
    <xdr:sp macro="" textlink="">
      <xdr:nvSpPr>
        <xdr:cNvPr id="930" name="AutoShape 1">
          <a:extLst>
            <a:ext uri="{FF2B5EF4-FFF2-40B4-BE49-F238E27FC236}">
              <a16:creationId xmlns:a16="http://schemas.microsoft.com/office/drawing/2014/main" id="{20179A8D-C82D-42DF-95A7-4EBC13A3AF6C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24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338</xdr:row>
      <xdr:rowOff>0</xdr:rowOff>
    </xdr:from>
    <xdr:ext cx="304800" cy="304800"/>
    <xdr:sp macro="" textlink="">
      <xdr:nvSpPr>
        <xdr:cNvPr id="931" name="AutoShape 1">
          <a:extLst>
            <a:ext uri="{FF2B5EF4-FFF2-40B4-BE49-F238E27FC236}">
              <a16:creationId xmlns:a16="http://schemas.microsoft.com/office/drawing/2014/main" id="{9080B912-A7CF-4539-8DE4-B0DD7C550AF7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24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338</xdr:row>
      <xdr:rowOff>0</xdr:rowOff>
    </xdr:from>
    <xdr:ext cx="304800" cy="304800"/>
    <xdr:sp macro="" textlink="">
      <xdr:nvSpPr>
        <xdr:cNvPr id="932" name="AutoShape 1">
          <a:extLst>
            <a:ext uri="{FF2B5EF4-FFF2-40B4-BE49-F238E27FC236}">
              <a16:creationId xmlns:a16="http://schemas.microsoft.com/office/drawing/2014/main" id="{CFE08D45-9B36-4E04-8F07-06DC738A25CE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24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338</xdr:row>
      <xdr:rowOff>0</xdr:rowOff>
    </xdr:from>
    <xdr:ext cx="304800" cy="304800"/>
    <xdr:sp macro="" textlink="">
      <xdr:nvSpPr>
        <xdr:cNvPr id="933" name="AutoShape 1">
          <a:extLst>
            <a:ext uri="{FF2B5EF4-FFF2-40B4-BE49-F238E27FC236}">
              <a16:creationId xmlns:a16="http://schemas.microsoft.com/office/drawing/2014/main" id="{3D3F23AB-4D64-47ED-AD3D-07196F37BE13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24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338</xdr:row>
      <xdr:rowOff>0</xdr:rowOff>
    </xdr:from>
    <xdr:ext cx="304800" cy="304800"/>
    <xdr:sp macro="" textlink="">
      <xdr:nvSpPr>
        <xdr:cNvPr id="934" name="AutoShape 1">
          <a:extLst>
            <a:ext uri="{FF2B5EF4-FFF2-40B4-BE49-F238E27FC236}">
              <a16:creationId xmlns:a16="http://schemas.microsoft.com/office/drawing/2014/main" id="{F7990C7E-878E-4840-AE05-108DED55453D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24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338</xdr:row>
      <xdr:rowOff>0</xdr:rowOff>
    </xdr:from>
    <xdr:ext cx="304800" cy="304800"/>
    <xdr:sp macro="" textlink="">
      <xdr:nvSpPr>
        <xdr:cNvPr id="935" name="AutoShape 1">
          <a:extLst>
            <a:ext uri="{FF2B5EF4-FFF2-40B4-BE49-F238E27FC236}">
              <a16:creationId xmlns:a16="http://schemas.microsoft.com/office/drawing/2014/main" id="{5A545C7F-2433-4EC2-98FF-5A2EBB659C9C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24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338</xdr:row>
      <xdr:rowOff>0</xdr:rowOff>
    </xdr:from>
    <xdr:ext cx="304800" cy="304800"/>
    <xdr:sp macro="" textlink="">
      <xdr:nvSpPr>
        <xdr:cNvPr id="936" name="AutoShape 1">
          <a:extLst>
            <a:ext uri="{FF2B5EF4-FFF2-40B4-BE49-F238E27FC236}">
              <a16:creationId xmlns:a16="http://schemas.microsoft.com/office/drawing/2014/main" id="{6CD8D127-3516-4159-9385-E38884CF4413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24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338</xdr:row>
      <xdr:rowOff>0</xdr:rowOff>
    </xdr:from>
    <xdr:ext cx="304800" cy="304800"/>
    <xdr:sp macro="" textlink="">
      <xdr:nvSpPr>
        <xdr:cNvPr id="937" name="AutoShape 1">
          <a:extLst>
            <a:ext uri="{FF2B5EF4-FFF2-40B4-BE49-F238E27FC236}">
              <a16:creationId xmlns:a16="http://schemas.microsoft.com/office/drawing/2014/main" id="{434ED034-CC4B-4008-8BFB-79C39CCAE3FD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24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338</xdr:row>
      <xdr:rowOff>0</xdr:rowOff>
    </xdr:from>
    <xdr:ext cx="304800" cy="304800"/>
    <xdr:sp macro="" textlink="">
      <xdr:nvSpPr>
        <xdr:cNvPr id="938" name="AutoShape 1">
          <a:extLst>
            <a:ext uri="{FF2B5EF4-FFF2-40B4-BE49-F238E27FC236}">
              <a16:creationId xmlns:a16="http://schemas.microsoft.com/office/drawing/2014/main" id="{873F5BFC-B030-449C-B36A-98B1C2CEE3CC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24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338</xdr:row>
      <xdr:rowOff>0</xdr:rowOff>
    </xdr:from>
    <xdr:ext cx="304800" cy="304800"/>
    <xdr:sp macro="" textlink="">
      <xdr:nvSpPr>
        <xdr:cNvPr id="939" name="AutoShape 1">
          <a:extLst>
            <a:ext uri="{FF2B5EF4-FFF2-40B4-BE49-F238E27FC236}">
              <a16:creationId xmlns:a16="http://schemas.microsoft.com/office/drawing/2014/main" id="{D9F8073F-1479-419B-9F75-DF1535093DE7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24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338</xdr:row>
      <xdr:rowOff>0</xdr:rowOff>
    </xdr:from>
    <xdr:ext cx="304800" cy="304800"/>
    <xdr:sp macro="" textlink="">
      <xdr:nvSpPr>
        <xdr:cNvPr id="940" name="AutoShape 1">
          <a:extLst>
            <a:ext uri="{FF2B5EF4-FFF2-40B4-BE49-F238E27FC236}">
              <a16:creationId xmlns:a16="http://schemas.microsoft.com/office/drawing/2014/main" id="{EE587090-8659-4DA8-B7E9-A150CC71CB95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24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338</xdr:row>
      <xdr:rowOff>0</xdr:rowOff>
    </xdr:from>
    <xdr:ext cx="304800" cy="304800"/>
    <xdr:sp macro="" textlink="">
      <xdr:nvSpPr>
        <xdr:cNvPr id="941" name="AutoShape 1">
          <a:extLst>
            <a:ext uri="{FF2B5EF4-FFF2-40B4-BE49-F238E27FC236}">
              <a16:creationId xmlns:a16="http://schemas.microsoft.com/office/drawing/2014/main" id="{F42C0AF5-EC8B-4978-B72D-63F9EBEEDEF7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24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338</xdr:row>
      <xdr:rowOff>0</xdr:rowOff>
    </xdr:from>
    <xdr:ext cx="304800" cy="304800"/>
    <xdr:sp macro="" textlink="">
      <xdr:nvSpPr>
        <xdr:cNvPr id="942" name="AutoShape 1">
          <a:extLst>
            <a:ext uri="{FF2B5EF4-FFF2-40B4-BE49-F238E27FC236}">
              <a16:creationId xmlns:a16="http://schemas.microsoft.com/office/drawing/2014/main" id="{B37D6995-D3E1-41E7-91B0-59898ACB3E09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24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338</xdr:row>
      <xdr:rowOff>0</xdr:rowOff>
    </xdr:from>
    <xdr:ext cx="304800" cy="304800"/>
    <xdr:sp macro="" textlink="">
      <xdr:nvSpPr>
        <xdr:cNvPr id="943" name="AutoShape 1">
          <a:extLst>
            <a:ext uri="{FF2B5EF4-FFF2-40B4-BE49-F238E27FC236}">
              <a16:creationId xmlns:a16="http://schemas.microsoft.com/office/drawing/2014/main" id="{62017B1B-3331-42BC-90DD-B31DE76962B9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24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338</xdr:row>
      <xdr:rowOff>0</xdr:rowOff>
    </xdr:from>
    <xdr:ext cx="304800" cy="304800"/>
    <xdr:sp macro="" textlink="">
      <xdr:nvSpPr>
        <xdr:cNvPr id="944" name="AutoShape 1">
          <a:extLst>
            <a:ext uri="{FF2B5EF4-FFF2-40B4-BE49-F238E27FC236}">
              <a16:creationId xmlns:a16="http://schemas.microsoft.com/office/drawing/2014/main" id="{7AE8A2B4-F8E8-4474-B6A1-F473DF557E15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24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338</xdr:row>
      <xdr:rowOff>0</xdr:rowOff>
    </xdr:from>
    <xdr:ext cx="304800" cy="304800"/>
    <xdr:sp macro="" textlink="">
      <xdr:nvSpPr>
        <xdr:cNvPr id="945" name="AutoShape 1">
          <a:extLst>
            <a:ext uri="{FF2B5EF4-FFF2-40B4-BE49-F238E27FC236}">
              <a16:creationId xmlns:a16="http://schemas.microsoft.com/office/drawing/2014/main" id="{4FFD5655-B0BC-42A5-B776-C465D15A7634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24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338</xdr:row>
      <xdr:rowOff>0</xdr:rowOff>
    </xdr:from>
    <xdr:ext cx="304800" cy="304800"/>
    <xdr:sp macro="" textlink="">
      <xdr:nvSpPr>
        <xdr:cNvPr id="946" name="AutoShape 1">
          <a:extLst>
            <a:ext uri="{FF2B5EF4-FFF2-40B4-BE49-F238E27FC236}">
              <a16:creationId xmlns:a16="http://schemas.microsoft.com/office/drawing/2014/main" id="{80774F0C-7605-4524-8F55-EB4774AD50EA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24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338</xdr:row>
      <xdr:rowOff>0</xdr:rowOff>
    </xdr:from>
    <xdr:ext cx="304800" cy="304800"/>
    <xdr:sp macro="" textlink="">
      <xdr:nvSpPr>
        <xdr:cNvPr id="947" name="AutoShape 1">
          <a:extLst>
            <a:ext uri="{FF2B5EF4-FFF2-40B4-BE49-F238E27FC236}">
              <a16:creationId xmlns:a16="http://schemas.microsoft.com/office/drawing/2014/main" id="{A6AC6EE3-B8BB-4748-8460-2901DAEB6AD2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24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338</xdr:row>
      <xdr:rowOff>0</xdr:rowOff>
    </xdr:from>
    <xdr:ext cx="304800" cy="304800"/>
    <xdr:sp macro="" textlink="">
      <xdr:nvSpPr>
        <xdr:cNvPr id="948" name="AutoShape 1">
          <a:extLst>
            <a:ext uri="{FF2B5EF4-FFF2-40B4-BE49-F238E27FC236}">
              <a16:creationId xmlns:a16="http://schemas.microsoft.com/office/drawing/2014/main" id="{957CCC50-2C06-4155-BB2B-8B2D4DA7EFF4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24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338</xdr:row>
      <xdr:rowOff>0</xdr:rowOff>
    </xdr:from>
    <xdr:ext cx="304800" cy="304800"/>
    <xdr:sp macro="" textlink="">
      <xdr:nvSpPr>
        <xdr:cNvPr id="949" name="AutoShape 1">
          <a:extLst>
            <a:ext uri="{FF2B5EF4-FFF2-40B4-BE49-F238E27FC236}">
              <a16:creationId xmlns:a16="http://schemas.microsoft.com/office/drawing/2014/main" id="{C639FAF7-96D4-4A94-8989-4CF4892D0CA2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24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338</xdr:row>
      <xdr:rowOff>0</xdr:rowOff>
    </xdr:from>
    <xdr:ext cx="304800" cy="304800"/>
    <xdr:sp macro="" textlink="">
      <xdr:nvSpPr>
        <xdr:cNvPr id="950" name="AutoShape 1">
          <a:extLst>
            <a:ext uri="{FF2B5EF4-FFF2-40B4-BE49-F238E27FC236}">
              <a16:creationId xmlns:a16="http://schemas.microsoft.com/office/drawing/2014/main" id="{68FE0E86-B495-45F2-908C-A3AB367BE750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24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338</xdr:row>
      <xdr:rowOff>0</xdr:rowOff>
    </xdr:from>
    <xdr:ext cx="304800" cy="304800"/>
    <xdr:sp macro="" textlink="">
      <xdr:nvSpPr>
        <xdr:cNvPr id="951" name="AutoShape 1">
          <a:extLst>
            <a:ext uri="{FF2B5EF4-FFF2-40B4-BE49-F238E27FC236}">
              <a16:creationId xmlns:a16="http://schemas.microsoft.com/office/drawing/2014/main" id="{13455B9A-D4B3-4D62-8FCD-6DB6247C290D}"/>
            </a:ext>
            <a:ext uri="{147F2762-F138-4A5C-976F-8EAC2B608ADB}">
              <a16:predDERef xmlns:a16="http://schemas.microsoft.com/office/drawing/2014/main" pred="{A9C9C4DB-4B97-447C-9099-E87BCB3C537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24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338</xdr:row>
      <xdr:rowOff>0</xdr:rowOff>
    </xdr:from>
    <xdr:ext cx="304800" cy="304800"/>
    <xdr:sp macro="" textlink="">
      <xdr:nvSpPr>
        <xdr:cNvPr id="952" name="AutoShape 1">
          <a:extLst>
            <a:ext uri="{FF2B5EF4-FFF2-40B4-BE49-F238E27FC236}">
              <a16:creationId xmlns:a16="http://schemas.microsoft.com/office/drawing/2014/main" id="{EBAF319E-4163-4B07-B1E1-64E218192CDC}"/>
            </a:ext>
            <a:ext uri="{147F2762-F138-4A5C-976F-8EAC2B608ADB}">
              <a16:predDERef xmlns:a16="http://schemas.microsoft.com/office/drawing/2014/main" pred="{CD89554D-BD76-42AD-819A-278AD445B86E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24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363</xdr:row>
      <xdr:rowOff>0</xdr:rowOff>
    </xdr:from>
    <xdr:ext cx="304800" cy="304800"/>
    <xdr:sp macro="" textlink="">
      <xdr:nvSpPr>
        <xdr:cNvPr id="953" name="AutoShape 1">
          <a:extLst>
            <a:ext uri="{FF2B5EF4-FFF2-40B4-BE49-F238E27FC236}">
              <a16:creationId xmlns:a16="http://schemas.microsoft.com/office/drawing/2014/main" id="{7C157CBF-B65F-4E2B-B541-CE085B5DFD2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70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363</xdr:row>
      <xdr:rowOff>0</xdr:rowOff>
    </xdr:from>
    <xdr:ext cx="304800" cy="304800"/>
    <xdr:sp macro="" textlink="">
      <xdr:nvSpPr>
        <xdr:cNvPr id="954" name="AutoShape 1">
          <a:extLst>
            <a:ext uri="{FF2B5EF4-FFF2-40B4-BE49-F238E27FC236}">
              <a16:creationId xmlns:a16="http://schemas.microsoft.com/office/drawing/2014/main" id="{78C90248-BF1F-4691-AD7F-F051022A4CCA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70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363</xdr:row>
      <xdr:rowOff>0</xdr:rowOff>
    </xdr:from>
    <xdr:ext cx="304800" cy="304800"/>
    <xdr:sp macro="" textlink="">
      <xdr:nvSpPr>
        <xdr:cNvPr id="955" name="AutoShape 1">
          <a:extLst>
            <a:ext uri="{FF2B5EF4-FFF2-40B4-BE49-F238E27FC236}">
              <a16:creationId xmlns:a16="http://schemas.microsoft.com/office/drawing/2014/main" id="{50845483-1503-4C74-8E27-D7E4077B70A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70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363</xdr:row>
      <xdr:rowOff>0</xdr:rowOff>
    </xdr:from>
    <xdr:ext cx="304800" cy="304800"/>
    <xdr:sp macro="" textlink="">
      <xdr:nvSpPr>
        <xdr:cNvPr id="956" name="AutoShape 1">
          <a:extLst>
            <a:ext uri="{FF2B5EF4-FFF2-40B4-BE49-F238E27FC236}">
              <a16:creationId xmlns:a16="http://schemas.microsoft.com/office/drawing/2014/main" id="{E15A8B7C-2346-411C-9D77-2A1C5EB40671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70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363</xdr:row>
      <xdr:rowOff>0</xdr:rowOff>
    </xdr:from>
    <xdr:ext cx="304800" cy="304800"/>
    <xdr:sp macro="" textlink="">
      <xdr:nvSpPr>
        <xdr:cNvPr id="957" name="AutoShape 1">
          <a:extLst>
            <a:ext uri="{FF2B5EF4-FFF2-40B4-BE49-F238E27FC236}">
              <a16:creationId xmlns:a16="http://schemas.microsoft.com/office/drawing/2014/main" id="{6398CB56-4C23-4387-A874-53EB159879D9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70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363</xdr:row>
      <xdr:rowOff>0</xdr:rowOff>
    </xdr:from>
    <xdr:ext cx="304800" cy="304800"/>
    <xdr:sp macro="" textlink="">
      <xdr:nvSpPr>
        <xdr:cNvPr id="958" name="AutoShape 1">
          <a:extLst>
            <a:ext uri="{FF2B5EF4-FFF2-40B4-BE49-F238E27FC236}">
              <a16:creationId xmlns:a16="http://schemas.microsoft.com/office/drawing/2014/main" id="{DCF424D2-E160-494B-8568-2213E74A9394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70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363</xdr:row>
      <xdr:rowOff>0</xdr:rowOff>
    </xdr:from>
    <xdr:ext cx="304800" cy="304800"/>
    <xdr:sp macro="" textlink="">
      <xdr:nvSpPr>
        <xdr:cNvPr id="959" name="AutoShape 1">
          <a:extLst>
            <a:ext uri="{FF2B5EF4-FFF2-40B4-BE49-F238E27FC236}">
              <a16:creationId xmlns:a16="http://schemas.microsoft.com/office/drawing/2014/main" id="{385F318C-1B50-463D-98A3-50D40547EB16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70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363</xdr:row>
      <xdr:rowOff>0</xdr:rowOff>
    </xdr:from>
    <xdr:ext cx="304800" cy="304800"/>
    <xdr:sp macro="" textlink="">
      <xdr:nvSpPr>
        <xdr:cNvPr id="960" name="AutoShape 1">
          <a:extLst>
            <a:ext uri="{FF2B5EF4-FFF2-40B4-BE49-F238E27FC236}">
              <a16:creationId xmlns:a16="http://schemas.microsoft.com/office/drawing/2014/main" id="{D819B3A4-A493-46CA-82D9-19388BC2569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70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363</xdr:row>
      <xdr:rowOff>0</xdr:rowOff>
    </xdr:from>
    <xdr:ext cx="304800" cy="304800"/>
    <xdr:sp macro="" textlink="">
      <xdr:nvSpPr>
        <xdr:cNvPr id="961" name="AutoShape 1">
          <a:extLst>
            <a:ext uri="{FF2B5EF4-FFF2-40B4-BE49-F238E27FC236}">
              <a16:creationId xmlns:a16="http://schemas.microsoft.com/office/drawing/2014/main" id="{4D546AFE-805D-4856-BEF8-DE33371AEDF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70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363</xdr:row>
      <xdr:rowOff>0</xdr:rowOff>
    </xdr:from>
    <xdr:ext cx="304800" cy="304800"/>
    <xdr:sp macro="" textlink="">
      <xdr:nvSpPr>
        <xdr:cNvPr id="962" name="AutoShape 1">
          <a:extLst>
            <a:ext uri="{FF2B5EF4-FFF2-40B4-BE49-F238E27FC236}">
              <a16:creationId xmlns:a16="http://schemas.microsoft.com/office/drawing/2014/main" id="{3119E6C0-096A-4D1F-A853-A5BDF6ED309A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70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363</xdr:row>
      <xdr:rowOff>0</xdr:rowOff>
    </xdr:from>
    <xdr:ext cx="304800" cy="304800"/>
    <xdr:sp macro="" textlink="">
      <xdr:nvSpPr>
        <xdr:cNvPr id="963" name="AutoShape 1">
          <a:extLst>
            <a:ext uri="{FF2B5EF4-FFF2-40B4-BE49-F238E27FC236}">
              <a16:creationId xmlns:a16="http://schemas.microsoft.com/office/drawing/2014/main" id="{A7680FCE-4DF0-426E-8226-BC2BC5DD1ABA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70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363</xdr:row>
      <xdr:rowOff>0</xdr:rowOff>
    </xdr:from>
    <xdr:ext cx="304800" cy="304800"/>
    <xdr:sp macro="" textlink="">
      <xdr:nvSpPr>
        <xdr:cNvPr id="964" name="AutoShape 1">
          <a:extLst>
            <a:ext uri="{FF2B5EF4-FFF2-40B4-BE49-F238E27FC236}">
              <a16:creationId xmlns:a16="http://schemas.microsoft.com/office/drawing/2014/main" id="{83883B97-5503-4C09-9B61-C5EDD8243E14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70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363</xdr:row>
      <xdr:rowOff>0</xdr:rowOff>
    </xdr:from>
    <xdr:ext cx="304800" cy="304800"/>
    <xdr:sp macro="" textlink="">
      <xdr:nvSpPr>
        <xdr:cNvPr id="965" name="AutoShape 1">
          <a:extLst>
            <a:ext uri="{FF2B5EF4-FFF2-40B4-BE49-F238E27FC236}">
              <a16:creationId xmlns:a16="http://schemas.microsoft.com/office/drawing/2014/main" id="{5A61B42A-9CE4-4A37-BD43-D78B3263A36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70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363</xdr:row>
      <xdr:rowOff>0</xdr:rowOff>
    </xdr:from>
    <xdr:ext cx="304800" cy="304800"/>
    <xdr:sp macro="" textlink="">
      <xdr:nvSpPr>
        <xdr:cNvPr id="966" name="AutoShape 1">
          <a:extLst>
            <a:ext uri="{FF2B5EF4-FFF2-40B4-BE49-F238E27FC236}">
              <a16:creationId xmlns:a16="http://schemas.microsoft.com/office/drawing/2014/main" id="{75EEDF01-2D9A-4ED4-9EF1-7B8B90E41746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70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363</xdr:row>
      <xdr:rowOff>0</xdr:rowOff>
    </xdr:from>
    <xdr:ext cx="304800" cy="304800"/>
    <xdr:sp macro="" textlink="">
      <xdr:nvSpPr>
        <xdr:cNvPr id="967" name="AutoShape 1">
          <a:extLst>
            <a:ext uri="{FF2B5EF4-FFF2-40B4-BE49-F238E27FC236}">
              <a16:creationId xmlns:a16="http://schemas.microsoft.com/office/drawing/2014/main" id="{6D24CEB5-958D-42EB-A522-74B6DE23FF8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70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363</xdr:row>
      <xdr:rowOff>0</xdr:rowOff>
    </xdr:from>
    <xdr:ext cx="304800" cy="304800"/>
    <xdr:sp macro="" textlink="">
      <xdr:nvSpPr>
        <xdr:cNvPr id="968" name="AutoShape 1">
          <a:extLst>
            <a:ext uri="{FF2B5EF4-FFF2-40B4-BE49-F238E27FC236}">
              <a16:creationId xmlns:a16="http://schemas.microsoft.com/office/drawing/2014/main" id="{F66081E5-F3FA-469D-9746-827B3763330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70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363</xdr:row>
      <xdr:rowOff>0</xdr:rowOff>
    </xdr:from>
    <xdr:ext cx="304800" cy="304800"/>
    <xdr:sp macro="" textlink="">
      <xdr:nvSpPr>
        <xdr:cNvPr id="969" name="AutoShape 1">
          <a:extLst>
            <a:ext uri="{FF2B5EF4-FFF2-40B4-BE49-F238E27FC236}">
              <a16:creationId xmlns:a16="http://schemas.microsoft.com/office/drawing/2014/main" id="{6003E040-3D2C-4B12-93D8-CA0A3AD4B2AD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70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363</xdr:row>
      <xdr:rowOff>0</xdr:rowOff>
    </xdr:from>
    <xdr:ext cx="304800" cy="304800"/>
    <xdr:sp macro="" textlink="">
      <xdr:nvSpPr>
        <xdr:cNvPr id="970" name="AutoShape 1">
          <a:extLst>
            <a:ext uri="{FF2B5EF4-FFF2-40B4-BE49-F238E27FC236}">
              <a16:creationId xmlns:a16="http://schemas.microsoft.com/office/drawing/2014/main" id="{60E62F35-1E92-4237-B6C0-75269FCE98DD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70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363</xdr:row>
      <xdr:rowOff>0</xdr:rowOff>
    </xdr:from>
    <xdr:ext cx="304800" cy="304800"/>
    <xdr:sp macro="" textlink="">
      <xdr:nvSpPr>
        <xdr:cNvPr id="971" name="AutoShape 1">
          <a:extLst>
            <a:ext uri="{FF2B5EF4-FFF2-40B4-BE49-F238E27FC236}">
              <a16:creationId xmlns:a16="http://schemas.microsoft.com/office/drawing/2014/main" id="{79149276-876E-47FB-9B90-366E785E066C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70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363</xdr:row>
      <xdr:rowOff>0</xdr:rowOff>
    </xdr:from>
    <xdr:ext cx="304800" cy="304800"/>
    <xdr:sp macro="" textlink="">
      <xdr:nvSpPr>
        <xdr:cNvPr id="972" name="AutoShape 1">
          <a:extLst>
            <a:ext uri="{FF2B5EF4-FFF2-40B4-BE49-F238E27FC236}">
              <a16:creationId xmlns:a16="http://schemas.microsoft.com/office/drawing/2014/main" id="{DE15B58F-7F0B-4CB7-A2E3-83541E30BE28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70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363</xdr:row>
      <xdr:rowOff>0</xdr:rowOff>
    </xdr:from>
    <xdr:ext cx="304800" cy="304800"/>
    <xdr:sp macro="" textlink="">
      <xdr:nvSpPr>
        <xdr:cNvPr id="973" name="AutoShape 1">
          <a:extLst>
            <a:ext uri="{FF2B5EF4-FFF2-40B4-BE49-F238E27FC236}">
              <a16:creationId xmlns:a16="http://schemas.microsoft.com/office/drawing/2014/main" id="{4C17B126-E830-4D72-BDE4-11958DA72775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70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363</xdr:row>
      <xdr:rowOff>0</xdr:rowOff>
    </xdr:from>
    <xdr:ext cx="304800" cy="304800"/>
    <xdr:sp macro="" textlink="">
      <xdr:nvSpPr>
        <xdr:cNvPr id="974" name="AutoShape 1">
          <a:extLst>
            <a:ext uri="{FF2B5EF4-FFF2-40B4-BE49-F238E27FC236}">
              <a16:creationId xmlns:a16="http://schemas.microsoft.com/office/drawing/2014/main" id="{93613879-39EF-4434-9148-551A751ADBA0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70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363</xdr:row>
      <xdr:rowOff>0</xdr:rowOff>
    </xdr:from>
    <xdr:ext cx="304800" cy="304800"/>
    <xdr:sp macro="" textlink="">
      <xdr:nvSpPr>
        <xdr:cNvPr id="975" name="AutoShape 1">
          <a:extLst>
            <a:ext uri="{FF2B5EF4-FFF2-40B4-BE49-F238E27FC236}">
              <a16:creationId xmlns:a16="http://schemas.microsoft.com/office/drawing/2014/main" id="{0C700DE7-48B9-4CAF-A0AC-2488954D627A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70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363</xdr:row>
      <xdr:rowOff>0</xdr:rowOff>
    </xdr:from>
    <xdr:ext cx="304800" cy="304800"/>
    <xdr:sp macro="" textlink="">
      <xdr:nvSpPr>
        <xdr:cNvPr id="976" name="AutoShape 1">
          <a:extLst>
            <a:ext uri="{FF2B5EF4-FFF2-40B4-BE49-F238E27FC236}">
              <a16:creationId xmlns:a16="http://schemas.microsoft.com/office/drawing/2014/main" id="{274B2C1F-CC72-4893-B77B-48D9504F57B0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70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363</xdr:row>
      <xdr:rowOff>0</xdr:rowOff>
    </xdr:from>
    <xdr:ext cx="304800" cy="304800"/>
    <xdr:sp macro="" textlink="">
      <xdr:nvSpPr>
        <xdr:cNvPr id="977" name="AutoShape 1">
          <a:extLst>
            <a:ext uri="{FF2B5EF4-FFF2-40B4-BE49-F238E27FC236}">
              <a16:creationId xmlns:a16="http://schemas.microsoft.com/office/drawing/2014/main" id="{3760F2F2-CFDB-4E21-BE20-8837A1F6F5FD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70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363</xdr:row>
      <xdr:rowOff>0</xdr:rowOff>
    </xdr:from>
    <xdr:ext cx="304800" cy="304800"/>
    <xdr:sp macro="" textlink="">
      <xdr:nvSpPr>
        <xdr:cNvPr id="978" name="AutoShape 1">
          <a:extLst>
            <a:ext uri="{FF2B5EF4-FFF2-40B4-BE49-F238E27FC236}">
              <a16:creationId xmlns:a16="http://schemas.microsoft.com/office/drawing/2014/main" id="{C24766E3-1BDF-457B-93A6-39E2A5BC9EDE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70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363</xdr:row>
      <xdr:rowOff>0</xdr:rowOff>
    </xdr:from>
    <xdr:ext cx="304800" cy="304800"/>
    <xdr:sp macro="" textlink="">
      <xdr:nvSpPr>
        <xdr:cNvPr id="979" name="AutoShape 1">
          <a:extLst>
            <a:ext uri="{FF2B5EF4-FFF2-40B4-BE49-F238E27FC236}">
              <a16:creationId xmlns:a16="http://schemas.microsoft.com/office/drawing/2014/main" id="{B3AA0D55-2803-4983-A068-868D9B4AF330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70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363</xdr:row>
      <xdr:rowOff>0</xdr:rowOff>
    </xdr:from>
    <xdr:ext cx="304800" cy="304800"/>
    <xdr:sp macro="" textlink="">
      <xdr:nvSpPr>
        <xdr:cNvPr id="980" name="AutoShape 1">
          <a:extLst>
            <a:ext uri="{FF2B5EF4-FFF2-40B4-BE49-F238E27FC236}">
              <a16:creationId xmlns:a16="http://schemas.microsoft.com/office/drawing/2014/main" id="{DA494EAA-0F34-4BB2-955D-E9D63016355B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70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363</xdr:row>
      <xdr:rowOff>0</xdr:rowOff>
    </xdr:from>
    <xdr:ext cx="304800" cy="304800"/>
    <xdr:sp macro="" textlink="">
      <xdr:nvSpPr>
        <xdr:cNvPr id="981" name="AutoShape 1">
          <a:extLst>
            <a:ext uri="{FF2B5EF4-FFF2-40B4-BE49-F238E27FC236}">
              <a16:creationId xmlns:a16="http://schemas.microsoft.com/office/drawing/2014/main" id="{37A99017-2032-4674-BEB2-22D848BDDE54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70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363</xdr:row>
      <xdr:rowOff>0</xdr:rowOff>
    </xdr:from>
    <xdr:ext cx="304800" cy="304800"/>
    <xdr:sp macro="" textlink="">
      <xdr:nvSpPr>
        <xdr:cNvPr id="982" name="AutoShape 1">
          <a:extLst>
            <a:ext uri="{FF2B5EF4-FFF2-40B4-BE49-F238E27FC236}">
              <a16:creationId xmlns:a16="http://schemas.microsoft.com/office/drawing/2014/main" id="{EEC1FFFB-20D8-4FA2-BFE7-1A7582BB6E8C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70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363</xdr:row>
      <xdr:rowOff>0</xdr:rowOff>
    </xdr:from>
    <xdr:ext cx="304800" cy="304800"/>
    <xdr:sp macro="" textlink="">
      <xdr:nvSpPr>
        <xdr:cNvPr id="983" name="AutoShape 1">
          <a:extLst>
            <a:ext uri="{FF2B5EF4-FFF2-40B4-BE49-F238E27FC236}">
              <a16:creationId xmlns:a16="http://schemas.microsoft.com/office/drawing/2014/main" id="{34931802-9D2C-4095-AF25-77DCF048E541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70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363</xdr:row>
      <xdr:rowOff>0</xdr:rowOff>
    </xdr:from>
    <xdr:ext cx="304800" cy="304800"/>
    <xdr:sp macro="" textlink="">
      <xdr:nvSpPr>
        <xdr:cNvPr id="984" name="AutoShape 1">
          <a:extLst>
            <a:ext uri="{FF2B5EF4-FFF2-40B4-BE49-F238E27FC236}">
              <a16:creationId xmlns:a16="http://schemas.microsoft.com/office/drawing/2014/main" id="{7CDCE98A-FC19-4A0B-B22C-CF3C8D38DB85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70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363</xdr:row>
      <xdr:rowOff>0</xdr:rowOff>
    </xdr:from>
    <xdr:ext cx="304800" cy="304800"/>
    <xdr:sp macro="" textlink="">
      <xdr:nvSpPr>
        <xdr:cNvPr id="985" name="AutoShape 1">
          <a:extLst>
            <a:ext uri="{FF2B5EF4-FFF2-40B4-BE49-F238E27FC236}">
              <a16:creationId xmlns:a16="http://schemas.microsoft.com/office/drawing/2014/main" id="{E660E1EE-A560-47DF-8328-1DEC5E8A4B16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70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363</xdr:row>
      <xdr:rowOff>0</xdr:rowOff>
    </xdr:from>
    <xdr:ext cx="304800" cy="304800"/>
    <xdr:sp macro="" textlink="">
      <xdr:nvSpPr>
        <xdr:cNvPr id="986" name="AutoShape 1">
          <a:extLst>
            <a:ext uri="{FF2B5EF4-FFF2-40B4-BE49-F238E27FC236}">
              <a16:creationId xmlns:a16="http://schemas.microsoft.com/office/drawing/2014/main" id="{51569CC5-A39D-4629-824F-8A39982E64F0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70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363</xdr:row>
      <xdr:rowOff>0</xdr:rowOff>
    </xdr:from>
    <xdr:ext cx="304800" cy="304800"/>
    <xdr:sp macro="" textlink="">
      <xdr:nvSpPr>
        <xdr:cNvPr id="987" name="AutoShape 1">
          <a:extLst>
            <a:ext uri="{FF2B5EF4-FFF2-40B4-BE49-F238E27FC236}">
              <a16:creationId xmlns:a16="http://schemas.microsoft.com/office/drawing/2014/main" id="{E6F792F1-51D0-415F-A703-509C1A9F52EB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70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363</xdr:row>
      <xdr:rowOff>0</xdr:rowOff>
    </xdr:from>
    <xdr:ext cx="304800" cy="304800"/>
    <xdr:sp macro="" textlink="">
      <xdr:nvSpPr>
        <xdr:cNvPr id="988" name="AutoShape 1">
          <a:extLst>
            <a:ext uri="{FF2B5EF4-FFF2-40B4-BE49-F238E27FC236}">
              <a16:creationId xmlns:a16="http://schemas.microsoft.com/office/drawing/2014/main" id="{774EF74E-DE3F-42E2-B318-0AA5CC9D5BC5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70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363</xdr:row>
      <xdr:rowOff>0</xdr:rowOff>
    </xdr:from>
    <xdr:ext cx="304800" cy="304800"/>
    <xdr:sp macro="" textlink="">
      <xdr:nvSpPr>
        <xdr:cNvPr id="989" name="AutoShape 1">
          <a:extLst>
            <a:ext uri="{FF2B5EF4-FFF2-40B4-BE49-F238E27FC236}">
              <a16:creationId xmlns:a16="http://schemas.microsoft.com/office/drawing/2014/main" id="{D0BF481A-9763-48EF-9EE1-870B81A34F7D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70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363</xdr:row>
      <xdr:rowOff>0</xdr:rowOff>
    </xdr:from>
    <xdr:ext cx="304800" cy="304800"/>
    <xdr:sp macro="" textlink="">
      <xdr:nvSpPr>
        <xdr:cNvPr id="990" name="AutoShape 1">
          <a:extLst>
            <a:ext uri="{FF2B5EF4-FFF2-40B4-BE49-F238E27FC236}">
              <a16:creationId xmlns:a16="http://schemas.microsoft.com/office/drawing/2014/main" id="{097669AA-25CF-4FCA-8FDE-EEE5A2E717BD}"/>
            </a:ext>
            <a:ext uri="{147F2762-F138-4A5C-976F-8EAC2B608ADB}">
              <a16:predDERef xmlns:a16="http://schemas.microsoft.com/office/drawing/2014/main" pred="{A9C9C4DB-4B97-447C-9099-E87BCB3C537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70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363</xdr:row>
      <xdr:rowOff>0</xdr:rowOff>
    </xdr:from>
    <xdr:ext cx="304800" cy="304800"/>
    <xdr:sp macro="" textlink="">
      <xdr:nvSpPr>
        <xdr:cNvPr id="991" name="AutoShape 1">
          <a:extLst>
            <a:ext uri="{FF2B5EF4-FFF2-40B4-BE49-F238E27FC236}">
              <a16:creationId xmlns:a16="http://schemas.microsoft.com/office/drawing/2014/main" id="{9EDED9B3-5E89-4F8B-80B2-8C8F1646B501}"/>
            </a:ext>
            <a:ext uri="{147F2762-F138-4A5C-976F-8EAC2B608ADB}">
              <a16:predDERef xmlns:a16="http://schemas.microsoft.com/office/drawing/2014/main" pred="{CD89554D-BD76-42AD-819A-278AD445B86E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70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363</xdr:row>
      <xdr:rowOff>0</xdr:rowOff>
    </xdr:from>
    <xdr:ext cx="304800" cy="304800"/>
    <xdr:sp macro="" textlink="">
      <xdr:nvSpPr>
        <xdr:cNvPr id="992" name="AutoShape 1">
          <a:extLst>
            <a:ext uri="{FF2B5EF4-FFF2-40B4-BE49-F238E27FC236}">
              <a16:creationId xmlns:a16="http://schemas.microsoft.com/office/drawing/2014/main" id="{7554037F-0815-42FA-8167-9183478DE094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70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363</xdr:row>
      <xdr:rowOff>0</xdr:rowOff>
    </xdr:from>
    <xdr:ext cx="304800" cy="304800"/>
    <xdr:sp macro="" textlink="">
      <xdr:nvSpPr>
        <xdr:cNvPr id="993" name="AutoShape 1">
          <a:extLst>
            <a:ext uri="{FF2B5EF4-FFF2-40B4-BE49-F238E27FC236}">
              <a16:creationId xmlns:a16="http://schemas.microsoft.com/office/drawing/2014/main" id="{DD0D99D6-AEAC-4ECF-8066-7669DF12AAC6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70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363</xdr:row>
      <xdr:rowOff>0</xdr:rowOff>
    </xdr:from>
    <xdr:ext cx="304800" cy="304800"/>
    <xdr:sp macro="" textlink="">
      <xdr:nvSpPr>
        <xdr:cNvPr id="994" name="AutoShape 1">
          <a:extLst>
            <a:ext uri="{FF2B5EF4-FFF2-40B4-BE49-F238E27FC236}">
              <a16:creationId xmlns:a16="http://schemas.microsoft.com/office/drawing/2014/main" id="{F1FC24F7-4CAB-4504-813D-58DF1C56B00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70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363</xdr:row>
      <xdr:rowOff>0</xdr:rowOff>
    </xdr:from>
    <xdr:ext cx="304800" cy="304800"/>
    <xdr:sp macro="" textlink="">
      <xdr:nvSpPr>
        <xdr:cNvPr id="995" name="AutoShape 1">
          <a:extLst>
            <a:ext uri="{FF2B5EF4-FFF2-40B4-BE49-F238E27FC236}">
              <a16:creationId xmlns:a16="http://schemas.microsoft.com/office/drawing/2014/main" id="{32A55666-0272-4847-AF7F-8814D88B96C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70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363</xdr:row>
      <xdr:rowOff>0</xdr:rowOff>
    </xdr:from>
    <xdr:ext cx="304800" cy="304800"/>
    <xdr:sp macro="" textlink="">
      <xdr:nvSpPr>
        <xdr:cNvPr id="996" name="AutoShape 1">
          <a:extLst>
            <a:ext uri="{FF2B5EF4-FFF2-40B4-BE49-F238E27FC236}">
              <a16:creationId xmlns:a16="http://schemas.microsoft.com/office/drawing/2014/main" id="{BA93E0F0-A63B-4C3A-881A-51CB2FEBFD27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70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363</xdr:row>
      <xdr:rowOff>0</xdr:rowOff>
    </xdr:from>
    <xdr:ext cx="304800" cy="304800"/>
    <xdr:sp macro="" textlink="">
      <xdr:nvSpPr>
        <xdr:cNvPr id="997" name="AutoShape 1">
          <a:extLst>
            <a:ext uri="{FF2B5EF4-FFF2-40B4-BE49-F238E27FC236}">
              <a16:creationId xmlns:a16="http://schemas.microsoft.com/office/drawing/2014/main" id="{5D5B9CC1-6465-43CF-85A2-45C149EE5983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70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363</xdr:row>
      <xdr:rowOff>0</xdr:rowOff>
    </xdr:from>
    <xdr:ext cx="304800" cy="304800"/>
    <xdr:sp macro="" textlink="">
      <xdr:nvSpPr>
        <xdr:cNvPr id="998" name="AutoShape 1">
          <a:extLst>
            <a:ext uri="{FF2B5EF4-FFF2-40B4-BE49-F238E27FC236}">
              <a16:creationId xmlns:a16="http://schemas.microsoft.com/office/drawing/2014/main" id="{1AF5D21D-6176-4BDD-92B2-70DD6A32DA7F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70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363</xdr:row>
      <xdr:rowOff>0</xdr:rowOff>
    </xdr:from>
    <xdr:ext cx="304800" cy="304800"/>
    <xdr:sp macro="" textlink="">
      <xdr:nvSpPr>
        <xdr:cNvPr id="999" name="AutoShape 1">
          <a:extLst>
            <a:ext uri="{FF2B5EF4-FFF2-40B4-BE49-F238E27FC236}">
              <a16:creationId xmlns:a16="http://schemas.microsoft.com/office/drawing/2014/main" id="{506D1BE8-01CF-44A6-9ED4-1C6FAB93DD33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70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363</xdr:row>
      <xdr:rowOff>0</xdr:rowOff>
    </xdr:from>
    <xdr:ext cx="304800" cy="304800"/>
    <xdr:sp macro="" textlink="">
      <xdr:nvSpPr>
        <xdr:cNvPr id="1000" name="AutoShape 1">
          <a:extLst>
            <a:ext uri="{FF2B5EF4-FFF2-40B4-BE49-F238E27FC236}">
              <a16:creationId xmlns:a16="http://schemas.microsoft.com/office/drawing/2014/main" id="{5216570B-D9BA-4DD2-991F-751DC59DB73A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70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363</xdr:row>
      <xdr:rowOff>0</xdr:rowOff>
    </xdr:from>
    <xdr:ext cx="304800" cy="304800"/>
    <xdr:sp macro="" textlink="">
      <xdr:nvSpPr>
        <xdr:cNvPr id="1001" name="AutoShape 1">
          <a:extLst>
            <a:ext uri="{FF2B5EF4-FFF2-40B4-BE49-F238E27FC236}">
              <a16:creationId xmlns:a16="http://schemas.microsoft.com/office/drawing/2014/main" id="{6428F29F-891C-4ACD-A38C-C7765C74667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70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363</xdr:row>
      <xdr:rowOff>0</xdr:rowOff>
    </xdr:from>
    <xdr:ext cx="304800" cy="304800"/>
    <xdr:sp macro="" textlink="">
      <xdr:nvSpPr>
        <xdr:cNvPr id="1002" name="AutoShape 1">
          <a:extLst>
            <a:ext uri="{FF2B5EF4-FFF2-40B4-BE49-F238E27FC236}">
              <a16:creationId xmlns:a16="http://schemas.microsoft.com/office/drawing/2014/main" id="{A37F1FE4-0418-41C5-8CEE-63C04741AB74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70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363</xdr:row>
      <xdr:rowOff>0</xdr:rowOff>
    </xdr:from>
    <xdr:ext cx="304800" cy="304800"/>
    <xdr:sp macro="" textlink="">
      <xdr:nvSpPr>
        <xdr:cNvPr id="1003" name="AutoShape 1">
          <a:extLst>
            <a:ext uri="{FF2B5EF4-FFF2-40B4-BE49-F238E27FC236}">
              <a16:creationId xmlns:a16="http://schemas.microsoft.com/office/drawing/2014/main" id="{41754DC3-1E58-47A2-8EDB-DC97B1F8FD76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70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363</xdr:row>
      <xdr:rowOff>0</xdr:rowOff>
    </xdr:from>
    <xdr:ext cx="304800" cy="304800"/>
    <xdr:sp macro="" textlink="">
      <xdr:nvSpPr>
        <xdr:cNvPr id="1004" name="AutoShape 1">
          <a:extLst>
            <a:ext uri="{FF2B5EF4-FFF2-40B4-BE49-F238E27FC236}">
              <a16:creationId xmlns:a16="http://schemas.microsoft.com/office/drawing/2014/main" id="{A91A7893-78B5-415F-8868-D748CBE241ED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70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363</xdr:row>
      <xdr:rowOff>0</xdr:rowOff>
    </xdr:from>
    <xdr:ext cx="304800" cy="304800"/>
    <xdr:sp macro="" textlink="">
      <xdr:nvSpPr>
        <xdr:cNvPr id="1005" name="AutoShape 1">
          <a:extLst>
            <a:ext uri="{FF2B5EF4-FFF2-40B4-BE49-F238E27FC236}">
              <a16:creationId xmlns:a16="http://schemas.microsoft.com/office/drawing/2014/main" id="{397EF070-1088-4FAA-9CBF-BCC98724414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70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363</xdr:row>
      <xdr:rowOff>0</xdr:rowOff>
    </xdr:from>
    <xdr:ext cx="304800" cy="304800"/>
    <xdr:sp macro="" textlink="">
      <xdr:nvSpPr>
        <xdr:cNvPr id="1006" name="AutoShape 1">
          <a:extLst>
            <a:ext uri="{FF2B5EF4-FFF2-40B4-BE49-F238E27FC236}">
              <a16:creationId xmlns:a16="http://schemas.microsoft.com/office/drawing/2014/main" id="{AA95FEF5-223B-431B-8A72-6148B498F7BF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70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363</xdr:row>
      <xdr:rowOff>0</xdr:rowOff>
    </xdr:from>
    <xdr:ext cx="304800" cy="304800"/>
    <xdr:sp macro="" textlink="">
      <xdr:nvSpPr>
        <xdr:cNvPr id="1007" name="AutoShape 1">
          <a:extLst>
            <a:ext uri="{FF2B5EF4-FFF2-40B4-BE49-F238E27FC236}">
              <a16:creationId xmlns:a16="http://schemas.microsoft.com/office/drawing/2014/main" id="{ECA52342-0B7E-488F-A7B2-45BFE56CE173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70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363</xdr:row>
      <xdr:rowOff>0</xdr:rowOff>
    </xdr:from>
    <xdr:ext cx="304800" cy="304800"/>
    <xdr:sp macro="" textlink="">
      <xdr:nvSpPr>
        <xdr:cNvPr id="1008" name="AutoShape 1">
          <a:extLst>
            <a:ext uri="{FF2B5EF4-FFF2-40B4-BE49-F238E27FC236}">
              <a16:creationId xmlns:a16="http://schemas.microsoft.com/office/drawing/2014/main" id="{3E0A1CCA-06F6-488C-8205-D007564A753C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70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363</xdr:row>
      <xdr:rowOff>0</xdr:rowOff>
    </xdr:from>
    <xdr:ext cx="304800" cy="304800"/>
    <xdr:sp macro="" textlink="">
      <xdr:nvSpPr>
        <xdr:cNvPr id="1009" name="AutoShape 1">
          <a:extLst>
            <a:ext uri="{FF2B5EF4-FFF2-40B4-BE49-F238E27FC236}">
              <a16:creationId xmlns:a16="http://schemas.microsoft.com/office/drawing/2014/main" id="{A0A41543-3D0F-4726-8341-805D2ED1D08E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70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363</xdr:row>
      <xdr:rowOff>0</xdr:rowOff>
    </xdr:from>
    <xdr:ext cx="304800" cy="304800"/>
    <xdr:sp macro="" textlink="">
      <xdr:nvSpPr>
        <xdr:cNvPr id="1010" name="AutoShape 1">
          <a:extLst>
            <a:ext uri="{FF2B5EF4-FFF2-40B4-BE49-F238E27FC236}">
              <a16:creationId xmlns:a16="http://schemas.microsoft.com/office/drawing/2014/main" id="{752D1DDB-292E-447C-BE83-7CFA07CBB438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70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363</xdr:row>
      <xdr:rowOff>0</xdr:rowOff>
    </xdr:from>
    <xdr:ext cx="304800" cy="304800"/>
    <xdr:sp macro="" textlink="">
      <xdr:nvSpPr>
        <xdr:cNvPr id="1011" name="AutoShape 1">
          <a:extLst>
            <a:ext uri="{FF2B5EF4-FFF2-40B4-BE49-F238E27FC236}">
              <a16:creationId xmlns:a16="http://schemas.microsoft.com/office/drawing/2014/main" id="{87F4258F-E4D2-4FA6-9778-9EE8FF686C82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70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363</xdr:row>
      <xdr:rowOff>0</xdr:rowOff>
    </xdr:from>
    <xdr:ext cx="304800" cy="304800"/>
    <xdr:sp macro="" textlink="">
      <xdr:nvSpPr>
        <xdr:cNvPr id="1012" name="AutoShape 1">
          <a:extLst>
            <a:ext uri="{FF2B5EF4-FFF2-40B4-BE49-F238E27FC236}">
              <a16:creationId xmlns:a16="http://schemas.microsoft.com/office/drawing/2014/main" id="{D84739D2-B99F-470C-8DDD-1264472E7704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70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363</xdr:row>
      <xdr:rowOff>0</xdr:rowOff>
    </xdr:from>
    <xdr:ext cx="304800" cy="304800"/>
    <xdr:sp macro="" textlink="">
      <xdr:nvSpPr>
        <xdr:cNvPr id="1013" name="AutoShape 1">
          <a:extLst>
            <a:ext uri="{FF2B5EF4-FFF2-40B4-BE49-F238E27FC236}">
              <a16:creationId xmlns:a16="http://schemas.microsoft.com/office/drawing/2014/main" id="{CDC5E81D-367D-40E1-B766-485EA926CEE0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70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363</xdr:row>
      <xdr:rowOff>0</xdr:rowOff>
    </xdr:from>
    <xdr:ext cx="304800" cy="304800"/>
    <xdr:sp macro="" textlink="">
      <xdr:nvSpPr>
        <xdr:cNvPr id="1014" name="AutoShape 1">
          <a:extLst>
            <a:ext uri="{FF2B5EF4-FFF2-40B4-BE49-F238E27FC236}">
              <a16:creationId xmlns:a16="http://schemas.microsoft.com/office/drawing/2014/main" id="{30D92E44-8103-41FC-95B8-BC2665ECA45C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70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363</xdr:row>
      <xdr:rowOff>0</xdr:rowOff>
    </xdr:from>
    <xdr:ext cx="304800" cy="304800"/>
    <xdr:sp macro="" textlink="">
      <xdr:nvSpPr>
        <xdr:cNvPr id="1015" name="AutoShape 1">
          <a:extLst>
            <a:ext uri="{FF2B5EF4-FFF2-40B4-BE49-F238E27FC236}">
              <a16:creationId xmlns:a16="http://schemas.microsoft.com/office/drawing/2014/main" id="{B7414188-4C47-44B1-BBAE-EFF5F69C8F62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70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363</xdr:row>
      <xdr:rowOff>0</xdr:rowOff>
    </xdr:from>
    <xdr:ext cx="304800" cy="304800"/>
    <xdr:sp macro="" textlink="">
      <xdr:nvSpPr>
        <xdr:cNvPr id="1016" name="AutoShape 1">
          <a:extLst>
            <a:ext uri="{FF2B5EF4-FFF2-40B4-BE49-F238E27FC236}">
              <a16:creationId xmlns:a16="http://schemas.microsoft.com/office/drawing/2014/main" id="{A034BF2F-5F33-458F-AC16-69008C608251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70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363</xdr:row>
      <xdr:rowOff>0</xdr:rowOff>
    </xdr:from>
    <xdr:ext cx="304800" cy="304800"/>
    <xdr:sp macro="" textlink="">
      <xdr:nvSpPr>
        <xdr:cNvPr id="1017" name="AutoShape 1">
          <a:extLst>
            <a:ext uri="{FF2B5EF4-FFF2-40B4-BE49-F238E27FC236}">
              <a16:creationId xmlns:a16="http://schemas.microsoft.com/office/drawing/2014/main" id="{C9E50C19-403F-464E-AD51-AA15A6EFA6A1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70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363</xdr:row>
      <xdr:rowOff>0</xdr:rowOff>
    </xdr:from>
    <xdr:ext cx="304800" cy="304800"/>
    <xdr:sp macro="" textlink="">
      <xdr:nvSpPr>
        <xdr:cNvPr id="1018" name="AutoShape 1">
          <a:extLst>
            <a:ext uri="{FF2B5EF4-FFF2-40B4-BE49-F238E27FC236}">
              <a16:creationId xmlns:a16="http://schemas.microsoft.com/office/drawing/2014/main" id="{E08EC40A-800C-499A-AE9C-EAE7DBA05E09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70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363</xdr:row>
      <xdr:rowOff>0</xdr:rowOff>
    </xdr:from>
    <xdr:ext cx="304800" cy="304800"/>
    <xdr:sp macro="" textlink="">
      <xdr:nvSpPr>
        <xdr:cNvPr id="1019" name="AutoShape 1">
          <a:extLst>
            <a:ext uri="{FF2B5EF4-FFF2-40B4-BE49-F238E27FC236}">
              <a16:creationId xmlns:a16="http://schemas.microsoft.com/office/drawing/2014/main" id="{608F5694-4538-442E-AA35-F15D0D5FC2CF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70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363</xdr:row>
      <xdr:rowOff>0</xdr:rowOff>
    </xdr:from>
    <xdr:ext cx="304800" cy="304800"/>
    <xdr:sp macro="" textlink="">
      <xdr:nvSpPr>
        <xdr:cNvPr id="1020" name="AutoShape 1">
          <a:extLst>
            <a:ext uri="{FF2B5EF4-FFF2-40B4-BE49-F238E27FC236}">
              <a16:creationId xmlns:a16="http://schemas.microsoft.com/office/drawing/2014/main" id="{9B525D43-CD5E-4FE0-AD40-CB5E3C5CA45E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70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363</xdr:row>
      <xdr:rowOff>0</xdr:rowOff>
    </xdr:from>
    <xdr:ext cx="304800" cy="304800"/>
    <xdr:sp macro="" textlink="">
      <xdr:nvSpPr>
        <xdr:cNvPr id="1021" name="AutoShape 1">
          <a:extLst>
            <a:ext uri="{FF2B5EF4-FFF2-40B4-BE49-F238E27FC236}">
              <a16:creationId xmlns:a16="http://schemas.microsoft.com/office/drawing/2014/main" id="{FC7DCF50-5346-4DF4-9A41-39B07F0A5646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70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363</xdr:row>
      <xdr:rowOff>0</xdr:rowOff>
    </xdr:from>
    <xdr:ext cx="304800" cy="304800"/>
    <xdr:sp macro="" textlink="">
      <xdr:nvSpPr>
        <xdr:cNvPr id="1022" name="AutoShape 1">
          <a:extLst>
            <a:ext uri="{FF2B5EF4-FFF2-40B4-BE49-F238E27FC236}">
              <a16:creationId xmlns:a16="http://schemas.microsoft.com/office/drawing/2014/main" id="{7B396E44-D617-494F-8A49-92D68F603941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70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363</xdr:row>
      <xdr:rowOff>0</xdr:rowOff>
    </xdr:from>
    <xdr:ext cx="304800" cy="304800"/>
    <xdr:sp macro="" textlink="">
      <xdr:nvSpPr>
        <xdr:cNvPr id="1023" name="AutoShape 1">
          <a:extLst>
            <a:ext uri="{FF2B5EF4-FFF2-40B4-BE49-F238E27FC236}">
              <a16:creationId xmlns:a16="http://schemas.microsoft.com/office/drawing/2014/main" id="{5D28D085-9F03-460A-BE93-8EA7DC8402F9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70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363</xdr:row>
      <xdr:rowOff>0</xdr:rowOff>
    </xdr:from>
    <xdr:ext cx="304800" cy="304800"/>
    <xdr:sp macro="" textlink="">
      <xdr:nvSpPr>
        <xdr:cNvPr id="1024" name="AutoShape 1">
          <a:extLst>
            <a:ext uri="{FF2B5EF4-FFF2-40B4-BE49-F238E27FC236}">
              <a16:creationId xmlns:a16="http://schemas.microsoft.com/office/drawing/2014/main" id="{976F743E-E1DF-4AB8-BDEF-5AD9324F35E9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70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363</xdr:row>
      <xdr:rowOff>0</xdr:rowOff>
    </xdr:from>
    <xdr:ext cx="304800" cy="304800"/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57F3F96-02D5-42FA-9D6A-4996B50B4F92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70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363</xdr:row>
      <xdr:rowOff>0</xdr:rowOff>
    </xdr:from>
    <xdr:ext cx="304800" cy="304800"/>
    <xdr:sp macro="" textlink="">
      <xdr:nvSpPr>
        <xdr:cNvPr id="1026" name="AutoShape 1">
          <a:extLst>
            <a:ext uri="{FF2B5EF4-FFF2-40B4-BE49-F238E27FC236}">
              <a16:creationId xmlns:a16="http://schemas.microsoft.com/office/drawing/2014/main" id="{6E4248EE-011D-4EAA-82DA-7A1703685247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70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363</xdr:row>
      <xdr:rowOff>0</xdr:rowOff>
    </xdr:from>
    <xdr:ext cx="304800" cy="304800"/>
    <xdr:sp macro="" textlink="">
      <xdr:nvSpPr>
        <xdr:cNvPr id="1027" name="AutoShape 1">
          <a:extLst>
            <a:ext uri="{FF2B5EF4-FFF2-40B4-BE49-F238E27FC236}">
              <a16:creationId xmlns:a16="http://schemas.microsoft.com/office/drawing/2014/main" id="{3EEBB60C-C841-4074-86E3-7415192A2E3A}"/>
            </a:ext>
            <a:ext uri="{147F2762-F138-4A5C-976F-8EAC2B608ADB}">
              <a16:predDERef xmlns:a16="http://schemas.microsoft.com/office/drawing/2014/main" pred="{A9C9C4DB-4B97-447C-9099-E87BCB3C537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70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363</xdr:row>
      <xdr:rowOff>0</xdr:rowOff>
    </xdr:from>
    <xdr:ext cx="304800" cy="304800"/>
    <xdr:sp macro="" textlink="">
      <xdr:nvSpPr>
        <xdr:cNvPr id="1028" name="AutoShape 1">
          <a:extLst>
            <a:ext uri="{FF2B5EF4-FFF2-40B4-BE49-F238E27FC236}">
              <a16:creationId xmlns:a16="http://schemas.microsoft.com/office/drawing/2014/main" id="{3A496D43-7BEF-4693-856A-831D8C4E7400}"/>
            </a:ext>
            <a:ext uri="{147F2762-F138-4A5C-976F-8EAC2B608ADB}">
              <a16:predDERef xmlns:a16="http://schemas.microsoft.com/office/drawing/2014/main" pred="{CD89554D-BD76-42AD-819A-278AD445B86E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70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363</xdr:row>
      <xdr:rowOff>0</xdr:rowOff>
    </xdr:from>
    <xdr:ext cx="304800" cy="304800"/>
    <xdr:sp macro="" textlink="">
      <xdr:nvSpPr>
        <xdr:cNvPr id="1029" name="AutoShape 1">
          <a:extLst>
            <a:ext uri="{FF2B5EF4-FFF2-40B4-BE49-F238E27FC236}">
              <a16:creationId xmlns:a16="http://schemas.microsoft.com/office/drawing/2014/main" id="{59466D47-01C2-4B0A-BCC7-C2A6BB69AECB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70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363</xdr:row>
      <xdr:rowOff>0</xdr:rowOff>
    </xdr:from>
    <xdr:ext cx="304800" cy="304800"/>
    <xdr:sp macro="" textlink="">
      <xdr:nvSpPr>
        <xdr:cNvPr id="1030" name="AutoShape 1">
          <a:extLst>
            <a:ext uri="{FF2B5EF4-FFF2-40B4-BE49-F238E27FC236}">
              <a16:creationId xmlns:a16="http://schemas.microsoft.com/office/drawing/2014/main" id="{4A08F541-FF65-495D-9A68-0FACA9DF031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70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363</xdr:row>
      <xdr:rowOff>0</xdr:rowOff>
    </xdr:from>
    <xdr:ext cx="304800" cy="304800"/>
    <xdr:sp macro="" textlink="">
      <xdr:nvSpPr>
        <xdr:cNvPr id="1031" name="AutoShape 1">
          <a:extLst>
            <a:ext uri="{FF2B5EF4-FFF2-40B4-BE49-F238E27FC236}">
              <a16:creationId xmlns:a16="http://schemas.microsoft.com/office/drawing/2014/main" id="{C261721C-BF51-4880-87AB-5D775D9B80AB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70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363</xdr:row>
      <xdr:rowOff>0</xdr:rowOff>
    </xdr:from>
    <xdr:ext cx="304800" cy="304800"/>
    <xdr:sp macro="" textlink="">
      <xdr:nvSpPr>
        <xdr:cNvPr id="1032" name="AutoShape 1">
          <a:extLst>
            <a:ext uri="{FF2B5EF4-FFF2-40B4-BE49-F238E27FC236}">
              <a16:creationId xmlns:a16="http://schemas.microsoft.com/office/drawing/2014/main" id="{A353B96F-659C-4638-AD95-2C7374AECE34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70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363</xdr:row>
      <xdr:rowOff>0</xdr:rowOff>
    </xdr:from>
    <xdr:ext cx="304800" cy="304800"/>
    <xdr:sp macro="" textlink="">
      <xdr:nvSpPr>
        <xdr:cNvPr id="1033" name="AutoShape 1">
          <a:extLst>
            <a:ext uri="{FF2B5EF4-FFF2-40B4-BE49-F238E27FC236}">
              <a16:creationId xmlns:a16="http://schemas.microsoft.com/office/drawing/2014/main" id="{45622A9E-AE6D-49DF-82C6-B34E01306167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70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363</xdr:row>
      <xdr:rowOff>0</xdr:rowOff>
    </xdr:from>
    <xdr:ext cx="304800" cy="304800"/>
    <xdr:sp macro="" textlink="">
      <xdr:nvSpPr>
        <xdr:cNvPr id="1034" name="AutoShape 1">
          <a:extLst>
            <a:ext uri="{FF2B5EF4-FFF2-40B4-BE49-F238E27FC236}">
              <a16:creationId xmlns:a16="http://schemas.microsoft.com/office/drawing/2014/main" id="{CE281FE7-DCD5-4617-BEF8-B1F2664EA0C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70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363</xdr:row>
      <xdr:rowOff>0</xdr:rowOff>
    </xdr:from>
    <xdr:ext cx="304800" cy="304800"/>
    <xdr:sp macro="" textlink="">
      <xdr:nvSpPr>
        <xdr:cNvPr id="1035" name="AutoShape 1">
          <a:extLst>
            <a:ext uri="{FF2B5EF4-FFF2-40B4-BE49-F238E27FC236}">
              <a16:creationId xmlns:a16="http://schemas.microsoft.com/office/drawing/2014/main" id="{7D11CCAF-B470-4A01-8A6E-A695242F2B87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70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363</xdr:row>
      <xdr:rowOff>0</xdr:rowOff>
    </xdr:from>
    <xdr:ext cx="304800" cy="304800"/>
    <xdr:sp macro="" textlink="">
      <xdr:nvSpPr>
        <xdr:cNvPr id="1036" name="AutoShape 1">
          <a:extLst>
            <a:ext uri="{FF2B5EF4-FFF2-40B4-BE49-F238E27FC236}">
              <a16:creationId xmlns:a16="http://schemas.microsoft.com/office/drawing/2014/main" id="{EAD4B432-D914-4860-AA57-94AE714AD6D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70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363</xdr:row>
      <xdr:rowOff>0</xdr:rowOff>
    </xdr:from>
    <xdr:ext cx="304800" cy="304800"/>
    <xdr:sp macro="" textlink="">
      <xdr:nvSpPr>
        <xdr:cNvPr id="1037" name="AutoShape 1">
          <a:extLst>
            <a:ext uri="{FF2B5EF4-FFF2-40B4-BE49-F238E27FC236}">
              <a16:creationId xmlns:a16="http://schemas.microsoft.com/office/drawing/2014/main" id="{38108B6C-90F9-4D1C-AB2F-23CACF28729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70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363</xdr:row>
      <xdr:rowOff>0</xdr:rowOff>
    </xdr:from>
    <xdr:ext cx="304800" cy="304800"/>
    <xdr:sp macro="" textlink="">
      <xdr:nvSpPr>
        <xdr:cNvPr id="1038" name="AutoShape 1">
          <a:extLst>
            <a:ext uri="{FF2B5EF4-FFF2-40B4-BE49-F238E27FC236}">
              <a16:creationId xmlns:a16="http://schemas.microsoft.com/office/drawing/2014/main" id="{B278D991-9FE1-4028-9864-7FB4E93C0349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70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363</xdr:row>
      <xdr:rowOff>0</xdr:rowOff>
    </xdr:from>
    <xdr:ext cx="304800" cy="304800"/>
    <xdr:sp macro="" textlink="">
      <xdr:nvSpPr>
        <xdr:cNvPr id="1039" name="AutoShape 1">
          <a:extLst>
            <a:ext uri="{FF2B5EF4-FFF2-40B4-BE49-F238E27FC236}">
              <a16:creationId xmlns:a16="http://schemas.microsoft.com/office/drawing/2014/main" id="{9E79AE91-B6D3-412A-839E-4C12848C022A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70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363</xdr:row>
      <xdr:rowOff>0</xdr:rowOff>
    </xdr:from>
    <xdr:ext cx="304800" cy="304800"/>
    <xdr:sp macro="" textlink="">
      <xdr:nvSpPr>
        <xdr:cNvPr id="1040" name="AutoShape 1">
          <a:extLst>
            <a:ext uri="{FF2B5EF4-FFF2-40B4-BE49-F238E27FC236}">
              <a16:creationId xmlns:a16="http://schemas.microsoft.com/office/drawing/2014/main" id="{1D282C0A-CC28-4FA7-B52A-26A054CC6F1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70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363</xdr:row>
      <xdr:rowOff>0</xdr:rowOff>
    </xdr:from>
    <xdr:ext cx="304800" cy="304800"/>
    <xdr:sp macro="" textlink="">
      <xdr:nvSpPr>
        <xdr:cNvPr id="1041" name="AutoShape 1">
          <a:extLst>
            <a:ext uri="{FF2B5EF4-FFF2-40B4-BE49-F238E27FC236}">
              <a16:creationId xmlns:a16="http://schemas.microsoft.com/office/drawing/2014/main" id="{0D8F405C-FAA6-47E9-A551-332D98048F86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70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363</xdr:row>
      <xdr:rowOff>0</xdr:rowOff>
    </xdr:from>
    <xdr:ext cx="304800" cy="304800"/>
    <xdr:sp macro="" textlink="">
      <xdr:nvSpPr>
        <xdr:cNvPr id="1042" name="AutoShape 1">
          <a:extLst>
            <a:ext uri="{FF2B5EF4-FFF2-40B4-BE49-F238E27FC236}">
              <a16:creationId xmlns:a16="http://schemas.microsoft.com/office/drawing/2014/main" id="{AE2C3281-BE37-48C7-8A8D-DA68B457E539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70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363</xdr:row>
      <xdr:rowOff>0</xdr:rowOff>
    </xdr:from>
    <xdr:ext cx="304800" cy="304800"/>
    <xdr:sp macro="" textlink="">
      <xdr:nvSpPr>
        <xdr:cNvPr id="1043" name="AutoShape 1">
          <a:extLst>
            <a:ext uri="{FF2B5EF4-FFF2-40B4-BE49-F238E27FC236}">
              <a16:creationId xmlns:a16="http://schemas.microsoft.com/office/drawing/2014/main" id="{8D98934D-21FC-433F-B5FD-AAA36EB5B00C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70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363</xdr:row>
      <xdr:rowOff>0</xdr:rowOff>
    </xdr:from>
    <xdr:ext cx="304800" cy="304800"/>
    <xdr:sp macro="" textlink="">
      <xdr:nvSpPr>
        <xdr:cNvPr id="1044" name="AutoShape 1">
          <a:extLst>
            <a:ext uri="{FF2B5EF4-FFF2-40B4-BE49-F238E27FC236}">
              <a16:creationId xmlns:a16="http://schemas.microsoft.com/office/drawing/2014/main" id="{543F8A9F-B86C-4A12-99AA-5C0D64339441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70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363</xdr:row>
      <xdr:rowOff>0</xdr:rowOff>
    </xdr:from>
    <xdr:ext cx="304800" cy="304800"/>
    <xdr:sp macro="" textlink="">
      <xdr:nvSpPr>
        <xdr:cNvPr id="1045" name="AutoShape 1">
          <a:extLst>
            <a:ext uri="{FF2B5EF4-FFF2-40B4-BE49-F238E27FC236}">
              <a16:creationId xmlns:a16="http://schemas.microsoft.com/office/drawing/2014/main" id="{3FC37764-D4B5-4B21-8185-EFA0C7A06E79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70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363</xdr:row>
      <xdr:rowOff>0</xdr:rowOff>
    </xdr:from>
    <xdr:ext cx="304800" cy="304800"/>
    <xdr:sp macro="" textlink="">
      <xdr:nvSpPr>
        <xdr:cNvPr id="1046" name="AutoShape 1">
          <a:extLst>
            <a:ext uri="{FF2B5EF4-FFF2-40B4-BE49-F238E27FC236}">
              <a16:creationId xmlns:a16="http://schemas.microsoft.com/office/drawing/2014/main" id="{5763C537-DD8E-42C4-9CEC-57E2975F5D6C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70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363</xdr:row>
      <xdr:rowOff>0</xdr:rowOff>
    </xdr:from>
    <xdr:ext cx="304800" cy="304800"/>
    <xdr:sp macro="" textlink="">
      <xdr:nvSpPr>
        <xdr:cNvPr id="1047" name="AutoShape 1">
          <a:extLst>
            <a:ext uri="{FF2B5EF4-FFF2-40B4-BE49-F238E27FC236}">
              <a16:creationId xmlns:a16="http://schemas.microsoft.com/office/drawing/2014/main" id="{C53A3307-3AAE-4996-9037-D68FB39F4FED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70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363</xdr:row>
      <xdr:rowOff>0</xdr:rowOff>
    </xdr:from>
    <xdr:ext cx="304800" cy="304800"/>
    <xdr:sp macro="" textlink="">
      <xdr:nvSpPr>
        <xdr:cNvPr id="1048" name="AutoShape 1">
          <a:extLst>
            <a:ext uri="{FF2B5EF4-FFF2-40B4-BE49-F238E27FC236}">
              <a16:creationId xmlns:a16="http://schemas.microsoft.com/office/drawing/2014/main" id="{BD198A4A-7BF1-4926-AA6C-D29AD186E441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70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363</xdr:row>
      <xdr:rowOff>0</xdr:rowOff>
    </xdr:from>
    <xdr:ext cx="304800" cy="304800"/>
    <xdr:sp macro="" textlink="">
      <xdr:nvSpPr>
        <xdr:cNvPr id="1049" name="AutoShape 1">
          <a:extLst>
            <a:ext uri="{FF2B5EF4-FFF2-40B4-BE49-F238E27FC236}">
              <a16:creationId xmlns:a16="http://schemas.microsoft.com/office/drawing/2014/main" id="{95CF9C57-4464-4233-B935-CE851BE1A82E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70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363</xdr:row>
      <xdr:rowOff>0</xdr:rowOff>
    </xdr:from>
    <xdr:ext cx="304800" cy="304800"/>
    <xdr:sp macro="" textlink="">
      <xdr:nvSpPr>
        <xdr:cNvPr id="1050" name="AutoShape 1">
          <a:extLst>
            <a:ext uri="{FF2B5EF4-FFF2-40B4-BE49-F238E27FC236}">
              <a16:creationId xmlns:a16="http://schemas.microsoft.com/office/drawing/2014/main" id="{BCCE2EAA-F8C2-4A14-9979-4889551F6BBE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70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363</xdr:row>
      <xdr:rowOff>0</xdr:rowOff>
    </xdr:from>
    <xdr:ext cx="304800" cy="304800"/>
    <xdr:sp macro="" textlink="">
      <xdr:nvSpPr>
        <xdr:cNvPr id="1051" name="AutoShape 1">
          <a:extLst>
            <a:ext uri="{FF2B5EF4-FFF2-40B4-BE49-F238E27FC236}">
              <a16:creationId xmlns:a16="http://schemas.microsoft.com/office/drawing/2014/main" id="{B571D4EA-4933-4112-BA90-13D11DC1EE7D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70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363</xdr:row>
      <xdr:rowOff>0</xdr:rowOff>
    </xdr:from>
    <xdr:ext cx="304800" cy="304800"/>
    <xdr:sp macro="" textlink="">
      <xdr:nvSpPr>
        <xdr:cNvPr id="1052" name="AutoShape 1">
          <a:extLst>
            <a:ext uri="{FF2B5EF4-FFF2-40B4-BE49-F238E27FC236}">
              <a16:creationId xmlns:a16="http://schemas.microsoft.com/office/drawing/2014/main" id="{2A148165-E0C3-459E-B51A-CF3974991DCD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70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363</xdr:row>
      <xdr:rowOff>0</xdr:rowOff>
    </xdr:from>
    <xdr:ext cx="304800" cy="304800"/>
    <xdr:sp macro="" textlink="">
      <xdr:nvSpPr>
        <xdr:cNvPr id="1053" name="AutoShape 1">
          <a:extLst>
            <a:ext uri="{FF2B5EF4-FFF2-40B4-BE49-F238E27FC236}">
              <a16:creationId xmlns:a16="http://schemas.microsoft.com/office/drawing/2014/main" id="{3BAB2528-0A88-40C9-B627-DF0BF10C77F8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70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363</xdr:row>
      <xdr:rowOff>0</xdr:rowOff>
    </xdr:from>
    <xdr:ext cx="304800" cy="304800"/>
    <xdr:sp macro="" textlink="">
      <xdr:nvSpPr>
        <xdr:cNvPr id="1054" name="AutoShape 1">
          <a:extLst>
            <a:ext uri="{FF2B5EF4-FFF2-40B4-BE49-F238E27FC236}">
              <a16:creationId xmlns:a16="http://schemas.microsoft.com/office/drawing/2014/main" id="{F5EC8FE8-9BEC-4B87-84CA-612C42CC76AE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70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363</xdr:row>
      <xdr:rowOff>0</xdr:rowOff>
    </xdr:from>
    <xdr:ext cx="304800" cy="304800"/>
    <xdr:sp macro="" textlink="">
      <xdr:nvSpPr>
        <xdr:cNvPr id="1055" name="AutoShape 1">
          <a:extLst>
            <a:ext uri="{FF2B5EF4-FFF2-40B4-BE49-F238E27FC236}">
              <a16:creationId xmlns:a16="http://schemas.microsoft.com/office/drawing/2014/main" id="{74A4E92B-A5C4-4081-9334-70DE0DB5C4E7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70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363</xdr:row>
      <xdr:rowOff>0</xdr:rowOff>
    </xdr:from>
    <xdr:ext cx="304800" cy="304800"/>
    <xdr:sp macro="" textlink="">
      <xdr:nvSpPr>
        <xdr:cNvPr id="1056" name="AutoShape 1">
          <a:extLst>
            <a:ext uri="{FF2B5EF4-FFF2-40B4-BE49-F238E27FC236}">
              <a16:creationId xmlns:a16="http://schemas.microsoft.com/office/drawing/2014/main" id="{6313A6B7-13B7-42FF-BDF4-09BD4920FB2A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70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363</xdr:row>
      <xdr:rowOff>0</xdr:rowOff>
    </xdr:from>
    <xdr:ext cx="304800" cy="304800"/>
    <xdr:sp macro="" textlink="">
      <xdr:nvSpPr>
        <xdr:cNvPr id="1057" name="AutoShape 1">
          <a:extLst>
            <a:ext uri="{FF2B5EF4-FFF2-40B4-BE49-F238E27FC236}">
              <a16:creationId xmlns:a16="http://schemas.microsoft.com/office/drawing/2014/main" id="{290BA6E2-C05D-4061-9817-AE5F05FA5BB4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70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363</xdr:row>
      <xdr:rowOff>0</xdr:rowOff>
    </xdr:from>
    <xdr:ext cx="304800" cy="304800"/>
    <xdr:sp macro="" textlink="">
      <xdr:nvSpPr>
        <xdr:cNvPr id="1058" name="AutoShape 1">
          <a:extLst>
            <a:ext uri="{FF2B5EF4-FFF2-40B4-BE49-F238E27FC236}">
              <a16:creationId xmlns:a16="http://schemas.microsoft.com/office/drawing/2014/main" id="{1A2D8397-7E7A-4EF4-B7B4-F08E0AE672FC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70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363</xdr:row>
      <xdr:rowOff>0</xdr:rowOff>
    </xdr:from>
    <xdr:ext cx="304800" cy="304800"/>
    <xdr:sp macro="" textlink="">
      <xdr:nvSpPr>
        <xdr:cNvPr id="1059" name="AutoShape 1">
          <a:extLst>
            <a:ext uri="{FF2B5EF4-FFF2-40B4-BE49-F238E27FC236}">
              <a16:creationId xmlns:a16="http://schemas.microsoft.com/office/drawing/2014/main" id="{15425213-9B6A-4A98-AA3B-7B5F8AB44AF9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70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363</xdr:row>
      <xdr:rowOff>0</xdr:rowOff>
    </xdr:from>
    <xdr:ext cx="304800" cy="304800"/>
    <xdr:sp macro="" textlink="">
      <xdr:nvSpPr>
        <xdr:cNvPr id="1060" name="AutoShape 1">
          <a:extLst>
            <a:ext uri="{FF2B5EF4-FFF2-40B4-BE49-F238E27FC236}">
              <a16:creationId xmlns:a16="http://schemas.microsoft.com/office/drawing/2014/main" id="{74647958-5D5C-467D-B191-8F20AAC43F2E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70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363</xdr:row>
      <xdr:rowOff>0</xdr:rowOff>
    </xdr:from>
    <xdr:ext cx="304800" cy="304800"/>
    <xdr:sp macro="" textlink="">
      <xdr:nvSpPr>
        <xdr:cNvPr id="1061" name="AutoShape 1">
          <a:extLst>
            <a:ext uri="{FF2B5EF4-FFF2-40B4-BE49-F238E27FC236}">
              <a16:creationId xmlns:a16="http://schemas.microsoft.com/office/drawing/2014/main" id="{2A3B21FF-D5E4-4128-9323-0F5AC60009A0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70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363</xdr:row>
      <xdr:rowOff>0</xdr:rowOff>
    </xdr:from>
    <xdr:ext cx="304800" cy="304800"/>
    <xdr:sp macro="" textlink="">
      <xdr:nvSpPr>
        <xdr:cNvPr id="1062" name="AutoShape 1">
          <a:extLst>
            <a:ext uri="{FF2B5EF4-FFF2-40B4-BE49-F238E27FC236}">
              <a16:creationId xmlns:a16="http://schemas.microsoft.com/office/drawing/2014/main" id="{7A2B5597-C028-4430-98E1-D8C53E24EC91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70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363</xdr:row>
      <xdr:rowOff>0</xdr:rowOff>
    </xdr:from>
    <xdr:ext cx="304800" cy="304800"/>
    <xdr:sp macro="" textlink="">
      <xdr:nvSpPr>
        <xdr:cNvPr id="1063" name="AutoShape 1">
          <a:extLst>
            <a:ext uri="{FF2B5EF4-FFF2-40B4-BE49-F238E27FC236}">
              <a16:creationId xmlns:a16="http://schemas.microsoft.com/office/drawing/2014/main" id="{EF25BD1C-03BC-41A6-A226-3AE4B3F091B7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70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363</xdr:row>
      <xdr:rowOff>0</xdr:rowOff>
    </xdr:from>
    <xdr:ext cx="304800" cy="304800"/>
    <xdr:sp macro="" textlink="">
      <xdr:nvSpPr>
        <xdr:cNvPr id="1064" name="AutoShape 1">
          <a:extLst>
            <a:ext uri="{FF2B5EF4-FFF2-40B4-BE49-F238E27FC236}">
              <a16:creationId xmlns:a16="http://schemas.microsoft.com/office/drawing/2014/main" id="{9762D6A5-EAD1-466E-951B-A1992B10FD79}"/>
            </a:ext>
            <a:ext uri="{147F2762-F138-4A5C-976F-8EAC2B608ADB}">
              <a16:predDERef xmlns:a16="http://schemas.microsoft.com/office/drawing/2014/main" pred="{A9C9C4DB-4B97-447C-9099-E87BCB3C537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70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363</xdr:row>
      <xdr:rowOff>0</xdr:rowOff>
    </xdr:from>
    <xdr:ext cx="304800" cy="304800"/>
    <xdr:sp macro="" textlink="">
      <xdr:nvSpPr>
        <xdr:cNvPr id="1065" name="AutoShape 1">
          <a:extLst>
            <a:ext uri="{FF2B5EF4-FFF2-40B4-BE49-F238E27FC236}">
              <a16:creationId xmlns:a16="http://schemas.microsoft.com/office/drawing/2014/main" id="{DCB50EC0-F530-48A8-ABC9-C9E2D418FFB4}"/>
            </a:ext>
            <a:ext uri="{147F2762-F138-4A5C-976F-8EAC2B608ADB}">
              <a16:predDERef xmlns:a16="http://schemas.microsoft.com/office/drawing/2014/main" pred="{CD89554D-BD76-42AD-819A-278AD445B86E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70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363</xdr:row>
      <xdr:rowOff>0</xdr:rowOff>
    </xdr:from>
    <xdr:ext cx="304800" cy="304800"/>
    <xdr:sp macro="" textlink="">
      <xdr:nvSpPr>
        <xdr:cNvPr id="1066" name="AutoShape 1">
          <a:extLst>
            <a:ext uri="{FF2B5EF4-FFF2-40B4-BE49-F238E27FC236}">
              <a16:creationId xmlns:a16="http://schemas.microsoft.com/office/drawing/2014/main" id="{38E2ABB8-CC19-4838-8E40-CC2FBB573DD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70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363</xdr:row>
      <xdr:rowOff>0</xdr:rowOff>
    </xdr:from>
    <xdr:ext cx="304800" cy="304800"/>
    <xdr:sp macro="" textlink="">
      <xdr:nvSpPr>
        <xdr:cNvPr id="1067" name="AutoShape 1">
          <a:extLst>
            <a:ext uri="{FF2B5EF4-FFF2-40B4-BE49-F238E27FC236}">
              <a16:creationId xmlns:a16="http://schemas.microsoft.com/office/drawing/2014/main" id="{EA59251B-759A-4DD0-A8A2-5D102CCB79DF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70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363</xdr:row>
      <xdr:rowOff>0</xdr:rowOff>
    </xdr:from>
    <xdr:ext cx="304800" cy="304800"/>
    <xdr:sp macro="" textlink="">
      <xdr:nvSpPr>
        <xdr:cNvPr id="1068" name="AutoShape 1">
          <a:extLst>
            <a:ext uri="{FF2B5EF4-FFF2-40B4-BE49-F238E27FC236}">
              <a16:creationId xmlns:a16="http://schemas.microsoft.com/office/drawing/2014/main" id="{2C298E08-8801-4CB1-8B43-AC9E65C1DB2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70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363</xdr:row>
      <xdr:rowOff>0</xdr:rowOff>
    </xdr:from>
    <xdr:ext cx="304800" cy="304800"/>
    <xdr:sp macro="" textlink="">
      <xdr:nvSpPr>
        <xdr:cNvPr id="1069" name="AutoShape 1">
          <a:extLst>
            <a:ext uri="{FF2B5EF4-FFF2-40B4-BE49-F238E27FC236}">
              <a16:creationId xmlns:a16="http://schemas.microsoft.com/office/drawing/2014/main" id="{6D6BDD7B-D8F0-4DAE-9056-CD21E1D6B834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70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363</xdr:row>
      <xdr:rowOff>0</xdr:rowOff>
    </xdr:from>
    <xdr:ext cx="304800" cy="304800"/>
    <xdr:sp macro="" textlink="">
      <xdr:nvSpPr>
        <xdr:cNvPr id="1070" name="AutoShape 1">
          <a:extLst>
            <a:ext uri="{FF2B5EF4-FFF2-40B4-BE49-F238E27FC236}">
              <a16:creationId xmlns:a16="http://schemas.microsoft.com/office/drawing/2014/main" id="{4A11FC61-CF91-431C-819D-567DBE8F6F9F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70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363</xdr:row>
      <xdr:rowOff>0</xdr:rowOff>
    </xdr:from>
    <xdr:ext cx="304800" cy="304800"/>
    <xdr:sp macro="" textlink="">
      <xdr:nvSpPr>
        <xdr:cNvPr id="1071" name="AutoShape 1">
          <a:extLst>
            <a:ext uri="{FF2B5EF4-FFF2-40B4-BE49-F238E27FC236}">
              <a16:creationId xmlns:a16="http://schemas.microsoft.com/office/drawing/2014/main" id="{C7C55547-04B3-4253-BDC0-AF5A7F052C21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70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363</xdr:row>
      <xdr:rowOff>0</xdr:rowOff>
    </xdr:from>
    <xdr:ext cx="304800" cy="304800"/>
    <xdr:sp macro="" textlink="">
      <xdr:nvSpPr>
        <xdr:cNvPr id="1072" name="AutoShape 1">
          <a:extLst>
            <a:ext uri="{FF2B5EF4-FFF2-40B4-BE49-F238E27FC236}">
              <a16:creationId xmlns:a16="http://schemas.microsoft.com/office/drawing/2014/main" id="{F1AA34EE-5315-4A8E-A0DF-6E169F72D28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70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363</xdr:row>
      <xdr:rowOff>0</xdr:rowOff>
    </xdr:from>
    <xdr:ext cx="304800" cy="304800"/>
    <xdr:sp macro="" textlink="">
      <xdr:nvSpPr>
        <xdr:cNvPr id="1073" name="AutoShape 1">
          <a:extLst>
            <a:ext uri="{FF2B5EF4-FFF2-40B4-BE49-F238E27FC236}">
              <a16:creationId xmlns:a16="http://schemas.microsoft.com/office/drawing/2014/main" id="{2FB62FDD-D1AB-453D-A857-17DDB2EC301F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70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363</xdr:row>
      <xdr:rowOff>0</xdr:rowOff>
    </xdr:from>
    <xdr:ext cx="304800" cy="304800"/>
    <xdr:sp macro="" textlink="">
      <xdr:nvSpPr>
        <xdr:cNvPr id="1074" name="AutoShape 1">
          <a:extLst>
            <a:ext uri="{FF2B5EF4-FFF2-40B4-BE49-F238E27FC236}">
              <a16:creationId xmlns:a16="http://schemas.microsoft.com/office/drawing/2014/main" id="{BBCAF93A-0566-44CF-A2E2-DBAB40C56C4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70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363</xdr:row>
      <xdr:rowOff>0</xdr:rowOff>
    </xdr:from>
    <xdr:ext cx="304800" cy="304800"/>
    <xdr:sp macro="" textlink="">
      <xdr:nvSpPr>
        <xdr:cNvPr id="1075" name="AutoShape 1">
          <a:extLst>
            <a:ext uri="{FF2B5EF4-FFF2-40B4-BE49-F238E27FC236}">
              <a16:creationId xmlns:a16="http://schemas.microsoft.com/office/drawing/2014/main" id="{EEB844F5-328E-4210-B175-0002EBF342CD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70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363</xdr:row>
      <xdr:rowOff>0</xdr:rowOff>
    </xdr:from>
    <xdr:ext cx="304800" cy="304800"/>
    <xdr:sp macro="" textlink="">
      <xdr:nvSpPr>
        <xdr:cNvPr id="1076" name="AutoShape 1">
          <a:extLst>
            <a:ext uri="{FF2B5EF4-FFF2-40B4-BE49-F238E27FC236}">
              <a16:creationId xmlns:a16="http://schemas.microsoft.com/office/drawing/2014/main" id="{F66F570D-31A8-4CEA-AB6E-29B15654D4FA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70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363</xdr:row>
      <xdr:rowOff>0</xdr:rowOff>
    </xdr:from>
    <xdr:ext cx="304800" cy="304800"/>
    <xdr:sp macro="" textlink="">
      <xdr:nvSpPr>
        <xdr:cNvPr id="1077" name="AutoShape 1">
          <a:extLst>
            <a:ext uri="{FF2B5EF4-FFF2-40B4-BE49-F238E27FC236}">
              <a16:creationId xmlns:a16="http://schemas.microsoft.com/office/drawing/2014/main" id="{9F1DEE15-B5AD-463F-B06B-38EE5774C7D9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70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363</xdr:row>
      <xdr:rowOff>0</xdr:rowOff>
    </xdr:from>
    <xdr:ext cx="304800" cy="304800"/>
    <xdr:sp macro="" textlink="">
      <xdr:nvSpPr>
        <xdr:cNvPr id="1078" name="AutoShape 1">
          <a:extLst>
            <a:ext uri="{FF2B5EF4-FFF2-40B4-BE49-F238E27FC236}">
              <a16:creationId xmlns:a16="http://schemas.microsoft.com/office/drawing/2014/main" id="{E0041B3E-1E0F-4DEE-8F56-F93CF328C424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70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363</xdr:row>
      <xdr:rowOff>0</xdr:rowOff>
    </xdr:from>
    <xdr:ext cx="304800" cy="304800"/>
    <xdr:sp macro="" textlink="">
      <xdr:nvSpPr>
        <xdr:cNvPr id="1079" name="AutoShape 1">
          <a:extLst>
            <a:ext uri="{FF2B5EF4-FFF2-40B4-BE49-F238E27FC236}">
              <a16:creationId xmlns:a16="http://schemas.microsoft.com/office/drawing/2014/main" id="{FEE9EDD0-3F1A-4BF3-B3EF-E030F7156359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70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363</xdr:row>
      <xdr:rowOff>0</xdr:rowOff>
    </xdr:from>
    <xdr:ext cx="304800" cy="304800"/>
    <xdr:sp macro="" textlink="">
      <xdr:nvSpPr>
        <xdr:cNvPr id="1080" name="AutoShape 1">
          <a:extLst>
            <a:ext uri="{FF2B5EF4-FFF2-40B4-BE49-F238E27FC236}">
              <a16:creationId xmlns:a16="http://schemas.microsoft.com/office/drawing/2014/main" id="{5A164DD7-AA82-4A77-96F4-AAB86CEE208C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70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363</xdr:row>
      <xdr:rowOff>0</xdr:rowOff>
    </xdr:from>
    <xdr:ext cx="304800" cy="304800"/>
    <xdr:sp macro="" textlink="">
      <xdr:nvSpPr>
        <xdr:cNvPr id="1081" name="AutoShape 1">
          <a:extLst>
            <a:ext uri="{FF2B5EF4-FFF2-40B4-BE49-F238E27FC236}">
              <a16:creationId xmlns:a16="http://schemas.microsoft.com/office/drawing/2014/main" id="{2D07A630-3243-4E60-A045-2D263D03DBEF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70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363</xdr:row>
      <xdr:rowOff>0</xdr:rowOff>
    </xdr:from>
    <xdr:ext cx="304800" cy="304800"/>
    <xdr:sp macro="" textlink="">
      <xdr:nvSpPr>
        <xdr:cNvPr id="1082" name="AutoShape 1">
          <a:extLst>
            <a:ext uri="{FF2B5EF4-FFF2-40B4-BE49-F238E27FC236}">
              <a16:creationId xmlns:a16="http://schemas.microsoft.com/office/drawing/2014/main" id="{20898981-E8AA-469C-A882-52D38C97166E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70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363</xdr:row>
      <xdr:rowOff>0</xdr:rowOff>
    </xdr:from>
    <xdr:ext cx="304800" cy="304800"/>
    <xdr:sp macro="" textlink="">
      <xdr:nvSpPr>
        <xdr:cNvPr id="1083" name="AutoShape 1">
          <a:extLst>
            <a:ext uri="{FF2B5EF4-FFF2-40B4-BE49-F238E27FC236}">
              <a16:creationId xmlns:a16="http://schemas.microsoft.com/office/drawing/2014/main" id="{C66BCCD3-18B9-49AB-B741-F6D515094D98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70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363</xdr:row>
      <xdr:rowOff>0</xdr:rowOff>
    </xdr:from>
    <xdr:ext cx="304800" cy="304800"/>
    <xdr:sp macro="" textlink="">
      <xdr:nvSpPr>
        <xdr:cNvPr id="1084" name="AutoShape 1">
          <a:extLst>
            <a:ext uri="{FF2B5EF4-FFF2-40B4-BE49-F238E27FC236}">
              <a16:creationId xmlns:a16="http://schemas.microsoft.com/office/drawing/2014/main" id="{3499787F-1C30-4372-A75F-431083DB347F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70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363</xdr:row>
      <xdr:rowOff>0</xdr:rowOff>
    </xdr:from>
    <xdr:ext cx="304800" cy="304800"/>
    <xdr:sp macro="" textlink="">
      <xdr:nvSpPr>
        <xdr:cNvPr id="1085" name="AutoShape 1">
          <a:extLst>
            <a:ext uri="{FF2B5EF4-FFF2-40B4-BE49-F238E27FC236}">
              <a16:creationId xmlns:a16="http://schemas.microsoft.com/office/drawing/2014/main" id="{9CD9F0A5-2FEA-4C36-A693-9499A0CDFF52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70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363</xdr:row>
      <xdr:rowOff>0</xdr:rowOff>
    </xdr:from>
    <xdr:ext cx="304800" cy="304800"/>
    <xdr:sp macro="" textlink="">
      <xdr:nvSpPr>
        <xdr:cNvPr id="1086" name="AutoShape 1">
          <a:extLst>
            <a:ext uri="{FF2B5EF4-FFF2-40B4-BE49-F238E27FC236}">
              <a16:creationId xmlns:a16="http://schemas.microsoft.com/office/drawing/2014/main" id="{E1CE9990-74B2-4841-ABCF-DBFE12C492A0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70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363</xdr:row>
      <xdr:rowOff>0</xdr:rowOff>
    </xdr:from>
    <xdr:ext cx="304800" cy="304800"/>
    <xdr:sp macro="" textlink="">
      <xdr:nvSpPr>
        <xdr:cNvPr id="1087" name="AutoShape 1">
          <a:extLst>
            <a:ext uri="{FF2B5EF4-FFF2-40B4-BE49-F238E27FC236}">
              <a16:creationId xmlns:a16="http://schemas.microsoft.com/office/drawing/2014/main" id="{852641A5-B273-4BFC-B766-3249E8D7B5A8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70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363</xdr:row>
      <xdr:rowOff>0</xdr:rowOff>
    </xdr:from>
    <xdr:ext cx="304800" cy="304800"/>
    <xdr:sp macro="" textlink="">
      <xdr:nvSpPr>
        <xdr:cNvPr id="1088" name="AutoShape 1">
          <a:extLst>
            <a:ext uri="{FF2B5EF4-FFF2-40B4-BE49-F238E27FC236}">
              <a16:creationId xmlns:a16="http://schemas.microsoft.com/office/drawing/2014/main" id="{6CC6001E-223D-419D-97AE-6F29098ACA33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70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363</xdr:row>
      <xdr:rowOff>0</xdr:rowOff>
    </xdr:from>
    <xdr:ext cx="304800" cy="304800"/>
    <xdr:sp macro="" textlink="">
      <xdr:nvSpPr>
        <xdr:cNvPr id="1089" name="AutoShape 1">
          <a:extLst>
            <a:ext uri="{FF2B5EF4-FFF2-40B4-BE49-F238E27FC236}">
              <a16:creationId xmlns:a16="http://schemas.microsoft.com/office/drawing/2014/main" id="{03CA20DE-2447-44AD-BD78-D3B31FBA7D6B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70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363</xdr:row>
      <xdr:rowOff>0</xdr:rowOff>
    </xdr:from>
    <xdr:ext cx="304800" cy="304800"/>
    <xdr:sp macro="" textlink="">
      <xdr:nvSpPr>
        <xdr:cNvPr id="1090" name="AutoShape 1">
          <a:extLst>
            <a:ext uri="{FF2B5EF4-FFF2-40B4-BE49-F238E27FC236}">
              <a16:creationId xmlns:a16="http://schemas.microsoft.com/office/drawing/2014/main" id="{F4AF0932-79D4-4FFA-9824-0DA58AFA190D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70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363</xdr:row>
      <xdr:rowOff>0</xdr:rowOff>
    </xdr:from>
    <xdr:ext cx="304800" cy="304800"/>
    <xdr:sp macro="" textlink="">
      <xdr:nvSpPr>
        <xdr:cNvPr id="1091" name="AutoShape 1">
          <a:extLst>
            <a:ext uri="{FF2B5EF4-FFF2-40B4-BE49-F238E27FC236}">
              <a16:creationId xmlns:a16="http://schemas.microsoft.com/office/drawing/2014/main" id="{6BACFC5C-9870-43FE-AEC9-59F9957C0CD5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70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363</xdr:row>
      <xdr:rowOff>0</xdr:rowOff>
    </xdr:from>
    <xdr:ext cx="304800" cy="304800"/>
    <xdr:sp macro="" textlink="">
      <xdr:nvSpPr>
        <xdr:cNvPr id="1092" name="AutoShape 1">
          <a:extLst>
            <a:ext uri="{FF2B5EF4-FFF2-40B4-BE49-F238E27FC236}">
              <a16:creationId xmlns:a16="http://schemas.microsoft.com/office/drawing/2014/main" id="{EB115BBE-49CA-4A06-9DA7-BF0743C25057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70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363</xdr:row>
      <xdr:rowOff>0</xdr:rowOff>
    </xdr:from>
    <xdr:ext cx="304800" cy="304800"/>
    <xdr:sp macro="" textlink="">
      <xdr:nvSpPr>
        <xdr:cNvPr id="1093" name="AutoShape 1">
          <a:extLst>
            <a:ext uri="{FF2B5EF4-FFF2-40B4-BE49-F238E27FC236}">
              <a16:creationId xmlns:a16="http://schemas.microsoft.com/office/drawing/2014/main" id="{7053F67C-4FE6-487B-8457-94D4174B2BB2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70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363</xdr:row>
      <xdr:rowOff>0</xdr:rowOff>
    </xdr:from>
    <xdr:ext cx="304800" cy="304800"/>
    <xdr:sp macro="" textlink="">
      <xdr:nvSpPr>
        <xdr:cNvPr id="1094" name="AutoShape 1">
          <a:extLst>
            <a:ext uri="{FF2B5EF4-FFF2-40B4-BE49-F238E27FC236}">
              <a16:creationId xmlns:a16="http://schemas.microsoft.com/office/drawing/2014/main" id="{D3AEC801-F332-4699-9ECB-F8F95CD2CA29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70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363</xdr:row>
      <xdr:rowOff>0</xdr:rowOff>
    </xdr:from>
    <xdr:ext cx="304800" cy="304800"/>
    <xdr:sp macro="" textlink="">
      <xdr:nvSpPr>
        <xdr:cNvPr id="1095" name="AutoShape 1">
          <a:extLst>
            <a:ext uri="{FF2B5EF4-FFF2-40B4-BE49-F238E27FC236}">
              <a16:creationId xmlns:a16="http://schemas.microsoft.com/office/drawing/2014/main" id="{5152E722-A8E1-4BD4-81F6-EE47F0AB669D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70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363</xdr:row>
      <xdr:rowOff>0</xdr:rowOff>
    </xdr:from>
    <xdr:ext cx="304800" cy="304800"/>
    <xdr:sp macro="" textlink="">
      <xdr:nvSpPr>
        <xdr:cNvPr id="1096" name="AutoShape 1">
          <a:extLst>
            <a:ext uri="{FF2B5EF4-FFF2-40B4-BE49-F238E27FC236}">
              <a16:creationId xmlns:a16="http://schemas.microsoft.com/office/drawing/2014/main" id="{F5E2D055-B643-4A02-A896-6E9291673B1C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70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363</xdr:row>
      <xdr:rowOff>0</xdr:rowOff>
    </xdr:from>
    <xdr:ext cx="304800" cy="304800"/>
    <xdr:sp macro="" textlink="">
      <xdr:nvSpPr>
        <xdr:cNvPr id="1097" name="AutoShape 1">
          <a:extLst>
            <a:ext uri="{FF2B5EF4-FFF2-40B4-BE49-F238E27FC236}">
              <a16:creationId xmlns:a16="http://schemas.microsoft.com/office/drawing/2014/main" id="{3284A1D6-BEE1-45B1-90B6-9B66366D56E9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70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363</xdr:row>
      <xdr:rowOff>0</xdr:rowOff>
    </xdr:from>
    <xdr:ext cx="304800" cy="304800"/>
    <xdr:sp macro="" textlink="">
      <xdr:nvSpPr>
        <xdr:cNvPr id="1098" name="AutoShape 1">
          <a:extLst>
            <a:ext uri="{FF2B5EF4-FFF2-40B4-BE49-F238E27FC236}">
              <a16:creationId xmlns:a16="http://schemas.microsoft.com/office/drawing/2014/main" id="{E4FA5D65-3D13-4213-804D-4A57354F0DA5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70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363</xdr:row>
      <xdr:rowOff>0</xdr:rowOff>
    </xdr:from>
    <xdr:ext cx="304800" cy="304800"/>
    <xdr:sp macro="" textlink="">
      <xdr:nvSpPr>
        <xdr:cNvPr id="1099" name="AutoShape 1">
          <a:extLst>
            <a:ext uri="{FF2B5EF4-FFF2-40B4-BE49-F238E27FC236}">
              <a16:creationId xmlns:a16="http://schemas.microsoft.com/office/drawing/2014/main" id="{34D79E3A-13AB-4625-9E85-A11DCD237F5A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70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363</xdr:row>
      <xdr:rowOff>0</xdr:rowOff>
    </xdr:from>
    <xdr:ext cx="304800" cy="304800"/>
    <xdr:sp macro="" textlink="">
      <xdr:nvSpPr>
        <xdr:cNvPr id="1100" name="AutoShape 1">
          <a:extLst>
            <a:ext uri="{FF2B5EF4-FFF2-40B4-BE49-F238E27FC236}">
              <a16:creationId xmlns:a16="http://schemas.microsoft.com/office/drawing/2014/main" id="{A1258923-73AB-496C-9E7A-1984E391DA73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70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363</xdr:row>
      <xdr:rowOff>0</xdr:rowOff>
    </xdr:from>
    <xdr:ext cx="304800" cy="304800"/>
    <xdr:sp macro="" textlink="">
      <xdr:nvSpPr>
        <xdr:cNvPr id="1101" name="AutoShape 1">
          <a:extLst>
            <a:ext uri="{FF2B5EF4-FFF2-40B4-BE49-F238E27FC236}">
              <a16:creationId xmlns:a16="http://schemas.microsoft.com/office/drawing/2014/main" id="{840CDB38-6632-4334-8752-6EE52600867B}"/>
            </a:ext>
            <a:ext uri="{147F2762-F138-4A5C-976F-8EAC2B608ADB}">
              <a16:predDERef xmlns:a16="http://schemas.microsoft.com/office/drawing/2014/main" pred="{A9C9C4DB-4B97-447C-9099-E87BCB3C537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70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363</xdr:row>
      <xdr:rowOff>0</xdr:rowOff>
    </xdr:from>
    <xdr:ext cx="304800" cy="304800"/>
    <xdr:sp macro="" textlink="">
      <xdr:nvSpPr>
        <xdr:cNvPr id="1102" name="AutoShape 1">
          <a:extLst>
            <a:ext uri="{FF2B5EF4-FFF2-40B4-BE49-F238E27FC236}">
              <a16:creationId xmlns:a16="http://schemas.microsoft.com/office/drawing/2014/main" id="{0D2C541A-2CFB-4428-B856-39B541970F62}"/>
            </a:ext>
            <a:ext uri="{147F2762-F138-4A5C-976F-8EAC2B608ADB}">
              <a16:predDERef xmlns:a16="http://schemas.microsoft.com/office/drawing/2014/main" pred="{CD89554D-BD76-42AD-819A-278AD445B86E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70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103" name="AutoShape 1">
          <a:extLst>
            <a:ext uri="{FF2B5EF4-FFF2-40B4-BE49-F238E27FC236}">
              <a16:creationId xmlns:a16="http://schemas.microsoft.com/office/drawing/2014/main" id="{1D2C0575-02C4-4062-9591-551FA2DBE43F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104" name="AutoShape 1">
          <a:extLst>
            <a:ext uri="{FF2B5EF4-FFF2-40B4-BE49-F238E27FC236}">
              <a16:creationId xmlns:a16="http://schemas.microsoft.com/office/drawing/2014/main" id="{71B82423-C051-4D46-8619-D147F8F2C199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105" name="AutoShape 1">
          <a:extLst>
            <a:ext uri="{FF2B5EF4-FFF2-40B4-BE49-F238E27FC236}">
              <a16:creationId xmlns:a16="http://schemas.microsoft.com/office/drawing/2014/main" id="{7A7059F1-8DD2-43D2-B86D-BD03BD911613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106" name="AutoShape 1">
          <a:extLst>
            <a:ext uri="{FF2B5EF4-FFF2-40B4-BE49-F238E27FC236}">
              <a16:creationId xmlns:a16="http://schemas.microsoft.com/office/drawing/2014/main" id="{4EEF1C0B-065A-4755-83F2-7D602293ACA4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107" name="AutoShape 1">
          <a:extLst>
            <a:ext uri="{FF2B5EF4-FFF2-40B4-BE49-F238E27FC236}">
              <a16:creationId xmlns:a16="http://schemas.microsoft.com/office/drawing/2014/main" id="{A40B607B-BFC6-425C-947B-6B0F5E3D578C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108" name="AutoShape 1">
          <a:extLst>
            <a:ext uri="{FF2B5EF4-FFF2-40B4-BE49-F238E27FC236}">
              <a16:creationId xmlns:a16="http://schemas.microsoft.com/office/drawing/2014/main" id="{5CF3F515-1065-4E7A-8A7E-4775642E52B9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109" name="AutoShape 1">
          <a:extLst>
            <a:ext uri="{FF2B5EF4-FFF2-40B4-BE49-F238E27FC236}">
              <a16:creationId xmlns:a16="http://schemas.microsoft.com/office/drawing/2014/main" id="{5914A665-7351-4422-B1AF-EC1C345007E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110" name="AutoShape 1">
          <a:extLst>
            <a:ext uri="{FF2B5EF4-FFF2-40B4-BE49-F238E27FC236}">
              <a16:creationId xmlns:a16="http://schemas.microsoft.com/office/drawing/2014/main" id="{F6FE8562-678F-49FB-BDCC-3CEA91C6580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111" name="AutoShape 1">
          <a:extLst>
            <a:ext uri="{FF2B5EF4-FFF2-40B4-BE49-F238E27FC236}">
              <a16:creationId xmlns:a16="http://schemas.microsoft.com/office/drawing/2014/main" id="{DD28FC81-C33E-45C8-A656-6885C271D3AC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112" name="AutoShape 1">
          <a:extLst>
            <a:ext uri="{FF2B5EF4-FFF2-40B4-BE49-F238E27FC236}">
              <a16:creationId xmlns:a16="http://schemas.microsoft.com/office/drawing/2014/main" id="{FC285EDC-7462-4156-9F68-F4EF6AE83B8C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113" name="AutoShape 1">
          <a:extLst>
            <a:ext uri="{FF2B5EF4-FFF2-40B4-BE49-F238E27FC236}">
              <a16:creationId xmlns:a16="http://schemas.microsoft.com/office/drawing/2014/main" id="{E453BE36-AE1A-4B84-AC3B-421A7C99029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114" name="AutoShape 1">
          <a:extLst>
            <a:ext uri="{FF2B5EF4-FFF2-40B4-BE49-F238E27FC236}">
              <a16:creationId xmlns:a16="http://schemas.microsoft.com/office/drawing/2014/main" id="{C57996CA-FC66-44B0-ABE1-5B710E8865BB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115" name="AutoShape 1">
          <a:extLst>
            <a:ext uri="{FF2B5EF4-FFF2-40B4-BE49-F238E27FC236}">
              <a16:creationId xmlns:a16="http://schemas.microsoft.com/office/drawing/2014/main" id="{F7C3EE7C-E70A-480A-B34F-0D7EFEC93216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116" name="AutoShape 1">
          <a:extLst>
            <a:ext uri="{FF2B5EF4-FFF2-40B4-BE49-F238E27FC236}">
              <a16:creationId xmlns:a16="http://schemas.microsoft.com/office/drawing/2014/main" id="{E20FC115-8B1E-401D-81C1-A2F6FE0212DD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117" name="AutoShape 1">
          <a:extLst>
            <a:ext uri="{FF2B5EF4-FFF2-40B4-BE49-F238E27FC236}">
              <a16:creationId xmlns:a16="http://schemas.microsoft.com/office/drawing/2014/main" id="{23D94462-C6D9-4E5E-A363-15C1A095C8EC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118" name="AutoShape 1">
          <a:extLst>
            <a:ext uri="{FF2B5EF4-FFF2-40B4-BE49-F238E27FC236}">
              <a16:creationId xmlns:a16="http://schemas.microsoft.com/office/drawing/2014/main" id="{0FB8F377-392B-4C41-9D67-B366653F6C36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119" name="AutoShape 1">
          <a:extLst>
            <a:ext uri="{FF2B5EF4-FFF2-40B4-BE49-F238E27FC236}">
              <a16:creationId xmlns:a16="http://schemas.microsoft.com/office/drawing/2014/main" id="{E7D377E2-8B8A-42D6-AEEC-525BC62F1FE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120" name="AutoShape 1">
          <a:extLst>
            <a:ext uri="{FF2B5EF4-FFF2-40B4-BE49-F238E27FC236}">
              <a16:creationId xmlns:a16="http://schemas.microsoft.com/office/drawing/2014/main" id="{DC6FE8B8-74F3-4F33-85AA-C7A7A7BD8477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121" name="AutoShape 1">
          <a:extLst>
            <a:ext uri="{FF2B5EF4-FFF2-40B4-BE49-F238E27FC236}">
              <a16:creationId xmlns:a16="http://schemas.microsoft.com/office/drawing/2014/main" id="{D8895100-8E1A-4180-B764-1531252BD944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122" name="AutoShape 1">
          <a:extLst>
            <a:ext uri="{FF2B5EF4-FFF2-40B4-BE49-F238E27FC236}">
              <a16:creationId xmlns:a16="http://schemas.microsoft.com/office/drawing/2014/main" id="{35D51E81-6359-4890-AD00-6B436CA5E207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123" name="AutoShape 1">
          <a:extLst>
            <a:ext uri="{FF2B5EF4-FFF2-40B4-BE49-F238E27FC236}">
              <a16:creationId xmlns:a16="http://schemas.microsoft.com/office/drawing/2014/main" id="{A4AFBD9A-3CF4-4242-8FEE-DF79DF68DF77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124" name="AutoShape 1">
          <a:extLst>
            <a:ext uri="{FF2B5EF4-FFF2-40B4-BE49-F238E27FC236}">
              <a16:creationId xmlns:a16="http://schemas.microsoft.com/office/drawing/2014/main" id="{292F5C60-34CB-4C4D-95B2-E1238EB9DB4A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125" name="AutoShape 1">
          <a:extLst>
            <a:ext uri="{FF2B5EF4-FFF2-40B4-BE49-F238E27FC236}">
              <a16:creationId xmlns:a16="http://schemas.microsoft.com/office/drawing/2014/main" id="{479B95A9-BB29-4ACA-8AF1-EA985CD6897E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126" name="AutoShape 1">
          <a:extLst>
            <a:ext uri="{FF2B5EF4-FFF2-40B4-BE49-F238E27FC236}">
              <a16:creationId xmlns:a16="http://schemas.microsoft.com/office/drawing/2014/main" id="{BEF28076-BA45-4FFA-8F38-230A87FEDD18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127" name="AutoShape 1">
          <a:extLst>
            <a:ext uri="{FF2B5EF4-FFF2-40B4-BE49-F238E27FC236}">
              <a16:creationId xmlns:a16="http://schemas.microsoft.com/office/drawing/2014/main" id="{E8D2CB84-A1A5-47E6-A5BF-291C280470E5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128" name="AutoShape 1">
          <a:extLst>
            <a:ext uri="{FF2B5EF4-FFF2-40B4-BE49-F238E27FC236}">
              <a16:creationId xmlns:a16="http://schemas.microsoft.com/office/drawing/2014/main" id="{9794D3F7-A609-4D76-87F8-45DE6E5565CC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129" name="AutoShape 1">
          <a:extLst>
            <a:ext uri="{FF2B5EF4-FFF2-40B4-BE49-F238E27FC236}">
              <a16:creationId xmlns:a16="http://schemas.microsoft.com/office/drawing/2014/main" id="{FB075C55-C27F-4EB9-A4B5-E3E339163088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130" name="AutoShape 1">
          <a:extLst>
            <a:ext uri="{FF2B5EF4-FFF2-40B4-BE49-F238E27FC236}">
              <a16:creationId xmlns:a16="http://schemas.microsoft.com/office/drawing/2014/main" id="{E0A311EA-5745-43E7-92B1-2227F02675CB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131" name="AutoShape 1">
          <a:extLst>
            <a:ext uri="{FF2B5EF4-FFF2-40B4-BE49-F238E27FC236}">
              <a16:creationId xmlns:a16="http://schemas.microsoft.com/office/drawing/2014/main" id="{091BBCDE-ADFB-47F4-88AD-355288E619B8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132" name="AutoShape 1">
          <a:extLst>
            <a:ext uri="{FF2B5EF4-FFF2-40B4-BE49-F238E27FC236}">
              <a16:creationId xmlns:a16="http://schemas.microsoft.com/office/drawing/2014/main" id="{84BAD513-26D9-4AAC-89DD-AAE34DE4D6DC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133" name="AutoShape 1">
          <a:extLst>
            <a:ext uri="{FF2B5EF4-FFF2-40B4-BE49-F238E27FC236}">
              <a16:creationId xmlns:a16="http://schemas.microsoft.com/office/drawing/2014/main" id="{E81C3BF0-7B86-45B6-AF15-2E0EF808D4DE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134" name="AutoShape 1">
          <a:extLst>
            <a:ext uri="{FF2B5EF4-FFF2-40B4-BE49-F238E27FC236}">
              <a16:creationId xmlns:a16="http://schemas.microsoft.com/office/drawing/2014/main" id="{12E8048F-9406-46BD-9E48-04F4772CD865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135" name="AutoShape 1">
          <a:extLst>
            <a:ext uri="{FF2B5EF4-FFF2-40B4-BE49-F238E27FC236}">
              <a16:creationId xmlns:a16="http://schemas.microsoft.com/office/drawing/2014/main" id="{226AB951-26A7-46A1-AC09-30D24AF0B9ED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136" name="AutoShape 1">
          <a:extLst>
            <a:ext uri="{FF2B5EF4-FFF2-40B4-BE49-F238E27FC236}">
              <a16:creationId xmlns:a16="http://schemas.microsoft.com/office/drawing/2014/main" id="{1F9244AD-1A84-47E7-965F-BB8C2FA6BF07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137" name="AutoShape 1">
          <a:extLst>
            <a:ext uri="{FF2B5EF4-FFF2-40B4-BE49-F238E27FC236}">
              <a16:creationId xmlns:a16="http://schemas.microsoft.com/office/drawing/2014/main" id="{C3BF9F66-4A12-4D73-82BD-E1E2FA6C6E2D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138" name="AutoShape 1">
          <a:extLst>
            <a:ext uri="{FF2B5EF4-FFF2-40B4-BE49-F238E27FC236}">
              <a16:creationId xmlns:a16="http://schemas.microsoft.com/office/drawing/2014/main" id="{617468DC-A66B-41A7-8A3A-9D25A32BFDE6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139" name="AutoShape 1">
          <a:extLst>
            <a:ext uri="{FF2B5EF4-FFF2-40B4-BE49-F238E27FC236}">
              <a16:creationId xmlns:a16="http://schemas.microsoft.com/office/drawing/2014/main" id="{B1F65E32-AB82-4E39-9E85-0F525A079738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140" name="AutoShape 1">
          <a:extLst>
            <a:ext uri="{FF2B5EF4-FFF2-40B4-BE49-F238E27FC236}">
              <a16:creationId xmlns:a16="http://schemas.microsoft.com/office/drawing/2014/main" id="{A504C233-B72F-4064-8169-FAA544ED21A2}"/>
            </a:ext>
            <a:ext uri="{147F2762-F138-4A5C-976F-8EAC2B608ADB}">
              <a16:predDERef xmlns:a16="http://schemas.microsoft.com/office/drawing/2014/main" pred="{A9C9C4DB-4B97-447C-9099-E87BCB3C537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141" name="AutoShape 1">
          <a:extLst>
            <a:ext uri="{FF2B5EF4-FFF2-40B4-BE49-F238E27FC236}">
              <a16:creationId xmlns:a16="http://schemas.microsoft.com/office/drawing/2014/main" id="{9035D503-47B4-4FA8-B0AC-A544D22DB6F5}"/>
            </a:ext>
            <a:ext uri="{147F2762-F138-4A5C-976F-8EAC2B608ADB}">
              <a16:predDERef xmlns:a16="http://schemas.microsoft.com/office/drawing/2014/main" pred="{CD89554D-BD76-42AD-819A-278AD445B86E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142" name="AutoShape 1">
          <a:extLst>
            <a:ext uri="{FF2B5EF4-FFF2-40B4-BE49-F238E27FC236}">
              <a16:creationId xmlns:a16="http://schemas.microsoft.com/office/drawing/2014/main" id="{B18C4633-75A9-45D4-A4D7-F2FA6A56F934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143" name="AutoShape 1">
          <a:extLst>
            <a:ext uri="{FF2B5EF4-FFF2-40B4-BE49-F238E27FC236}">
              <a16:creationId xmlns:a16="http://schemas.microsoft.com/office/drawing/2014/main" id="{35DB3F5B-047A-43CC-A1BF-6FA8EECB01CB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144" name="AutoShape 1">
          <a:extLst>
            <a:ext uri="{FF2B5EF4-FFF2-40B4-BE49-F238E27FC236}">
              <a16:creationId xmlns:a16="http://schemas.microsoft.com/office/drawing/2014/main" id="{E91D5640-D603-46F8-B5AD-914A547BC03C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145" name="AutoShape 1">
          <a:extLst>
            <a:ext uri="{FF2B5EF4-FFF2-40B4-BE49-F238E27FC236}">
              <a16:creationId xmlns:a16="http://schemas.microsoft.com/office/drawing/2014/main" id="{8B9E86DE-A180-4177-8E00-B4B6AEF785E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146" name="AutoShape 1">
          <a:extLst>
            <a:ext uri="{FF2B5EF4-FFF2-40B4-BE49-F238E27FC236}">
              <a16:creationId xmlns:a16="http://schemas.microsoft.com/office/drawing/2014/main" id="{1264FA7E-2EBA-45EC-9E86-14A596C8109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147" name="AutoShape 1">
          <a:extLst>
            <a:ext uri="{FF2B5EF4-FFF2-40B4-BE49-F238E27FC236}">
              <a16:creationId xmlns:a16="http://schemas.microsoft.com/office/drawing/2014/main" id="{21DBC07F-66B6-4D08-83BC-2D827603799B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148" name="AutoShape 1">
          <a:extLst>
            <a:ext uri="{FF2B5EF4-FFF2-40B4-BE49-F238E27FC236}">
              <a16:creationId xmlns:a16="http://schemas.microsoft.com/office/drawing/2014/main" id="{2E54ABC8-91C1-4478-BA8B-B5B212FD0B4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149" name="AutoShape 1">
          <a:extLst>
            <a:ext uri="{FF2B5EF4-FFF2-40B4-BE49-F238E27FC236}">
              <a16:creationId xmlns:a16="http://schemas.microsoft.com/office/drawing/2014/main" id="{8236B48D-607A-4E1B-BA72-2728E639CC9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150" name="AutoShape 1">
          <a:extLst>
            <a:ext uri="{FF2B5EF4-FFF2-40B4-BE49-F238E27FC236}">
              <a16:creationId xmlns:a16="http://schemas.microsoft.com/office/drawing/2014/main" id="{5CF68423-2386-493A-890C-37EC8257BB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151" name="AutoShape 1">
          <a:extLst>
            <a:ext uri="{FF2B5EF4-FFF2-40B4-BE49-F238E27FC236}">
              <a16:creationId xmlns:a16="http://schemas.microsoft.com/office/drawing/2014/main" id="{62865262-4B0A-4D0D-8207-930101A5931C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152" name="AutoShape 1">
          <a:extLst>
            <a:ext uri="{FF2B5EF4-FFF2-40B4-BE49-F238E27FC236}">
              <a16:creationId xmlns:a16="http://schemas.microsoft.com/office/drawing/2014/main" id="{9D6ED277-869F-4A1B-9284-5A486E763909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153" name="AutoShape 1">
          <a:extLst>
            <a:ext uri="{FF2B5EF4-FFF2-40B4-BE49-F238E27FC236}">
              <a16:creationId xmlns:a16="http://schemas.microsoft.com/office/drawing/2014/main" id="{2112D242-36E1-4E23-B752-8F3E8A47F25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154" name="AutoShape 1">
          <a:extLst>
            <a:ext uri="{FF2B5EF4-FFF2-40B4-BE49-F238E27FC236}">
              <a16:creationId xmlns:a16="http://schemas.microsoft.com/office/drawing/2014/main" id="{EFAE338C-B2C2-46CB-ADE3-E7356A2D9ED1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155" name="AutoShape 1">
          <a:extLst>
            <a:ext uri="{FF2B5EF4-FFF2-40B4-BE49-F238E27FC236}">
              <a16:creationId xmlns:a16="http://schemas.microsoft.com/office/drawing/2014/main" id="{51A6FAFC-BAC1-4D71-96A4-62F2BF2D3E5B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156" name="AutoShape 1">
          <a:extLst>
            <a:ext uri="{FF2B5EF4-FFF2-40B4-BE49-F238E27FC236}">
              <a16:creationId xmlns:a16="http://schemas.microsoft.com/office/drawing/2014/main" id="{90D9A7AD-48E1-4553-A973-AB96FDA2B9C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157" name="AutoShape 1">
          <a:extLst>
            <a:ext uri="{FF2B5EF4-FFF2-40B4-BE49-F238E27FC236}">
              <a16:creationId xmlns:a16="http://schemas.microsoft.com/office/drawing/2014/main" id="{CEC83B0C-F655-4D90-B792-CC226E7771FF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158" name="AutoShape 1">
          <a:extLst>
            <a:ext uri="{FF2B5EF4-FFF2-40B4-BE49-F238E27FC236}">
              <a16:creationId xmlns:a16="http://schemas.microsoft.com/office/drawing/2014/main" id="{C2916CE8-80A9-4F5B-9A3E-67F5AA6F490B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159" name="AutoShape 1">
          <a:extLst>
            <a:ext uri="{FF2B5EF4-FFF2-40B4-BE49-F238E27FC236}">
              <a16:creationId xmlns:a16="http://schemas.microsoft.com/office/drawing/2014/main" id="{F93EA0D0-9B1F-44BA-8815-C138BE44C8EA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160" name="AutoShape 1">
          <a:extLst>
            <a:ext uri="{FF2B5EF4-FFF2-40B4-BE49-F238E27FC236}">
              <a16:creationId xmlns:a16="http://schemas.microsoft.com/office/drawing/2014/main" id="{D4F67C3C-E43E-4318-87FC-A4B48CBC1B8B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161" name="AutoShape 1">
          <a:extLst>
            <a:ext uri="{FF2B5EF4-FFF2-40B4-BE49-F238E27FC236}">
              <a16:creationId xmlns:a16="http://schemas.microsoft.com/office/drawing/2014/main" id="{866BC044-FCC8-440E-8B48-947C27AD30C6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162" name="AutoShape 1">
          <a:extLst>
            <a:ext uri="{FF2B5EF4-FFF2-40B4-BE49-F238E27FC236}">
              <a16:creationId xmlns:a16="http://schemas.microsoft.com/office/drawing/2014/main" id="{10DA157B-0DB8-4548-B2E0-A757BAE7A17B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163" name="AutoShape 1">
          <a:extLst>
            <a:ext uri="{FF2B5EF4-FFF2-40B4-BE49-F238E27FC236}">
              <a16:creationId xmlns:a16="http://schemas.microsoft.com/office/drawing/2014/main" id="{CE01D2B1-DADF-47F6-A07B-098BCFC207EF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164" name="AutoShape 1">
          <a:extLst>
            <a:ext uri="{FF2B5EF4-FFF2-40B4-BE49-F238E27FC236}">
              <a16:creationId xmlns:a16="http://schemas.microsoft.com/office/drawing/2014/main" id="{D7EBFDA5-241A-49E8-8B7C-F63367395A11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165" name="AutoShape 1">
          <a:extLst>
            <a:ext uri="{FF2B5EF4-FFF2-40B4-BE49-F238E27FC236}">
              <a16:creationId xmlns:a16="http://schemas.microsoft.com/office/drawing/2014/main" id="{0A896481-ADBE-400F-A87A-22D8CA8610AA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166" name="AutoShape 1">
          <a:extLst>
            <a:ext uri="{FF2B5EF4-FFF2-40B4-BE49-F238E27FC236}">
              <a16:creationId xmlns:a16="http://schemas.microsoft.com/office/drawing/2014/main" id="{596D8B0D-4E36-415B-9717-ACEAB6E5E6A2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167" name="AutoShape 1">
          <a:extLst>
            <a:ext uri="{FF2B5EF4-FFF2-40B4-BE49-F238E27FC236}">
              <a16:creationId xmlns:a16="http://schemas.microsoft.com/office/drawing/2014/main" id="{35C05304-EA4B-416E-8F7F-21E1709B1DF1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168" name="AutoShape 1">
          <a:extLst>
            <a:ext uri="{FF2B5EF4-FFF2-40B4-BE49-F238E27FC236}">
              <a16:creationId xmlns:a16="http://schemas.microsoft.com/office/drawing/2014/main" id="{6991A08A-F7A2-4B82-ABD9-26882DE89F1D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169" name="AutoShape 1">
          <a:extLst>
            <a:ext uri="{FF2B5EF4-FFF2-40B4-BE49-F238E27FC236}">
              <a16:creationId xmlns:a16="http://schemas.microsoft.com/office/drawing/2014/main" id="{243B8622-58B0-4C49-A421-CCC731F1A20D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170" name="AutoShape 1">
          <a:extLst>
            <a:ext uri="{FF2B5EF4-FFF2-40B4-BE49-F238E27FC236}">
              <a16:creationId xmlns:a16="http://schemas.microsoft.com/office/drawing/2014/main" id="{A5044AD0-9FE6-4201-B71B-E3B04C7F58D0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171" name="AutoShape 1">
          <a:extLst>
            <a:ext uri="{FF2B5EF4-FFF2-40B4-BE49-F238E27FC236}">
              <a16:creationId xmlns:a16="http://schemas.microsoft.com/office/drawing/2014/main" id="{E3C7DBB6-F9B1-41DB-8A73-DAAA738ED0B1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172" name="AutoShape 1">
          <a:extLst>
            <a:ext uri="{FF2B5EF4-FFF2-40B4-BE49-F238E27FC236}">
              <a16:creationId xmlns:a16="http://schemas.microsoft.com/office/drawing/2014/main" id="{534D5D49-8E87-4216-B6AF-FC9A68028C3B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173" name="AutoShape 1">
          <a:extLst>
            <a:ext uri="{FF2B5EF4-FFF2-40B4-BE49-F238E27FC236}">
              <a16:creationId xmlns:a16="http://schemas.microsoft.com/office/drawing/2014/main" id="{E24E849C-58B6-4B74-9112-5B6C96E83949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174" name="AutoShape 1">
          <a:extLst>
            <a:ext uri="{FF2B5EF4-FFF2-40B4-BE49-F238E27FC236}">
              <a16:creationId xmlns:a16="http://schemas.microsoft.com/office/drawing/2014/main" id="{00B29B74-159A-4632-B0AF-716AD462115D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175" name="AutoShape 1">
          <a:extLst>
            <a:ext uri="{FF2B5EF4-FFF2-40B4-BE49-F238E27FC236}">
              <a16:creationId xmlns:a16="http://schemas.microsoft.com/office/drawing/2014/main" id="{C765E2A0-7629-488C-87FB-06E5437A401E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176" name="AutoShape 1">
          <a:extLst>
            <a:ext uri="{FF2B5EF4-FFF2-40B4-BE49-F238E27FC236}">
              <a16:creationId xmlns:a16="http://schemas.microsoft.com/office/drawing/2014/main" id="{5FEB5CD7-D330-4E0F-8A18-B507ECF3C06B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177" name="AutoShape 1">
          <a:extLst>
            <a:ext uri="{FF2B5EF4-FFF2-40B4-BE49-F238E27FC236}">
              <a16:creationId xmlns:a16="http://schemas.microsoft.com/office/drawing/2014/main" id="{95B726D6-E2FB-4CD7-ADE6-CC95203760EB}"/>
            </a:ext>
            <a:ext uri="{147F2762-F138-4A5C-976F-8EAC2B608ADB}">
              <a16:predDERef xmlns:a16="http://schemas.microsoft.com/office/drawing/2014/main" pred="{A9C9C4DB-4B97-447C-9099-E87BCB3C537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178" name="AutoShape 1">
          <a:extLst>
            <a:ext uri="{FF2B5EF4-FFF2-40B4-BE49-F238E27FC236}">
              <a16:creationId xmlns:a16="http://schemas.microsoft.com/office/drawing/2014/main" id="{0FCD4F9C-5D50-4B9E-9E7F-F0D04495AAE4}"/>
            </a:ext>
            <a:ext uri="{147F2762-F138-4A5C-976F-8EAC2B608ADB}">
              <a16:predDERef xmlns:a16="http://schemas.microsoft.com/office/drawing/2014/main" pred="{CD89554D-BD76-42AD-819A-278AD445B86E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179" name="AutoShape 1">
          <a:extLst>
            <a:ext uri="{FF2B5EF4-FFF2-40B4-BE49-F238E27FC236}">
              <a16:creationId xmlns:a16="http://schemas.microsoft.com/office/drawing/2014/main" id="{FE370BE1-5B26-4DF1-A1AE-9670987F7E4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180" name="AutoShape 1">
          <a:extLst>
            <a:ext uri="{FF2B5EF4-FFF2-40B4-BE49-F238E27FC236}">
              <a16:creationId xmlns:a16="http://schemas.microsoft.com/office/drawing/2014/main" id="{D8249A06-036E-45E4-ADF6-DD07BE88A50A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181" name="AutoShape 1">
          <a:extLst>
            <a:ext uri="{FF2B5EF4-FFF2-40B4-BE49-F238E27FC236}">
              <a16:creationId xmlns:a16="http://schemas.microsoft.com/office/drawing/2014/main" id="{35A0D472-3C62-47D9-98FA-CC008017B314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182" name="AutoShape 1">
          <a:extLst>
            <a:ext uri="{FF2B5EF4-FFF2-40B4-BE49-F238E27FC236}">
              <a16:creationId xmlns:a16="http://schemas.microsoft.com/office/drawing/2014/main" id="{5039ECBE-7119-47EC-B4BA-F37EB911163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183" name="AutoShape 1">
          <a:extLst>
            <a:ext uri="{FF2B5EF4-FFF2-40B4-BE49-F238E27FC236}">
              <a16:creationId xmlns:a16="http://schemas.microsoft.com/office/drawing/2014/main" id="{8FC7DC4C-FFC1-4A89-BD2B-E1140223EF46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184" name="AutoShape 1">
          <a:extLst>
            <a:ext uri="{FF2B5EF4-FFF2-40B4-BE49-F238E27FC236}">
              <a16:creationId xmlns:a16="http://schemas.microsoft.com/office/drawing/2014/main" id="{5A948661-1653-4B5D-857D-92205A96BB0D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185" name="AutoShape 1">
          <a:extLst>
            <a:ext uri="{FF2B5EF4-FFF2-40B4-BE49-F238E27FC236}">
              <a16:creationId xmlns:a16="http://schemas.microsoft.com/office/drawing/2014/main" id="{B91B8D50-3F6F-4AC1-8387-196F75BAEFC9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186" name="AutoShape 1">
          <a:extLst>
            <a:ext uri="{FF2B5EF4-FFF2-40B4-BE49-F238E27FC236}">
              <a16:creationId xmlns:a16="http://schemas.microsoft.com/office/drawing/2014/main" id="{9F2585EA-2182-4D3B-A448-679153C74DD7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187" name="AutoShape 1">
          <a:extLst>
            <a:ext uri="{FF2B5EF4-FFF2-40B4-BE49-F238E27FC236}">
              <a16:creationId xmlns:a16="http://schemas.microsoft.com/office/drawing/2014/main" id="{07D4AE5A-C20B-42C2-A2F7-FEF9AB53F603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188" name="AutoShape 1">
          <a:extLst>
            <a:ext uri="{FF2B5EF4-FFF2-40B4-BE49-F238E27FC236}">
              <a16:creationId xmlns:a16="http://schemas.microsoft.com/office/drawing/2014/main" id="{5AEC6216-6B1E-47DB-827F-ABF53FFC6C7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189" name="AutoShape 1">
          <a:extLst>
            <a:ext uri="{FF2B5EF4-FFF2-40B4-BE49-F238E27FC236}">
              <a16:creationId xmlns:a16="http://schemas.microsoft.com/office/drawing/2014/main" id="{515CEE7C-38A0-43F2-A1D6-CA303E33650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190" name="AutoShape 1">
          <a:extLst>
            <a:ext uri="{FF2B5EF4-FFF2-40B4-BE49-F238E27FC236}">
              <a16:creationId xmlns:a16="http://schemas.microsoft.com/office/drawing/2014/main" id="{5BD091D9-661E-4597-BDC2-654168124F54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191" name="AutoShape 1">
          <a:extLst>
            <a:ext uri="{FF2B5EF4-FFF2-40B4-BE49-F238E27FC236}">
              <a16:creationId xmlns:a16="http://schemas.microsoft.com/office/drawing/2014/main" id="{8CF96C4D-8375-4626-8621-8C4F0CA23E44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192" name="AutoShape 1">
          <a:extLst>
            <a:ext uri="{FF2B5EF4-FFF2-40B4-BE49-F238E27FC236}">
              <a16:creationId xmlns:a16="http://schemas.microsoft.com/office/drawing/2014/main" id="{9E7764A2-C0BC-450D-9B56-33458701FC0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193" name="AutoShape 1">
          <a:extLst>
            <a:ext uri="{FF2B5EF4-FFF2-40B4-BE49-F238E27FC236}">
              <a16:creationId xmlns:a16="http://schemas.microsoft.com/office/drawing/2014/main" id="{BBC366BD-AD72-4FB0-8080-690D2D162F23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194" name="AutoShape 1">
          <a:extLst>
            <a:ext uri="{FF2B5EF4-FFF2-40B4-BE49-F238E27FC236}">
              <a16:creationId xmlns:a16="http://schemas.microsoft.com/office/drawing/2014/main" id="{7BF90287-FD12-4CA8-825F-BEC34F5A3BB4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195" name="AutoShape 1">
          <a:extLst>
            <a:ext uri="{FF2B5EF4-FFF2-40B4-BE49-F238E27FC236}">
              <a16:creationId xmlns:a16="http://schemas.microsoft.com/office/drawing/2014/main" id="{ADE4576A-3106-4CAC-AEFB-9E84BA053C7A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196" name="AutoShape 1">
          <a:extLst>
            <a:ext uri="{FF2B5EF4-FFF2-40B4-BE49-F238E27FC236}">
              <a16:creationId xmlns:a16="http://schemas.microsoft.com/office/drawing/2014/main" id="{48F2BD8A-9A13-4B8A-B9E6-901C047BACCE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197" name="AutoShape 1">
          <a:extLst>
            <a:ext uri="{FF2B5EF4-FFF2-40B4-BE49-F238E27FC236}">
              <a16:creationId xmlns:a16="http://schemas.microsoft.com/office/drawing/2014/main" id="{31E26DFB-E406-49EE-8DB0-23A3BAA9D8A1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198" name="AutoShape 1">
          <a:extLst>
            <a:ext uri="{FF2B5EF4-FFF2-40B4-BE49-F238E27FC236}">
              <a16:creationId xmlns:a16="http://schemas.microsoft.com/office/drawing/2014/main" id="{EB6737B5-88BD-4C88-9DCA-99794B176708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199" name="AutoShape 1">
          <a:extLst>
            <a:ext uri="{FF2B5EF4-FFF2-40B4-BE49-F238E27FC236}">
              <a16:creationId xmlns:a16="http://schemas.microsoft.com/office/drawing/2014/main" id="{2EA13205-2210-4265-9679-60AB2FB48783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200" name="AutoShape 1">
          <a:extLst>
            <a:ext uri="{FF2B5EF4-FFF2-40B4-BE49-F238E27FC236}">
              <a16:creationId xmlns:a16="http://schemas.microsoft.com/office/drawing/2014/main" id="{4957F6A0-7F6A-40A0-A5CB-6EC766BB7486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201" name="AutoShape 1">
          <a:extLst>
            <a:ext uri="{FF2B5EF4-FFF2-40B4-BE49-F238E27FC236}">
              <a16:creationId xmlns:a16="http://schemas.microsoft.com/office/drawing/2014/main" id="{28E5BCFC-4A40-4361-8237-724A7073EEE1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202" name="AutoShape 1">
          <a:extLst>
            <a:ext uri="{FF2B5EF4-FFF2-40B4-BE49-F238E27FC236}">
              <a16:creationId xmlns:a16="http://schemas.microsoft.com/office/drawing/2014/main" id="{1D7EFF1F-572B-4AB6-8297-A1B54528A4EE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203" name="AutoShape 1">
          <a:extLst>
            <a:ext uri="{FF2B5EF4-FFF2-40B4-BE49-F238E27FC236}">
              <a16:creationId xmlns:a16="http://schemas.microsoft.com/office/drawing/2014/main" id="{98B2D7DB-091F-4616-BDCC-F08FE41E368F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204" name="AutoShape 1">
          <a:extLst>
            <a:ext uri="{FF2B5EF4-FFF2-40B4-BE49-F238E27FC236}">
              <a16:creationId xmlns:a16="http://schemas.microsoft.com/office/drawing/2014/main" id="{37FA30E4-5A01-4CC6-867A-7FA533C2FE92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205" name="AutoShape 1">
          <a:extLst>
            <a:ext uri="{FF2B5EF4-FFF2-40B4-BE49-F238E27FC236}">
              <a16:creationId xmlns:a16="http://schemas.microsoft.com/office/drawing/2014/main" id="{B06394C1-A6B5-431F-98EF-9275AB08DBD5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206" name="AutoShape 1">
          <a:extLst>
            <a:ext uri="{FF2B5EF4-FFF2-40B4-BE49-F238E27FC236}">
              <a16:creationId xmlns:a16="http://schemas.microsoft.com/office/drawing/2014/main" id="{06736CB2-F8C7-4C6E-B63F-749EB7ED0FF6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207" name="AutoShape 1">
          <a:extLst>
            <a:ext uri="{FF2B5EF4-FFF2-40B4-BE49-F238E27FC236}">
              <a16:creationId xmlns:a16="http://schemas.microsoft.com/office/drawing/2014/main" id="{D4612CC9-ECD9-47E0-BC93-F4CE1DDEA1E6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208" name="AutoShape 1">
          <a:extLst>
            <a:ext uri="{FF2B5EF4-FFF2-40B4-BE49-F238E27FC236}">
              <a16:creationId xmlns:a16="http://schemas.microsoft.com/office/drawing/2014/main" id="{1C5C0A96-110E-4138-B5EA-CD06044F9FB7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209" name="AutoShape 1">
          <a:extLst>
            <a:ext uri="{FF2B5EF4-FFF2-40B4-BE49-F238E27FC236}">
              <a16:creationId xmlns:a16="http://schemas.microsoft.com/office/drawing/2014/main" id="{A63D9AB3-6EC0-48D1-A755-3065EB5FF2C5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210" name="AutoShape 1">
          <a:extLst>
            <a:ext uri="{FF2B5EF4-FFF2-40B4-BE49-F238E27FC236}">
              <a16:creationId xmlns:a16="http://schemas.microsoft.com/office/drawing/2014/main" id="{6C660DC2-EEBF-4838-B2CC-A85DE148ADF7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211" name="AutoShape 1">
          <a:extLst>
            <a:ext uri="{FF2B5EF4-FFF2-40B4-BE49-F238E27FC236}">
              <a16:creationId xmlns:a16="http://schemas.microsoft.com/office/drawing/2014/main" id="{F60E3FBA-9750-4D18-88CE-61CEC081BACB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212" name="AutoShape 1">
          <a:extLst>
            <a:ext uri="{FF2B5EF4-FFF2-40B4-BE49-F238E27FC236}">
              <a16:creationId xmlns:a16="http://schemas.microsoft.com/office/drawing/2014/main" id="{5D605D00-D1B6-4ACD-8248-0F4AB570FED7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213" name="AutoShape 1">
          <a:extLst>
            <a:ext uri="{FF2B5EF4-FFF2-40B4-BE49-F238E27FC236}">
              <a16:creationId xmlns:a16="http://schemas.microsoft.com/office/drawing/2014/main" id="{B3562AE7-7527-4A91-95E0-40717F712833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214" name="AutoShape 1">
          <a:extLst>
            <a:ext uri="{FF2B5EF4-FFF2-40B4-BE49-F238E27FC236}">
              <a16:creationId xmlns:a16="http://schemas.microsoft.com/office/drawing/2014/main" id="{969A2561-C8C8-4D71-A787-AA4A7F4F0E0B}"/>
            </a:ext>
            <a:ext uri="{147F2762-F138-4A5C-976F-8EAC2B608ADB}">
              <a16:predDERef xmlns:a16="http://schemas.microsoft.com/office/drawing/2014/main" pred="{A9C9C4DB-4B97-447C-9099-E87BCB3C537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215" name="AutoShape 1">
          <a:extLst>
            <a:ext uri="{FF2B5EF4-FFF2-40B4-BE49-F238E27FC236}">
              <a16:creationId xmlns:a16="http://schemas.microsoft.com/office/drawing/2014/main" id="{E69E25CB-8794-496F-95FC-8294F7E35CF6}"/>
            </a:ext>
            <a:ext uri="{147F2762-F138-4A5C-976F-8EAC2B608ADB}">
              <a16:predDERef xmlns:a16="http://schemas.microsoft.com/office/drawing/2014/main" pred="{CD89554D-BD76-42AD-819A-278AD445B86E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216" name="AutoShape 1">
          <a:extLst>
            <a:ext uri="{FF2B5EF4-FFF2-40B4-BE49-F238E27FC236}">
              <a16:creationId xmlns:a16="http://schemas.microsoft.com/office/drawing/2014/main" id="{FCDE32CB-526F-4719-8B61-6C477F07F69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217" name="AutoShape 1">
          <a:extLst>
            <a:ext uri="{FF2B5EF4-FFF2-40B4-BE49-F238E27FC236}">
              <a16:creationId xmlns:a16="http://schemas.microsoft.com/office/drawing/2014/main" id="{00FF44AB-B9C2-445F-8289-142707009736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218" name="AutoShape 1">
          <a:extLst>
            <a:ext uri="{FF2B5EF4-FFF2-40B4-BE49-F238E27FC236}">
              <a16:creationId xmlns:a16="http://schemas.microsoft.com/office/drawing/2014/main" id="{06844EA5-B73F-4FC7-B419-193923D20F63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219" name="AutoShape 1">
          <a:extLst>
            <a:ext uri="{FF2B5EF4-FFF2-40B4-BE49-F238E27FC236}">
              <a16:creationId xmlns:a16="http://schemas.microsoft.com/office/drawing/2014/main" id="{649F38EA-75EB-497A-A4C9-A27E9D302C2A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220" name="AutoShape 1">
          <a:extLst>
            <a:ext uri="{FF2B5EF4-FFF2-40B4-BE49-F238E27FC236}">
              <a16:creationId xmlns:a16="http://schemas.microsoft.com/office/drawing/2014/main" id="{0FE9BF83-619C-4A23-BA52-91BAA9BB34B1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221" name="AutoShape 1">
          <a:extLst>
            <a:ext uri="{FF2B5EF4-FFF2-40B4-BE49-F238E27FC236}">
              <a16:creationId xmlns:a16="http://schemas.microsoft.com/office/drawing/2014/main" id="{6550517F-4609-4565-BFBA-68E111A82F36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222" name="AutoShape 1">
          <a:extLst>
            <a:ext uri="{FF2B5EF4-FFF2-40B4-BE49-F238E27FC236}">
              <a16:creationId xmlns:a16="http://schemas.microsoft.com/office/drawing/2014/main" id="{72384941-9FF2-4C43-9212-093594CF151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223" name="AutoShape 1">
          <a:extLst>
            <a:ext uri="{FF2B5EF4-FFF2-40B4-BE49-F238E27FC236}">
              <a16:creationId xmlns:a16="http://schemas.microsoft.com/office/drawing/2014/main" id="{8B4869AF-D4CF-4D44-9CF8-087639BFC583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224" name="AutoShape 1">
          <a:extLst>
            <a:ext uri="{FF2B5EF4-FFF2-40B4-BE49-F238E27FC236}">
              <a16:creationId xmlns:a16="http://schemas.microsoft.com/office/drawing/2014/main" id="{5B721F16-58B5-472F-988B-2DD6B9C06C6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225" name="AutoShape 1">
          <a:extLst>
            <a:ext uri="{FF2B5EF4-FFF2-40B4-BE49-F238E27FC236}">
              <a16:creationId xmlns:a16="http://schemas.microsoft.com/office/drawing/2014/main" id="{B150D616-01CC-45DA-8B97-34AD9B7883A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226" name="AutoShape 1">
          <a:extLst>
            <a:ext uri="{FF2B5EF4-FFF2-40B4-BE49-F238E27FC236}">
              <a16:creationId xmlns:a16="http://schemas.microsoft.com/office/drawing/2014/main" id="{B780FF76-A24F-4A51-ACD3-A32534596814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227" name="AutoShape 1">
          <a:extLst>
            <a:ext uri="{FF2B5EF4-FFF2-40B4-BE49-F238E27FC236}">
              <a16:creationId xmlns:a16="http://schemas.microsoft.com/office/drawing/2014/main" id="{F97D25F4-71D5-43F3-BA6A-0A27C8003573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228" name="AutoShape 1">
          <a:extLst>
            <a:ext uri="{FF2B5EF4-FFF2-40B4-BE49-F238E27FC236}">
              <a16:creationId xmlns:a16="http://schemas.microsoft.com/office/drawing/2014/main" id="{2B9CA93D-58A8-4A45-9DC4-73214E5EF021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229" name="AutoShape 1">
          <a:extLst>
            <a:ext uri="{FF2B5EF4-FFF2-40B4-BE49-F238E27FC236}">
              <a16:creationId xmlns:a16="http://schemas.microsoft.com/office/drawing/2014/main" id="{2C79DDF1-1602-4127-AB3F-28F8A7D1BAB1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230" name="AutoShape 1">
          <a:extLst>
            <a:ext uri="{FF2B5EF4-FFF2-40B4-BE49-F238E27FC236}">
              <a16:creationId xmlns:a16="http://schemas.microsoft.com/office/drawing/2014/main" id="{E9702462-F6B5-450F-A9BD-8A218AC7111C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231" name="AutoShape 1">
          <a:extLst>
            <a:ext uri="{FF2B5EF4-FFF2-40B4-BE49-F238E27FC236}">
              <a16:creationId xmlns:a16="http://schemas.microsoft.com/office/drawing/2014/main" id="{5300D0AB-D2B3-4827-BA50-BDE473651EA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232" name="AutoShape 1">
          <a:extLst>
            <a:ext uri="{FF2B5EF4-FFF2-40B4-BE49-F238E27FC236}">
              <a16:creationId xmlns:a16="http://schemas.microsoft.com/office/drawing/2014/main" id="{386BC866-3DA1-40CC-A84E-F14FD02BD3E6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233" name="AutoShape 1">
          <a:extLst>
            <a:ext uri="{FF2B5EF4-FFF2-40B4-BE49-F238E27FC236}">
              <a16:creationId xmlns:a16="http://schemas.microsoft.com/office/drawing/2014/main" id="{2393D83F-75E7-4FD9-AE44-BD0F1D8B6FB7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234" name="AutoShape 1">
          <a:extLst>
            <a:ext uri="{FF2B5EF4-FFF2-40B4-BE49-F238E27FC236}">
              <a16:creationId xmlns:a16="http://schemas.microsoft.com/office/drawing/2014/main" id="{A37D66DF-C29A-4554-BBA3-568FF1301C4C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235" name="AutoShape 1">
          <a:extLst>
            <a:ext uri="{FF2B5EF4-FFF2-40B4-BE49-F238E27FC236}">
              <a16:creationId xmlns:a16="http://schemas.microsoft.com/office/drawing/2014/main" id="{5BE52653-FBE8-476D-AB62-F24589996603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236" name="AutoShape 1">
          <a:extLst>
            <a:ext uri="{FF2B5EF4-FFF2-40B4-BE49-F238E27FC236}">
              <a16:creationId xmlns:a16="http://schemas.microsoft.com/office/drawing/2014/main" id="{D4ED4F28-E84F-4D3C-809B-D016BDAA9EBD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237" name="AutoShape 1">
          <a:extLst>
            <a:ext uri="{FF2B5EF4-FFF2-40B4-BE49-F238E27FC236}">
              <a16:creationId xmlns:a16="http://schemas.microsoft.com/office/drawing/2014/main" id="{615D5353-F60C-4B16-BEED-727C200EFED1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238" name="AutoShape 1">
          <a:extLst>
            <a:ext uri="{FF2B5EF4-FFF2-40B4-BE49-F238E27FC236}">
              <a16:creationId xmlns:a16="http://schemas.microsoft.com/office/drawing/2014/main" id="{49E81906-E7E1-4267-81D4-81226BF0EAB9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239" name="AutoShape 1">
          <a:extLst>
            <a:ext uri="{FF2B5EF4-FFF2-40B4-BE49-F238E27FC236}">
              <a16:creationId xmlns:a16="http://schemas.microsoft.com/office/drawing/2014/main" id="{927BF872-94A3-45AB-9BEB-059C1B7370E9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240" name="AutoShape 1">
          <a:extLst>
            <a:ext uri="{FF2B5EF4-FFF2-40B4-BE49-F238E27FC236}">
              <a16:creationId xmlns:a16="http://schemas.microsoft.com/office/drawing/2014/main" id="{E0974F29-79DE-43BA-853D-68AB4E76F9BB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241" name="AutoShape 1">
          <a:extLst>
            <a:ext uri="{FF2B5EF4-FFF2-40B4-BE49-F238E27FC236}">
              <a16:creationId xmlns:a16="http://schemas.microsoft.com/office/drawing/2014/main" id="{BB8B1998-957B-43EF-8261-AB8AF0E9BE7E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242" name="AutoShape 1">
          <a:extLst>
            <a:ext uri="{FF2B5EF4-FFF2-40B4-BE49-F238E27FC236}">
              <a16:creationId xmlns:a16="http://schemas.microsoft.com/office/drawing/2014/main" id="{8FA2CC1A-777B-4DB1-8F4B-FE83E8BB9248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243" name="AutoShape 1">
          <a:extLst>
            <a:ext uri="{FF2B5EF4-FFF2-40B4-BE49-F238E27FC236}">
              <a16:creationId xmlns:a16="http://schemas.microsoft.com/office/drawing/2014/main" id="{C2623162-6582-4503-A054-0FAF7387F30A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244" name="AutoShape 1">
          <a:extLst>
            <a:ext uri="{FF2B5EF4-FFF2-40B4-BE49-F238E27FC236}">
              <a16:creationId xmlns:a16="http://schemas.microsoft.com/office/drawing/2014/main" id="{9DF9AECC-2839-4933-81EE-BA5E60EFBF51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245" name="AutoShape 1">
          <a:extLst>
            <a:ext uri="{FF2B5EF4-FFF2-40B4-BE49-F238E27FC236}">
              <a16:creationId xmlns:a16="http://schemas.microsoft.com/office/drawing/2014/main" id="{0E87E4E4-75F5-478A-B28A-F78CC11674D9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246" name="AutoShape 1">
          <a:extLst>
            <a:ext uri="{FF2B5EF4-FFF2-40B4-BE49-F238E27FC236}">
              <a16:creationId xmlns:a16="http://schemas.microsoft.com/office/drawing/2014/main" id="{598E1B82-3CFD-4EBE-8578-DC34437A28BB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247" name="AutoShape 1">
          <a:extLst>
            <a:ext uri="{FF2B5EF4-FFF2-40B4-BE49-F238E27FC236}">
              <a16:creationId xmlns:a16="http://schemas.microsoft.com/office/drawing/2014/main" id="{02E7D264-9897-4B0E-B3AC-29373852AAD6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248" name="AutoShape 1">
          <a:extLst>
            <a:ext uri="{FF2B5EF4-FFF2-40B4-BE49-F238E27FC236}">
              <a16:creationId xmlns:a16="http://schemas.microsoft.com/office/drawing/2014/main" id="{D7E0DB2B-F70F-4894-9996-C4D45317DABF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249" name="AutoShape 1">
          <a:extLst>
            <a:ext uri="{FF2B5EF4-FFF2-40B4-BE49-F238E27FC236}">
              <a16:creationId xmlns:a16="http://schemas.microsoft.com/office/drawing/2014/main" id="{6C44AA2C-790B-46F3-BE40-2A72E598CEF7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250" name="AutoShape 1">
          <a:extLst>
            <a:ext uri="{FF2B5EF4-FFF2-40B4-BE49-F238E27FC236}">
              <a16:creationId xmlns:a16="http://schemas.microsoft.com/office/drawing/2014/main" id="{1CBA8262-1C66-40BF-A67A-C9A66862D582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251" name="AutoShape 1">
          <a:extLst>
            <a:ext uri="{FF2B5EF4-FFF2-40B4-BE49-F238E27FC236}">
              <a16:creationId xmlns:a16="http://schemas.microsoft.com/office/drawing/2014/main" id="{8C0CD18A-A4C1-4676-B36A-601897E08941}"/>
            </a:ext>
            <a:ext uri="{147F2762-F138-4A5C-976F-8EAC2B608ADB}">
              <a16:predDERef xmlns:a16="http://schemas.microsoft.com/office/drawing/2014/main" pred="{A9C9C4DB-4B97-447C-9099-E87BCB3C537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252" name="AutoShape 1">
          <a:extLst>
            <a:ext uri="{FF2B5EF4-FFF2-40B4-BE49-F238E27FC236}">
              <a16:creationId xmlns:a16="http://schemas.microsoft.com/office/drawing/2014/main" id="{5E296850-F51F-4523-A080-4D138B2C89CC}"/>
            </a:ext>
            <a:ext uri="{147F2762-F138-4A5C-976F-8EAC2B608ADB}">
              <a16:predDERef xmlns:a16="http://schemas.microsoft.com/office/drawing/2014/main" pred="{CD89554D-BD76-42AD-819A-278AD445B86E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253" name="AutoShape 1">
          <a:extLst>
            <a:ext uri="{FF2B5EF4-FFF2-40B4-BE49-F238E27FC236}">
              <a16:creationId xmlns:a16="http://schemas.microsoft.com/office/drawing/2014/main" id="{652D835E-0459-4A8D-BE41-DE70789EBE13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254" name="AutoShape 1">
          <a:extLst>
            <a:ext uri="{FF2B5EF4-FFF2-40B4-BE49-F238E27FC236}">
              <a16:creationId xmlns:a16="http://schemas.microsoft.com/office/drawing/2014/main" id="{22512901-2C4A-4F72-AD2E-4B4AC4CB6BBC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255" name="AutoShape 1">
          <a:extLst>
            <a:ext uri="{FF2B5EF4-FFF2-40B4-BE49-F238E27FC236}">
              <a16:creationId xmlns:a16="http://schemas.microsoft.com/office/drawing/2014/main" id="{C0275550-8118-46A7-8179-3ADC62F258CA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256" name="AutoShape 1">
          <a:extLst>
            <a:ext uri="{FF2B5EF4-FFF2-40B4-BE49-F238E27FC236}">
              <a16:creationId xmlns:a16="http://schemas.microsoft.com/office/drawing/2014/main" id="{43D83051-88D4-4C70-A758-EB05A7B2DA03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257" name="AutoShape 1">
          <a:extLst>
            <a:ext uri="{FF2B5EF4-FFF2-40B4-BE49-F238E27FC236}">
              <a16:creationId xmlns:a16="http://schemas.microsoft.com/office/drawing/2014/main" id="{29188A6F-5C31-4234-89E1-818F2B3D49A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258" name="AutoShape 1">
          <a:extLst>
            <a:ext uri="{FF2B5EF4-FFF2-40B4-BE49-F238E27FC236}">
              <a16:creationId xmlns:a16="http://schemas.microsoft.com/office/drawing/2014/main" id="{EFB53899-B87D-41EC-9AAC-C210DE04BE31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259" name="AutoShape 1">
          <a:extLst>
            <a:ext uri="{FF2B5EF4-FFF2-40B4-BE49-F238E27FC236}">
              <a16:creationId xmlns:a16="http://schemas.microsoft.com/office/drawing/2014/main" id="{0E26785C-8A90-4B58-B4C6-34FBC4362AA7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260" name="AutoShape 1">
          <a:extLst>
            <a:ext uri="{FF2B5EF4-FFF2-40B4-BE49-F238E27FC236}">
              <a16:creationId xmlns:a16="http://schemas.microsoft.com/office/drawing/2014/main" id="{BA7C70F3-4C41-49F8-A71D-82701CCB7A66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261" name="AutoShape 1">
          <a:extLst>
            <a:ext uri="{FF2B5EF4-FFF2-40B4-BE49-F238E27FC236}">
              <a16:creationId xmlns:a16="http://schemas.microsoft.com/office/drawing/2014/main" id="{EEB29CB8-E562-43C5-91B3-288D601C7FC4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262" name="AutoShape 1">
          <a:extLst>
            <a:ext uri="{FF2B5EF4-FFF2-40B4-BE49-F238E27FC236}">
              <a16:creationId xmlns:a16="http://schemas.microsoft.com/office/drawing/2014/main" id="{9ABD0043-8640-4968-AD1C-4C72BB3E6336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263" name="AutoShape 1">
          <a:extLst>
            <a:ext uri="{FF2B5EF4-FFF2-40B4-BE49-F238E27FC236}">
              <a16:creationId xmlns:a16="http://schemas.microsoft.com/office/drawing/2014/main" id="{A0BCAAE2-6626-448E-B1D8-CC84DCF1A571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264" name="AutoShape 1">
          <a:extLst>
            <a:ext uri="{FF2B5EF4-FFF2-40B4-BE49-F238E27FC236}">
              <a16:creationId xmlns:a16="http://schemas.microsoft.com/office/drawing/2014/main" id="{EA5CA8DA-4790-4BA3-8AFA-F1B527F7BA5F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265" name="AutoShape 1">
          <a:extLst>
            <a:ext uri="{FF2B5EF4-FFF2-40B4-BE49-F238E27FC236}">
              <a16:creationId xmlns:a16="http://schemas.microsoft.com/office/drawing/2014/main" id="{812B74A7-896A-4182-95AD-3CAA259DD50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266" name="AutoShape 1">
          <a:extLst>
            <a:ext uri="{FF2B5EF4-FFF2-40B4-BE49-F238E27FC236}">
              <a16:creationId xmlns:a16="http://schemas.microsoft.com/office/drawing/2014/main" id="{EEC2D3ED-2ED1-47F4-BAED-CE380B1FC1D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267" name="AutoShape 1">
          <a:extLst>
            <a:ext uri="{FF2B5EF4-FFF2-40B4-BE49-F238E27FC236}">
              <a16:creationId xmlns:a16="http://schemas.microsoft.com/office/drawing/2014/main" id="{8DF68FD4-4771-4B85-9E9E-47BD42FB3C4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268" name="AutoShape 1">
          <a:extLst>
            <a:ext uri="{FF2B5EF4-FFF2-40B4-BE49-F238E27FC236}">
              <a16:creationId xmlns:a16="http://schemas.microsoft.com/office/drawing/2014/main" id="{D524E044-4863-4E28-975A-F6E5D9845459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269" name="AutoShape 1">
          <a:extLst>
            <a:ext uri="{FF2B5EF4-FFF2-40B4-BE49-F238E27FC236}">
              <a16:creationId xmlns:a16="http://schemas.microsoft.com/office/drawing/2014/main" id="{C4687834-1F82-404C-997E-451EC2F9D4FA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270" name="AutoShape 1">
          <a:extLst>
            <a:ext uri="{FF2B5EF4-FFF2-40B4-BE49-F238E27FC236}">
              <a16:creationId xmlns:a16="http://schemas.microsoft.com/office/drawing/2014/main" id="{47A30C29-4AFF-4136-A930-4EA55EF2AB29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271" name="AutoShape 1">
          <a:extLst>
            <a:ext uri="{FF2B5EF4-FFF2-40B4-BE49-F238E27FC236}">
              <a16:creationId xmlns:a16="http://schemas.microsoft.com/office/drawing/2014/main" id="{26C06C5E-8C97-4D63-AC4E-CFD40D3E3DBF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272" name="AutoShape 1">
          <a:extLst>
            <a:ext uri="{FF2B5EF4-FFF2-40B4-BE49-F238E27FC236}">
              <a16:creationId xmlns:a16="http://schemas.microsoft.com/office/drawing/2014/main" id="{2D8F45D7-EB23-4FE2-8C8E-A1F52E9C81CE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273" name="AutoShape 1">
          <a:extLst>
            <a:ext uri="{FF2B5EF4-FFF2-40B4-BE49-F238E27FC236}">
              <a16:creationId xmlns:a16="http://schemas.microsoft.com/office/drawing/2014/main" id="{3CBE69F1-CA24-444F-91F6-26CD60F53234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274" name="AutoShape 1">
          <a:extLst>
            <a:ext uri="{FF2B5EF4-FFF2-40B4-BE49-F238E27FC236}">
              <a16:creationId xmlns:a16="http://schemas.microsoft.com/office/drawing/2014/main" id="{E9375EF1-978E-4F62-9860-A3BB54FAD61C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275" name="AutoShape 1">
          <a:extLst>
            <a:ext uri="{FF2B5EF4-FFF2-40B4-BE49-F238E27FC236}">
              <a16:creationId xmlns:a16="http://schemas.microsoft.com/office/drawing/2014/main" id="{86EB37A9-1422-4367-BEAE-E3D56AF6EAB8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276" name="AutoShape 1">
          <a:extLst>
            <a:ext uri="{FF2B5EF4-FFF2-40B4-BE49-F238E27FC236}">
              <a16:creationId xmlns:a16="http://schemas.microsoft.com/office/drawing/2014/main" id="{CFED6512-3585-450D-BC73-6221AE17655C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277" name="AutoShape 1">
          <a:extLst>
            <a:ext uri="{FF2B5EF4-FFF2-40B4-BE49-F238E27FC236}">
              <a16:creationId xmlns:a16="http://schemas.microsoft.com/office/drawing/2014/main" id="{9682D53D-9201-48D1-BA4B-A3CCF78886BF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278" name="AutoShape 1">
          <a:extLst>
            <a:ext uri="{FF2B5EF4-FFF2-40B4-BE49-F238E27FC236}">
              <a16:creationId xmlns:a16="http://schemas.microsoft.com/office/drawing/2014/main" id="{EC41B0CF-D316-46AE-9562-7CEEEC310F1F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279" name="AutoShape 1">
          <a:extLst>
            <a:ext uri="{FF2B5EF4-FFF2-40B4-BE49-F238E27FC236}">
              <a16:creationId xmlns:a16="http://schemas.microsoft.com/office/drawing/2014/main" id="{C5677FDF-518F-482B-85A6-D9533C4E0322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280" name="AutoShape 1">
          <a:extLst>
            <a:ext uri="{FF2B5EF4-FFF2-40B4-BE49-F238E27FC236}">
              <a16:creationId xmlns:a16="http://schemas.microsoft.com/office/drawing/2014/main" id="{6E7FC64A-FBD1-43FF-A909-8DBF1B4B754D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281" name="AutoShape 1">
          <a:extLst>
            <a:ext uri="{FF2B5EF4-FFF2-40B4-BE49-F238E27FC236}">
              <a16:creationId xmlns:a16="http://schemas.microsoft.com/office/drawing/2014/main" id="{42DA694D-6450-4BB4-8225-646610A6810F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282" name="AutoShape 1">
          <a:extLst>
            <a:ext uri="{FF2B5EF4-FFF2-40B4-BE49-F238E27FC236}">
              <a16:creationId xmlns:a16="http://schemas.microsoft.com/office/drawing/2014/main" id="{C2F4D00D-09B5-44C4-B9AE-75C5AE8B3510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283" name="AutoShape 1">
          <a:extLst>
            <a:ext uri="{FF2B5EF4-FFF2-40B4-BE49-F238E27FC236}">
              <a16:creationId xmlns:a16="http://schemas.microsoft.com/office/drawing/2014/main" id="{DE07ADE2-7082-41CB-865E-2377F7D85542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284" name="AutoShape 1">
          <a:extLst>
            <a:ext uri="{FF2B5EF4-FFF2-40B4-BE49-F238E27FC236}">
              <a16:creationId xmlns:a16="http://schemas.microsoft.com/office/drawing/2014/main" id="{8FE67397-D7AF-4305-8CDB-B46BC26C5371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285" name="AutoShape 1">
          <a:extLst>
            <a:ext uri="{FF2B5EF4-FFF2-40B4-BE49-F238E27FC236}">
              <a16:creationId xmlns:a16="http://schemas.microsoft.com/office/drawing/2014/main" id="{5166CA2F-F69D-40C4-83A1-6B665853F044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286" name="AutoShape 1">
          <a:extLst>
            <a:ext uri="{FF2B5EF4-FFF2-40B4-BE49-F238E27FC236}">
              <a16:creationId xmlns:a16="http://schemas.microsoft.com/office/drawing/2014/main" id="{61C6E03D-6025-47EF-B819-E23496FB2E9E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287" name="AutoShape 1">
          <a:extLst>
            <a:ext uri="{FF2B5EF4-FFF2-40B4-BE49-F238E27FC236}">
              <a16:creationId xmlns:a16="http://schemas.microsoft.com/office/drawing/2014/main" id="{041F7D12-EA45-47CE-8375-725E56EDA264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288" name="AutoShape 1">
          <a:extLst>
            <a:ext uri="{FF2B5EF4-FFF2-40B4-BE49-F238E27FC236}">
              <a16:creationId xmlns:a16="http://schemas.microsoft.com/office/drawing/2014/main" id="{5D8016D8-CE97-4B74-A1EA-E3B3E7B52E22}"/>
            </a:ext>
            <a:ext uri="{147F2762-F138-4A5C-976F-8EAC2B608ADB}">
              <a16:predDERef xmlns:a16="http://schemas.microsoft.com/office/drawing/2014/main" pred="{A9C9C4DB-4B97-447C-9099-E87BCB3C537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289" name="AutoShape 1">
          <a:extLst>
            <a:ext uri="{FF2B5EF4-FFF2-40B4-BE49-F238E27FC236}">
              <a16:creationId xmlns:a16="http://schemas.microsoft.com/office/drawing/2014/main" id="{FA500D8E-9D9E-456F-8618-A8047C574026}"/>
            </a:ext>
            <a:ext uri="{147F2762-F138-4A5C-976F-8EAC2B608ADB}">
              <a16:predDERef xmlns:a16="http://schemas.microsoft.com/office/drawing/2014/main" pred="{CD89554D-BD76-42AD-819A-278AD445B86E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290" name="AutoShape 1">
          <a:extLst>
            <a:ext uri="{FF2B5EF4-FFF2-40B4-BE49-F238E27FC236}">
              <a16:creationId xmlns:a16="http://schemas.microsoft.com/office/drawing/2014/main" id="{0B00E9E9-5D94-40AE-ABB3-F6F77C064E03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291" name="AutoShape 1">
          <a:extLst>
            <a:ext uri="{FF2B5EF4-FFF2-40B4-BE49-F238E27FC236}">
              <a16:creationId xmlns:a16="http://schemas.microsoft.com/office/drawing/2014/main" id="{F0A9E0F2-22DA-4F4D-AD4A-5DA52CF7E1D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292" name="AutoShape 1">
          <a:extLst>
            <a:ext uri="{FF2B5EF4-FFF2-40B4-BE49-F238E27FC236}">
              <a16:creationId xmlns:a16="http://schemas.microsoft.com/office/drawing/2014/main" id="{BD82AB6B-3D61-48FB-A93D-DDAA01A9B363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293" name="AutoShape 1">
          <a:extLst>
            <a:ext uri="{FF2B5EF4-FFF2-40B4-BE49-F238E27FC236}">
              <a16:creationId xmlns:a16="http://schemas.microsoft.com/office/drawing/2014/main" id="{B3B5F888-E7D4-48B0-BB69-67CB53C564B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294" name="AutoShape 1">
          <a:extLst>
            <a:ext uri="{FF2B5EF4-FFF2-40B4-BE49-F238E27FC236}">
              <a16:creationId xmlns:a16="http://schemas.microsoft.com/office/drawing/2014/main" id="{F8A45C4E-9D3A-4857-A520-3D7B377D084B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295" name="AutoShape 1">
          <a:extLst>
            <a:ext uri="{FF2B5EF4-FFF2-40B4-BE49-F238E27FC236}">
              <a16:creationId xmlns:a16="http://schemas.microsoft.com/office/drawing/2014/main" id="{4B3D86BE-3DA3-40D3-B66D-4B1860B0C45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296" name="AutoShape 1">
          <a:extLst>
            <a:ext uri="{FF2B5EF4-FFF2-40B4-BE49-F238E27FC236}">
              <a16:creationId xmlns:a16="http://schemas.microsoft.com/office/drawing/2014/main" id="{0578CF50-8F5C-4B89-860C-8145B4725DF4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297" name="AutoShape 1">
          <a:extLst>
            <a:ext uri="{FF2B5EF4-FFF2-40B4-BE49-F238E27FC236}">
              <a16:creationId xmlns:a16="http://schemas.microsoft.com/office/drawing/2014/main" id="{D4BD20C5-4979-4391-B0C7-AF18FFAD7DF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298" name="AutoShape 1">
          <a:extLst>
            <a:ext uri="{FF2B5EF4-FFF2-40B4-BE49-F238E27FC236}">
              <a16:creationId xmlns:a16="http://schemas.microsoft.com/office/drawing/2014/main" id="{808463C5-6150-4739-A5B0-8B93FEE4311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299" name="AutoShape 1">
          <a:extLst>
            <a:ext uri="{FF2B5EF4-FFF2-40B4-BE49-F238E27FC236}">
              <a16:creationId xmlns:a16="http://schemas.microsoft.com/office/drawing/2014/main" id="{E5059AEE-1CDF-4FC3-8047-7B041628EBBB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300" name="AutoShape 1">
          <a:extLst>
            <a:ext uri="{FF2B5EF4-FFF2-40B4-BE49-F238E27FC236}">
              <a16:creationId xmlns:a16="http://schemas.microsoft.com/office/drawing/2014/main" id="{0B42E388-2625-4361-8367-A08DEFBFEA4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301" name="AutoShape 1">
          <a:extLst>
            <a:ext uri="{FF2B5EF4-FFF2-40B4-BE49-F238E27FC236}">
              <a16:creationId xmlns:a16="http://schemas.microsoft.com/office/drawing/2014/main" id="{D5541F07-DCF8-46EF-8F5C-EEB6DEDABF1C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302" name="AutoShape 1">
          <a:extLst>
            <a:ext uri="{FF2B5EF4-FFF2-40B4-BE49-F238E27FC236}">
              <a16:creationId xmlns:a16="http://schemas.microsoft.com/office/drawing/2014/main" id="{A940C831-85F8-4BFE-8026-20C223849D43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303" name="AutoShape 1">
          <a:extLst>
            <a:ext uri="{FF2B5EF4-FFF2-40B4-BE49-F238E27FC236}">
              <a16:creationId xmlns:a16="http://schemas.microsoft.com/office/drawing/2014/main" id="{D7285A19-CDFB-469A-8CDF-20FD0D099FAA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304" name="AutoShape 1">
          <a:extLst>
            <a:ext uri="{FF2B5EF4-FFF2-40B4-BE49-F238E27FC236}">
              <a16:creationId xmlns:a16="http://schemas.microsoft.com/office/drawing/2014/main" id="{D6BD5BBC-5D4F-41F9-AB7E-87E3D642C521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305" name="AutoShape 1">
          <a:extLst>
            <a:ext uri="{FF2B5EF4-FFF2-40B4-BE49-F238E27FC236}">
              <a16:creationId xmlns:a16="http://schemas.microsoft.com/office/drawing/2014/main" id="{0373F788-71A0-42DF-BB5D-FB39BE067531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306" name="AutoShape 1">
          <a:extLst>
            <a:ext uri="{FF2B5EF4-FFF2-40B4-BE49-F238E27FC236}">
              <a16:creationId xmlns:a16="http://schemas.microsoft.com/office/drawing/2014/main" id="{71A185A2-E836-40B5-9CE4-62A3E701123A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307" name="AutoShape 1">
          <a:extLst>
            <a:ext uri="{FF2B5EF4-FFF2-40B4-BE49-F238E27FC236}">
              <a16:creationId xmlns:a16="http://schemas.microsoft.com/office/drawing/2014/main" id="{4C54C3EC-6874-4A60-A019-9197E04D7DCD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308" name="AutoShape 1">
          <a:extLst>
            <a:ext uri="{FF2B5EF4-FFF2-40B4-BE49-F238E27FC236}">
              <a16:creationId xmlns:a16="http://schemas.microsoft.com/office/drawing/2014/main" id="{F3C1BD71-330C-4201-A633-BBFA4661C686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309" name="AutoShape 1">
          <a:extLst>
            <a:ext uri="{FF2B5EF4-FFF2-40B4-BE49-F238E27FC236}">
              <a16:creationId xmlns:a16="http://schemas.microsoft.com/office/drawing/2014/main" id="{44A6339F-CBFC-4871-ADD6-80BD28A33635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310" name="AutoShape 1">
          <a:extLst>
            <a:ext uri="{FF2B5EF4-FFF2-40B4-BE49-F238E27FC236}">
              <a16:creationId xmlns:a16="http://schemas.microsoft.com/office/drawing/2014/main" id="{8FCCF6E4-A93B-46F2-ACD3-96EFB98DFB8D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311" name="AutoShape 1">
          <a:extLst>
            <a:ext uri="{FF2B5EF4-FFF2-40B4-BE49-F238E27FC236}">
              <a16:creationId xmlns:a16="http://schemas.microsoft.com/office/drawing/2014/main" id="{3BDEA157-6673-4B45-B206-A8B9AB7E2AD9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312" name="AutoShape 1">
          <a:extLst>
            <a:ext uri="{FF2B5EF4-FFF2-40B4-BE49-F238E27FC236}">
              <a16:creationId xmlns:a16="http://schemas.microsoft.com/office/drawing/2014/main" id="{20C835EC-17A9-48E3-B0EC-9733C65EE35C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313" name="AutoShape 1">
          <a:extLst>
            <a:ext uri="{FF2B5EF4-FFF2-40B4-BE49-F238E27FC236}">
              <a16:creationId xmlns:a16="http://schemas.microsoft.com/office/drawing/2014/main" id="{24CB5082-1C45-4FF7-A523-E08F582957D2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314" name="AutoShape 1">
          <a:extLst>
            <a:ext uri="{FF2B5EF4-FFF2-40B4-BE49-F238E27FC236}">
              <a16:creationId xmlns:a16="http://schemas.microsoft.com/office/drawing/2014/main" id="{A9111882-E36D-4B88-AC3A-65F91174F2D8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315" name="AutoShape 1">
          <a:extLst>
            <a:ext uri="{FF2B5EF4-FFF2-40B4-BE49-F238E27FC236}">
              <a16:creationId xmlns:a16="http://schemas.microsoft.com/office/drawing/2014/main" id="{414E22AA-09FA-4453-902C-AE37BA3C8595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316" name="AutoShape 1">
          <a:extLst>
            <a:ext uri="{FF2B5EF4-FFF2-40B4-BE49-F238E27FC236}">
              <a16:creationId xmlns:a16="http://schemas.microsoft.com/office/drawing/2014/main" id="{6BF66950-68C5-4E38-A40D-13F1E21C7E46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317" name="AutoShape 1">
          <a:extLst>
            <a:ext uri="{FF2B5EF4-FFF2-40B4-BE49-F238E27FC236}">
              <a16:creationId xmlns:a16="http://schemas.microsoft.com/office/drawing/2014/main" id="{194711DC-9FDB-4092-8424-DC457E6FB7A7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318" name="AutoShape 1">
          <a:extLst>
            <a:ext uri="{FF2B5EF4-FFF2-40B4-BE49-F238E27FC236}">
              <a16:creationId xmlns:a16="http://schemas.microsoft.com/office/drawing/2014/main" id="{233902AA-C05F-4BFB-AF26-EBD0B7E2E486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319" name="AutoShape 1">
          <a:extLst>
            <a:ext uri="{FF2B5EF4-FFF2-40B4-BE49-F238E27FC236}">
              <a16:creationId xmlns:a16="http://schemas.microsoft.com/office/drawing/2014/main" id="{6078869F-B556-493E-ACF3-2DE776865276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320" name="AutoShape 1">
          <a:extLst>
            <a:ext uri="{FF2B5EF4-FFF2-40B4-BE49-F238E27FC236}">
              <a16:creationId xmlns:a16="http://schemas.microsoft.com/office/drawing/2014/main" id="{7944E6CF-93C4-4242-A627-040DA69CECBE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321" name="AutoShape 1">
          <a:extLst>
            <a:ext uri="{FF2B5EF4-FFF2-40B4-BE49-F238E27FC236}">
              <a16:creationId xmlns:a16="http://schemas.microsoft.com/office/drawing/2014/main" id="{138EB188-6A57-458B-AA5A-856330F367F0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322" name="AutoShape 1">
          <a:extLst>
            <a:ext uri="{FF2B5EF4-FFF2-40B4-BE49-F238E27FC236}">
              <a16:creationId xmlns:a16="http://schemas.microsoft.com/office/drawing/2014/main" id="{09920CD9-447B-4618-BB9D-2C3BE6FDF3A7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323" name="AutoShape 1">
          <a:extLst>
            <a:ext uri="{FF2B5EF4-FFF2-40B4-BE49-F238E27FC236}">
              <a16:creationId xmlns:a16="http://schemas.microsoft.com/office/drawing/2014/main" id="{6E3AD390-B7D6-4634-9821-132A544EB99A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324" name="AutoShape 1">
          <a:extLst>
            <a:ext uri="{FF2B5EF4-FFF2-40B4-BE49-F238E27FC236}">
              <a16:creationId xmlns:a16="http://schemas.microsoft.com/office/drawing/2014/main" id="{F095F3F2-7E7C-474C-BE49-9B3FDC8763B7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325" name="AutoShape 1">
          <a:extLst>
            <a:ext uri="{FF2B5EF4-FFF2-40B4-BE49-F238E27FC236}">
              <a16:creationId xmlns:a16="http://schemas.microsoft.com/office/drawing/2014/main" id="{72FC528D-ED77-4D96-87B9-B9656CC607E6}"/>
            </a:ext>
            <a:ext uri="{147F2762-F138-4A5C-976F-8EAC2B608ADB}">
              <a16:predDERef xmlns:a16="http://schemas.microsoft.com/office/drawing/2014/main" pred="{A9C9C4DB-4B97-447C-9099-E87BCB3C537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388</xdr:row>
      <xdr:rowOff>0</xdr:rowOff>
    </xdr:from>
    <xdr:ext cx="304800" cy="304800"/>
    <xdr:sp macro="" textlink="">
      <xdr:nvSpPr>
        <xdr:cNvPr id="1326" name="AutoShape 1">
          <a:extLst>
            <a:ext uri="{FF2B5EF4-FFF2-40B4-BE49-F238E27FC236}">
              <a16:creationId xmlns:a16="http://schemas.microsoft.com/office/drawing/2014/main" id="{F20C7126-AB93-4C37-ADAC-248EE73E5C9D}"/>
            </a:ext>
            <a:ext uri="{147F2762-F138-4A5C-976F-8EAC2B608ADB}">
              <a16:predDERef xmlns:a16="http://schemas.microsoft.com/office/drawing/2014/main" pred="{CD89554D-BD76-42AD-819A-278AD445B86E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327" name="AutoShape 1">
          <a:extLst>
            <a:ext uri="{FF2B5EF4-FFF2-40B4-BE49-F238E27FC236}">
              <a16:creationId xmlns:a16="http://schemas.microsoft.com/office/drawing/2014/main" id="{3433497F-A140-4F6E-9676-7034DEF4B634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328" name="AutoShape 1">
          <a:extLst>
            <a:ext uri="{FF2B5EF4-FFF2-40B4-BE49-F238E27FC236}">
              <a16:creationId xmlns:a16="http://schemas.microsoft.com/office/drawing/2014/main" id="{BC109F63-FEDE-4A5F-B378-0516364988E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329" name="AutoShape 1">
          <a:extLst>
            <a:ext uri="{FF2B5EF4-FFF2-40B4-BE49-F238E27FC236}">
              <a16:creationId xmlns:a16="http://schemas.microsoft.com/office/drawing/2014/main" id="{EDDFE535-B353-409E-AFCD-0C8D1A9D97DE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330" name="AutoShape 1">
          <a:extLst>
            <a:ext uri="{FF2B5EF4-FFF2-40B4-BE49-F238E27FC236}">
              <a16:creationId xmlns:a16="http://schemas.microsoft.com/office/drawing/2014/main" id="{723AEF0B-F0FD-42EF-9E12-3B0E4203A721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331" name="AutoShape 1">
          <a:extLst>
            <a:ext uri="{FF2B5EF4-FFF2-40B4-BE49-F238E27FC236}">
              <a16:creationId xmlns:a16="http://schemas.microsoft.com/office/drawing/2014/main" id="{0C103EAE-508F-4D66-8622-2345B1622A6F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332" name="AutoShape 1">
          <a:extLst>
            <a:ext uri="{FF2B5EF4-FFF2-40B4-BE49-F238E27FC236}">
              <a16:creationId xmlns:a16="http://schemas.microsoft.com/office/drawing/2014/main" id="{DE4BF985-610B-46CC-9CCC-FB1770DE5DCE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333" name="AutoShape 1">
          <a:extLst>
            <a:ext uri="{FF2B5EF4-FFF2-40B4-BE49-F238E27FC236}">
              <a16:creationId xmlns:a16="http://schemas.microsoft.com/office/drawing/2014/main" id="{24B533F9-B4F3-40F1-BA03-7947003DEB01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334" name="AutoShape 1">
          <a:extLst>
            <a:ext uri="{FF2B5EF4-FFF2-40B4-BE49-F238E27FC236}">
              <a16:creationId xmlns:a16="http://schemas.microsoft.com/office/drawing/2014/main" id="{61C702A3-91DA-4375-BC73-048E666AD16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335" name="AutoShape 1">
          <a:extLst>
            <a:ext uri="{FF2B5EF4-FFF2-40B4-BE49-F238E27FC236}">
              <a16:creationId xmlns:a16="http://schemas.microsoft.com/office/drawing/2014/main" id="{AE785BA0-B915-4750-AD56-2220ACBF6B9A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336" name="AutoShape 1">
          <a:extLst>
            <a:ext uri="{FF2B5EF4-FFF2-40B4-BE49-F238E27FC236}">
              <a16:creationId xmlns:a16="http://schemas.microsoft.com/office/drawing/2014/main" id="{98FAB254-00B3-4788-821C-DA2E5849729F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337" name="AutoShape 1">
          <a:extLst>
            <a:ext uri="{FF2B5EF4-FFF2-40B4-BE49-F238E27FC236}">
              <a16:creationId xmlns:a16="http://schemas.microsoft.com/office/drawing/2014/main" id="{ED1DC48D-F93C-4CBB-8652-9C52BF46E14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338" name="AutoShape 1">
          <a:extLst>
            <a:ext uri="{FF2B5EF4-FFF2-40B4-BE49-F238E27FC236}">
              <a16:creationId xmlns:a16="http://schemas.microsoft.com/office/drawing/2014/main" id="{2FB838AA-EB2E-4261-957B-11262923D97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339" name="AutoShape 1">
          <a:extLst>
            <a:ext uri="{FF2B5EF4-FFF2-40B4-BE49-F238E27FC236}">
              <a16:creationId xmlns:a16="http://schemas.microsoft.com/office/drawing/2014/main" id="{D808A18E-5E34-4405-AA73-AEF908F8D3C9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340" name="AutoShape 1">
          <a:extLst>
            <a:ext uri="{FF2B5EF4-FFF2-40B4-BE49-F238E27FC236}">
              <a16:creationId xmlns:a16="http://schemas.microsoft.com/office/drawing/2014/main" id="{731A1A52-A98E-4553-AC68-3B2BFD5016A6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341" name="AutoShape 1">
          <a:extLst>
            <a:ext uri="{FF2B5EF4-FFF2-40B4-BE49-F238E27FC236}">
              <a16:creationId xmlns:a16="http://schemas.microsoft.com/office/drawing/2014/main" id="{21343C54-677A-4A3E-8ED5-AF0FB51304E9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342" name="AutoShape 1">
          <a:extLst>
            <a:ext uri="{FF2B5EF4-FFF2-40B4-BE49-F238E27FC236}">
              <a16:creationId xmlns:a16="http://schemas.microsoft.com/office/drawing/2014/main" id="{AAFEB869-0933-4F9D-9547-751C31FB513E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343" name="AutoShape 1">
          <a:extLst>
            <a:ext uri="{FF2B5EF4-FFF2-40B4-BE49-F238E27FC236}">
              <a16:creationId xmlns:a16="http://schemas.microsoft.com/office/drawing/2014/main" id="{4F0C81F8-F2F7-4312-8AF4-590E3BE19703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344" name="AutoShape 1">
          <a:extLst>
            <a:ext uri="{FF2B5EF4-FFF2-40B4-BE49-F238E27FC236}">
              <a16:creationId xmlns:a16="http://schemas.microsoft.com/office/drawing/2014/main" id="{BD61EE50-77DD-4792-A96F-2C110359015A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345" name="AutoShape 1">
          <a:extLst>
            <a:ext uri="{FF2B5EF4-FFF2-40B4-BE49-F238E27FC236}">
              <a16:creationId xmlns:a16="http://schemas.microsoft.com/office/drawing/2014/main" id="{56EBC81E-7020-4FCF-BF26-69EB99E4C2A4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346" name="AutoShape 1">
          <a:extLst>
            <a:ext uri="{FF2B5EF4-FFF2-40B4-BE49-F238E27FC236}">
              <a16:creationId xmlns:a16="http://schemas.microsoft.com/office/drawing/2014/main" id="{8FCAA575-394F-4ED5-8990-04D73928EB56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347" name="AutoShape 1">
          <a:extLst>
            <a:ext uri="{FF2B5EF4-FFF2-40B4-BE49-F238E27FC236}">
              <a16:creationId xmlns:a16="http://schemas.microsoft.com/office/drawing/2014/main" id="{A8CF7FFC-FEFB-441D-962C-13064680266F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348" name="AutoShape 1">
          <a:extLst>
            <a:ext uri="{FF2B5EF4-FFF2-40B4-BE49-F238E27FC236}">
              <a16:creationId xmlns:a16="http://schemas.microsoft.com/office/drawing/2014/main" id="{4C00F73A-AF79-4A30-A5D7-3508CDC87CCF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349" name="AutoShape 1">
          <a:extLst>
            <a:ext uri="{FF2B5EF4-FFF2-40B4-BE49-F238E27FC236}">
              <a16:creationId xmlns:a16="http://schemas.microsoft.com/office/drawing/2014/main" id="{E0ADB01D-C0FD-424B-8A41-58D98A40FFF1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350" name="AutoShape 1">
          <a:extLst>
            <a:ext uri="{FF2B5EF4-FFF2-40B4-BE49-F238E27FC236}">
              <a16:creationId xmlns:a16="http://schemas.microsoft.com/office/drawing/2014/main" id="{DF9B7C40-8606-48B4-A48F-5788B61A3C29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351" name="AutoShape 1">
          <a:extLst>
            <a:ext uri="{FF2B5EF4-FFF2-40B4-BE49-F238E27FC236}">
              <a16:creationId xmlns:a16="http://schemas.microsoft.com/office/drawing/2014/main" id="{0F42CE81-E92B-4F20-ADE8-54AD88C8B746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352" name="AutoShape 1">
          <a:extLst>
            <a:ext uri="{FF2B5EF4-FFF2-40B4-BE49-F238E27FC236}">
              <a16:creationId xmlns:a16="http://schemas.microsoft.com/office/drawing/2014/main" id="{A33B2BFC-BA59-4636-8181-05D1EA3ABF40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353" name="AutoShape 1">
          <a:extLst>
            <a:ext uri="{FF2B5EF4-FFF2-40B4-BE49-F238E27FC236}">
              <a16:creationId xmlns:a16="http://schemas.microsoft.com/office/drawing/2014/main" id="{C0A43C54-1568-426D-9767-17470C3019E1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354" name="AutoShape 1">
          <a:extLst>
            <a:ext uri="{FF2B5EF4-FFF2-40B4-BE49-F238E27FC236}">
              <a16:creationId xmlns:a16="http://schemas.microsoft.com/office/drawing/2014/main" id="{8FDACB43-8EBD-4CB8-8477-9C08E6E77260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355" name="AutoShape 1">
          <a:extLst>
            <a:ext uri="{FF2B5EF4-FFF2-40B4-BE49-F238E27FC236}">
              <a16:creationId xmlns:a16="http://schemas.microsoft.com/office/drawing/2014/main" id="{12E1DA10-9EAF-41CB-A41A-A903D6A4BEDE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356" name="AutoShape 1">
          <a:extLst>
            <a:ext uri="{FF2B5EF4-FFF2-40B4-BE49-F238E27FC236}">
              <a16:creationId xmlns:a16="http://schemas.microsoft.com/office/drawing/2014/main" id="{0B78465C-33BA-43F2-9693-2DA711079693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357" name="AutoShape 1">
          <a:extLst>
            <a:ext uri="{FF2B5EF4-FFF2-40B4-BE49-F238E27FC236}">
              <a16:creationId xmlns:a16="http://schemas.microsoft.com/office/drawing/2014/main" id="{DBA8F151-FDA5-43E9-A332-6E4D4892ACF6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358" name="AutoShape 1">
          <a:extLst>
            <a:ext uri="{FF2B5EF4-FFF2-40B4-BE49-F238E27FC236}">
              <a16:creationId xmlns:a16="http://schemas.microsoft.com/office/drawing/2014/main" id="{F799EADB-9CD5-48E2-B940-4EFDB8165703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359" name="AutoShape 1">
          <a:extLst>
            <a:ext uri="{FF2B5EF4-FFF2-40B4-BE49-F238E27FC236}">
              <a16:creationId xmlns:a16="http://schemas.microsoft.com/office/drawing/2014/main" id="{204FEC6A-76CD-4C55-84F9-65BBD4E778F3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360" name="AutoShape 1">
          <a:extLst>
            <a:ext uri="{FF2B5EF4-FFF2-40B4-BE49-F238E27FC236}">
              <a16:creationId xmlns:a16="http://schemas.microsoft.com/office/drawing/2014/main" id="{C2725025-F64A-426C-85F6-35C0A1771A0E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361" name="AutoShape 1">
          <a:extLst>
            <a:ext uri="{FF2B5EF4-FFF2-40B4-BE49-F238E27FC236}">
              <a16:creationId xmlns:a16="http://schemas.microsoft.com/office/drawing/2014/main" id="{211C74C1-A52C-4A88-8E9D-0A716F6B66C2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362" name="AutoShape 1">
          <a:extLst>
            <a:ext uri="{FF2B5EF4-FFF2-40B4-BE49-F238E27FC236}">
              <a16:creationId xmlns:a16="http://schemas.microsoft.com/office/drawing/2014/main" id="{EE435AEC-BED2-4598-8EF1-EA8BF02468AF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363" name="AutoShape 1">
          <a:extLst>
            <a:ext uri="{FF2B5EF4-FFF2-40B4-BE49-F238E27FC236}">
              <a16:creationId xmlns:a16="http://schemas.microsoft.com/office/drawing/2014/main" id="{42188E9D-9D25-4A6D-A3CE-28A036D245B6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364" name="AutoShape 1">
          <a:extLst>
            <a:ext uri="{FF2B5EF4-FFF2-40B4-BE49-F238E27FC236}">
              <a16:creationId xmlns:a16="http://schemas.microsoft.com/office/drawing/2014/main" id="{CCC6271B-454B-44EC-8EBC-15B161991DAD}"/>
            </a:ext>
            <a:ext uri="{147F2762-F138-4A5C-976F-8EAC2B608ADB}">
              <a16:predDERef xmlns:a16="http://schemas.microsoft.com/office/drawing/2014/main" pred="{A9C9C4DB-4B97-447C-9099-E87BCB3C537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365" name="AutoShape 1">
          <a:extLst>
            <a:ext uri="{FF2B5EF4-FFF2-40B4-BE49-F238E27FC236}">
              <a16:creationId xmlns:a16="http://schemas.microsoft.com/office/drawing/2014/main" id="{49F26C88-988A-471B-A46E-74D0114170DA}"/>
            </a:ext>
            <a:ext uri="{147F2762-F138-4A5C-976F-8EAC2B608ADB}">
              <a16:predDERef xmlns:a16="http://schemas.microsoft.com/office/drawing/2014/main" pred="{CD89554D-BD76-42AD-819A-278AD445B86E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366" name="AutoShape 1">
          <a:extLst>
            <a:ext uri="{FF2B5EF4-FFF2-40B4-BE49-F238E27FC236}">
              <a16:creationId xmlns:a16="http://schemas.microsoft.com/office/drawing/2014/main" id="{732B8A0A-4776-4BB5-B023-53DC297E6D56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367" name="AutoShape 1">
          <a:extLst>
            <a:ext uri="{FF2B5EF4-FFF2-40B4-BE49-F238E27FC236}">
              <a16:creationId xmlns:a16="http://schemas.microsoft.com/office/drawing/2014/main" id="{C2486ECA-1E91-4503-AABF-C05C3D4E63CB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368" name="AutoShape 1">
          <a:extLst>
            <a:ext uri="{FF2B5EF4-FFF2-40B4-BE49-F238E27FC236}">
              <a16:creationId xmlns:a16="http://schemas.microsoft.com/office/drawing/2014/main" id="{91ADDB88-82AF-4ACE-B9CF-9B1C50361A41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369" name="AutoShape 1">
          <a:extLst>
            <a:ext uri="{FF2B5EF4-FFF2-40B4-BE49-F238E27FC236}">
              <a16:creationId xmlns:a16="http://schemas.microsoft.com/office/drawing/2014/main" id="{131C2650-CA93-4731-8267-364E70207FEE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370" name="AutoShape 1">
          <a:extLst>
            <a:ext uri="{FF2B5EF4-FFF2-40B4-BE49-F238E27FC236}">
              <a16:creationId xmlns:a16="http://schemas.microsoft.com/office/drawing/2014/main" id="{38F77ADB-1C41-4F74-98A8-BF5674BA7CCF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371" name="AutoShape 1">
          <a:extLst>
            <a:ext uri="{FF2B5EF4-FFF2-40B4-BE49-F238E27FC236}">
              <a16:creationId xmlns:a16="http://schemas.microsoft.com/office/drawing/2014/main" id="{7C4862FF-C7B3-4A29-8FD2-1C9F833FCAE9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372" name="AutoShape 1">
          <a:extLst>
            <a:ext uri="{FF2B5EF4-FFF2-40B4-BE49-F238E27FC236}">
              <a16:creationId xmlns:a16="http://schemas.microsoft.com/office/drawing/2014/main" id="{58A7BEF0-5B0C-417A-91F3-0BC5C8ED7A8D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373" name="AutoShape 1">
          <a:extLst>
            <a:ext uri="{FF2B5EF4-FFF2-40B4-BE49-F238E27FC236}">
              <a16:creationId xmlns:a16="http://schemas.microsoft.com/office/drawing/2014/main" id="{E296E442-AA68-4D31-AE98-3FD073B271CE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374" name="AutoShape 1">
          <a:extLst>
            <a:ext uri="{FF2B5EF4-FFF2-40B4-BE49-F238E27FC236}">
              <a16:creationId xmlns:a16="http://schemas.microsoft.com/office/drawing/2014/main" id="{3D162B19-5698-4AD5-A503-7BC345E646AB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375" name="AutoShape 1">
          <a:extLst>
            <a:ext uri="{FF2B5EF4-FFF2-40B4-BE49-F238E27FC236}">
              <a16:creationId xmlns:a16="http://schemas.microsoft.com/office/drawing/2014/main" id="{7BABE7D4-BAF0-4F5C-A13C-102EBF61BFF7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376" name="AutoShape 1">
          <a:extLst>
            <a:ext uri="{FF2B5EF4-FFF2-40B4-BE49-F238E27FC236}">
              <a16:creationId xmlns:a16="http://schemas.microsoft.com/office/drawing/2014/main" id="{E8D381B6-8BFF-4E72-AC11-FC38A3AF9B1F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377" name="AutoShape 1">
          <a:extLst>
            <a:ext uri="{FF2B5EF4-FFF2-40B4-BE49-F238E27FC236}">
              <a16:creationId xmlns:a16="http://schemas.microsoft.com/office/drawing/2014/main" id="{67BFFEF8-44CA-4605-9815-F808ADDB8F2F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378" name="AutoShape 1">
          <a:extLst>
            <a:ext uri="{FF2B5EF4-FFF2-40B4-BE49-F238E27FC236}">
              <a16:creationId xmlns:a16="http://schemas.microsoft.com/office/drawing/2014/main" id="{C8E465E2-9DE9-40E8-BD04-9897B680EA4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379" name="AutoShape 1">
          <a:extLst>
            <a:ext uri="{FF2B5EF4-FFF2-40B4-BE49-F238E27FC236}">
              <a16:creationId xmlns:a16="http://schemas.microsoft.com/office/drawing/2014/main" id="{9AF4A5AC-BA77-4F87-99D2-0FD72789C0E7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380" name="AutoShape 1">
          <a:extLst>
            <a:ext uri="{FF2B5EF4-FFF2-40B4-BE49-F238E27FC236}">
              <a16:creationId xmlns:a16="http://schemas.microsoft.com/office/drawing/2014/main" id="{C0F4F28F-CBD1-4D5E-97D2-C847AAE1807A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381" name="AutoShape 1">
          <a:extLst>
            <a:ext uri="{FF2B5EF4-FFF2-40B4-BE49-F238E27FC236}">
              <a16:creationId xmlns:a16="http://schemas.microsoft.com/office/drawing/2014/main" id="{763D17F2-9685-4AA9-8D18-727DD0C963E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382" name="AutoShape 1">
          <a:extLst>
            <a:ext uri="{FF2B5EF4-FFF2-40B4-BE49-F238E27FC236}">
              <a16:creationId xmlns:a16="http://schemas.microsoft.com/office/drawing/2014/main" id="{212F6950-5D00-457B-B19B-4AE4404AAA7D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383" name="AutoShape 1">
          <a:extLst>
            <a:ext uri="{FF2B5EF4-FFF2-40B4-BE49-F238E27FC236}">
              <a16:creationId xmlns:a16="http://schemas.microsoft.com/office/drawing/2014/main" id="{14565D39-E975-4EAE-9B64-F6432AD34C4E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384" name="AutoShape 1">
          <a:extLst>
            <a:ext uri="{FF2B5EF4-FFF2-40B4-BE49-F238E27FC236}">
              <a16:creationId xmlns:a16="http://schemas.microsoft.com/office/drawing/2014/main" id="{274CC6CA-E991-4759-BD4D-125069872A63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385" name="AutoShape 1">
          <a:extLst>
            <a:ext uri="{FF2B5EF4-FFF2-40B4-BE49-F238E27FC236}">
              <a16:creationId xmlns:a16="http://schemas.microsoft.com/office/drawing/2014/main" id="{CBBCA70C-01EC-4914-B19E-69BF1DC04F63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386" name="AutoShape 1">
          <a:extLst>
            <a:ext uri="{FF2B5EF4-FFF2-40B4-BE49-F238E27FC236}">
              <a16:creationId xmlns:a16="http://schemas.microsoft.com/office/drawing/2014/main" id="{47872118-A6ED-443B-9DA4-F8A01BBA1A62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387" name="AutoShape 1">
          <a:extLst>
            <a:ext uri="{FF2B5EF4-FFF2-40B4-BE49-F238E27FC236}">
              <a16:creationId xmlns:a16="http://schemas.microsoft.com/office/drawing/2014/main" id="{A5EF9942-E1F8-4FC5-B4EC-11DF3C8CC8E8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388" name="AutoShape 1">
          <a:extLst>
            <a:ext uri="{FF2B5EF4-FFF2-40B4-BE49-F238E27FC236}">
              <a16:creationId xmlns:a16="http://schemas.microsoft.com/office/drawing/2014/main" id="{B79A246A-8EEC-4EF3-A454-BCAA55074C87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389" name="AutoShape 1">
          <a:extLst>
            <a:ext uri="{FF2B5EF4-FFF2-40B4-BE49-F238E27FC236}">
              <a16:creationId xmlns:a16="http://schemas.microsoft.com/office/drawing/2014/main" id="{5E7A7461-7113-414D-928C-7EDB03197CF8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390" name="AutoShape 1">
          <a:extLst>
            <a:ext uri="{FF2B5EF4-FFF2-40B4-BE49-F238E27FC236}">
              <a16:creationId xmlns:a16="http://schemas.microsoft.com/office/drawing/2014/main" id="{E6C22EF1-E6A7-4C7F-82BD-35CDFF28F679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391" name="AutoShape 1">
          <a:extLst>
            <a:ext uri="{FF2B5EF4-FFF2-40B4-BE49-F238E27FC236}">
              <a16:creationId xmlns:a16="http://schemas.microsoft.com/office/drawing/2014/main" id="{50ECECAB-771B-4318-A22A-DFFF8E967A81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392" name="AutoShape 1">
          <a:extLst>
            <a:ext uri="{FF2B5EF4-FFF2-40B4-BE49-F238E27FC236}">
              <a16:creationId xmlns:a16="http://schemas.microsoft.com/office/drawing/2014/main" id="{77905D9D-9289-4F95-B160-51DB9070A393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393" name="AutoShape 1">
          <a:extLst>
            <a:ext uri="{FF2B5EF4-FFF2-40B4-BE49-F238E27FC236}">
              <a16:creationId xmlns:a16="http://schemas.microsoft.com/office/drawing/2014/main" id="{6F880C43-480C-4A24-9485-5AEF3D2D472C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394" name="AutoShape 1">
          <a:extLst>
            <a:ext uri="{FF2B5EF4-FFF2-40B4-BE49-F238E27FC236}">
              <a16:creationId xmlns:a16="http://schemas.microsoft.com/office/drawing/2014/main" id="{57B0FECE-39FB-4CC8-A5D0-DD770502646F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395" name="AutoShape 1">
          <a:extLst>
            <a:ext uri="{FF2B5EF4-FFF2-40B4-BE49-F238E27FC236}">
              <a16:creationId xmlns:a16="http://schemas.microsoft.com/office/drawing/2014/main" id="{84277E9F-8B6E-4E65-B65F-5A4A73C7D3AF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396" name="AutoShape 1">
          <a:extLst>
            <a:ext uri="{FF2B5EF4-FFF2-40B4-BE49-F238E27FC236}">
              <a16:creationId xmlns:a16="http://schemas.microsoft.com/office/drawing/2014/main" id="{B5EE36D7-674D-44E8-8AFC-1955CF5D768A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397" name="AutoShape 1">
          <a:extLst>
            <a:ext uri="{FF2B5EF4-FFF2-40B4-BE49-F238E27FC236}">
              <a16:creationId xmlns:a16="http://schemas.microsoft.com/office/drawing/2014/main" id="{280BFF31-4012-4446-92A4-DAB024A5D70B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398" name="AutoShape 1">
          <a:extLst>
            <a:ext uri="{FF2B5EF4-FFF2-40B4-BE49-F238E27FC236}">
              <a16:creationId xmlns:a16="http://schemas.microsoft.com/office/drawing/2014/main" id="{BFFBCE7F-AD1D-4DC5-B2E2-9F720A07EBA5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399" name="AutoShape 1">
          <a:extLst>
            <a:ext uri="{FF2B5EF4-FFF2-40B4-BE49-F238E27FC236}">
              <a16:creationId xmlns:a16="http://schemas.microsoft.com/office/drawing/2014/main" id="{04B836BF-D078-47F1-A12D-F8B9FFE1D367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400" name="AutoShape 1">
          <a:extLst>
            <a:ext uri="{FF2B5EF4-FFF2-40B4-BE49-F238E27FC236}">
              <a16:creationId xmlns:a16="http://schemas.microsoft.com/office/drawing/2014/main" id="{FF6BB467-ABCA-41AC-ABC0-BD683E997AAB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401" name="AutoShape 1">
          <a:extLst>
            <a:ext uri="{FF2B5EF4-FFF2-40B4-BE49-F238E27FC236}">
              <a16:creationId xmlns:a16="http://schemas.microsoft.com/office/drawing/2014/main" id="{4C6156D4-A506-4513-8D61-ED463EA5E972}"/>
            </a:ext>
            <a:ext uri="{147F2762-F138-4A5C-976F-8EAC2B608ADB}">
              <a16:predDERef xmlns:a16="http://schemas.microsoft.com/office/drawing/2014/main" pred="{A9C9C4DB-4B97-447C-9099-E87BCB3C537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402" name="AutoShape 1">
          <a:extLst>
            <a:ext uri="{FF2B5EF4-FFF2-40B4-BE49-F238E27FC236}">
              <a16:creationId xmlns:a16="http://schemas.microsoft.com/office/drawing/2014/main" id="{9DA2CAD8-0014-4F18-83D6-5CAE7926D366}"/>
            </a:ext>
            <a:ext uri="{147F2762-F138-4A5C-976F-8EAC2B608ADB}">
              <a16:predDERef xmlns:a16="http://schemas.microsoft.com/office/drawing/2014/main" pred="{CD89554D-BD76-42AD-819A-278AD445B86E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403" name="AutoShape 1">
          <a:extLst>
            <a:ext uri="{FF2B5EF4-FFF2-40B4-BE49-F238E27FC236}">
              <a16:creationId xmlns:a16="http://schemas.microsoft.com/office/drawing/2014/main" id="{286E53C6-C489-4EA2-A6A3-614583F60E63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404" name="AutoShape 1">
          <a:extLst>
            <a:ext uri="{FF2B5EF4-FFF2-40B4-BE49-F238E27FC236}">
              <a16:creationId xmlns:a16="http://schemas.microsoft.com/office/drawing/2014/main" id="{F5D2E5DB-6E3F-465B-B543-CEC67E58FF5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405" name="AutoShape 1">
          <a:extLst>
            <a:ext uri="{FF2B5EF4-FFF2-40B4-BE49-F238E27FC236}">
              <a16:creationId xmlns:a16="http://schemas.microsoft.com/office/drawing/2014/main" id="{BAEFBF0D-97E0-4692-8053-0C44BDDFCBE7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406" name="AutoShape 1">
          <a:extLst>
            <a:ext uri="{FF2B5EF4-FFF2-40B4-BE49-F238E27FC236}">
              <a16:creationId xmlns:a16="http://schemas.microsoft.com/office/drawing/2014/main" id="{135B1C36-CBAC-41F4-858E-8C34F5CBA45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407" name="AutoShape 1">
          <a:extLst>
            <a:ext uri="{FF2B5EF4-FFF2-40B4-BE49-F238E27FC236}">
              <a16:creationId xmlns:a16="http://schemas.microsoft.com/office/drawing/2014/main" id="{717D813C-C5D9-4A0F-B0D0-1429E34F88B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408" name="AutoShape 1">
          <a:extLst>
            <a:ext uri="{FF2B5EF4-FFF2-40B4-BE49-F238E27FC236}">
              <a16:creationId xmlns:a16="http://schemas.microsoft.com/office/drawing/2014/main" id="{4EF378E3-99A0-4A96-B405-076E4E7307D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409" name="AutoShape 1">
          <a:extLst>
            <a:ext uri="{FF2B5EF4-FFF2-40B4-BE49-F238E27FC236}">
              <a16:creationId xmlns:a16="http://schemas.microsoft.com/office/drawing/2014/main" id="{35189F10-3BDE-4E9E-B21F-998FBCEA1AAC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410" name="AutoShape 1">
          <a:extLst>
            <a:ext uri="{FF2B5EF4-FFF2-40B4-BE49-F238E27FC236}">
              <a16:creationId xmlns:a16="http://schemas.microsoft.com/office/drawing/2014/main" id="{9C0F482E-3CDE-44BF-BCDB-2ECA44B9F4AB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411" name="AutoShape 1">
          <a:extLst>
            <a:ext uri="{FF2B5EF4-FFF2-40B4-BE49-F238E27FC236}">
              <a16:creationId xmlns:a16="http://schemas.microsoft.com/office/drawing/2014/main" id="{5FD32BE3-861A-4163-9D89-6ADC2FB30C6F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412" name="AutoShape 1">
          <a:extLst>
            <a:ext uri="{FF2B5EF4-FFF2-40B4-BE49-F238E27FC236}">
              <a16:creationId xmlns:a16="http://schemas.microsoft.com/office/drawing/2014/main" id="{66762F16-21BA-4379-81EB-A88DE145E39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413" name="AutoShape 1">
          <a:extLst>
            <a:ext uri="{FF2B5EF4-FFF2-40B4-BE49-F238E27FC236}">
              <a16:creationId xmlns:a16="http://schemas.microsoft.com/office/drawing/2014/main" id="{87A42D64-EBF1-4482-8C64-DED23C275D9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414" name="AutoShape 1">
          <a:extLst>
            <a:ext uri="{FF2B5EF4-FFF2-40B4-BE49-F238E27FC236}">
              <a16:creationId xmlns:a16="http://schemas.microsoft.com/office/drawing/2014/main" id="{879A8888-BFE2-4F4D-94B8-7068A30899C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415" name="AutoShape 1">
          <a:extLst>
            <a:ext uri="{FF2B5EF4-FFF2-40B4-BE49-F238E27FC236}">
              <a16:creationId xmlns:a16="http://schemas.microsoft.com/office/drawing/2014/main" id="{AE7E562F-2315-4D83-9FE8-AF5207000096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416" name="AutoShape 1">
          <a:extLst>
            <a:ext uri="{FF2B5EF4-FFF2-40B4-BE49-F238E27FC236}">
              <a16:creationId xmlns:a16="http://schemas.microsoft.com/office/drawing/2014/main" id="{C557AC15-103C-4B85-818C-2DB7102CAED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417" name="AutoShape 1">
          <a:extLst>
            <a:ext uri="{FF2B5EF4-FFF2-40B4-BE49-F238E27FC236}">
              <a16:creationId xmlns:a16="http://schemas.microsoft.com/office/drawing/2014/main" id="{415B26CA-CFFF-4474-B559-6A7BE1D4CE9F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418" name="AutoShape 1">
          <a:extLst>
            <a:ext uri="{FF2B5EF4-FFF2-40B4-BE49-F238E27FC236}">
              <a16:creationId xmlns:a16="http://schemas.microsoft.com/office/drawing/2014/main" id="{F4E8CA69-36C8-4E27-9D8D-FB895EC1962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419" name="AutoShape 1">
          <a:extLst>
            <a:ext uri="{FF2B5EF4-FFF2-40B4-BE49-F238E27FC236}">
              <a16:creationId xmlns:a16="http://schemas.microsoft.com/office/drawing/2014/main" id="{1C37EF93-6E9C-4DAF-A61E-7DD041331123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420" name="AutoShape 1">
          <a:extLst>
            <a:ext uri="{FF2B5EF4-FFF2-40B4-BE49-F238E27FC236}">
              <a16:creationId xmlns:a16="http://schemas.microsoft.com/office/drawing/2014/main" id="{81FCF982-F739-4B95-9893-4AAC2A0FE9B6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421" name="AutoShape 1">
          <a:extLst>
            <a:ext uri="{FF2B5EF4-FFF2-40B4-BE49-F238E27FC236}">
              <a16:creationId xmlns:a16="http://schemas.microsoft.com/office/drawing/2014/main" id="{E6AF5C82-A379-414B-ACF5-ED5741330F0F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422" name="AutoShape 1">
          <a:extLst>
            <a:ext uri="{FF2B5EF4-FFF2-40B4-BE49-F238E27FC236}">
              <a16:creationId xmlns:a16="http://schemas.microsoft.com/office/drawing/2014/main" id="{ABDBB09B-4EB4-4A26-A9C4-90E2E223BC26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423" name="AutoShape 1">
          <a:extLst>
            <a:ext uri="{FF2B5EF4-FFF2-40B4-BE49-F238E27FC236}">
              <a16:creationId xmlns:a16="http://schemas.microsoft.com/office/drawing/2014/main" id="{F1D97B9B-FB2E-4D5B-BDF4-CDC3E11AB967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424" name="AutoShape 1">
          <a:extLst>
            <a:ext uri="{FF2B5EF4-FFF2-40B4-BE49-F238E27FC236}">
              <a16:creationId xmlns:a16="http://schemas.microsoft.com/office/drawing/2014/main" id="{AB9F0B2E-F182-4F6D-B1C8-8A815C07691A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425" name="AutoShape 1">
          <a:extLst>
            <a:ext uri="{FF2B5EF4-FFF2-40B4-BE49-F238E27FC236}">
              <a16:creationId xmlns:a16="http://schemas.microsoft.com/office/drawing/2014/main" id="{13E66A87-4AEC-4550-8FA4-C9D97EA38A80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426" name="AutoShape 1">
          <a:extLst>
            <a:ext uri="{FF2B5EF4-FFF2-40B4-BE49-F238E27FC236}">
              <a16:creationId xmlns:a16="http://schemas.microsoft.com/office/drawing/2014/main" id="{F1ACBB50-7508-48E0-99DA-478D0F186D47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427" name="AutoShape 1">
          <a:extLst>
            <a:ext uri="{FF2B5EF4-FFF2-40B4-BE49-F238E27FC236}">
              <a16:creationId xmlns:a16="http://schemas.microsoft.com/office/drawing/2014/main" id="{A00FFEA7-4D19-4436-B091-EC92145070FD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428" name="AutoShape 1">
          <a:extLst>
            <a:ext uri="{FF2B5EF4-FFF2-40B4-BE49-F238E27FC236}">
              <a16:creationId xmlns:a16="http://schemas.microsoft.com/office/drawing/2014/main" id="{C46E2A60-DBF8-4939-8ADB-7B17D5A3B8F9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429" name="AutoShape 1">
          <a:extLst>
            <a:ext uri="{FF2B5EF4-FFF2-40B4-BE49-F238E27FC236}">
              <a16:creationId xmlns:a16="http://schemas.microsoft.com/office/drawing/2014/main" id="{F2F23E52-DDBA-41D7-A0F0-06950A3182EA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430" name="AutoShape 1">
          <a:extLst>
            <a:ext uri="{FF2B5EF4-FFF2-40B4-BE49-F238E27FC236}">
              <a16:creationId xmlns:a16="http://schemas.microsoft.com/office/drawing/2014/main" id="{9D211726-D30E-40EA-B64D-659BFE8CF272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431" name="AutoShape 1">
          <a:extLst>
            <a:ext uri="{FF2B5EF4-FFF2-40B4-BE49-F238E27FC236}">
              <a16:creationId xmlns:a16="http://schemas.microsoft.com/office/drawing/2014/main" id="{8FB2320E-4FB1-4C5F-B44A-DF8F2DB2FC30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432" name="AutoShape 1">
          <a:extLst>
            <a:ext uri="{FF2B5EF4-FFF2-40B4-BE49-F238E27FC236}">
              <a16:creationId xmlns:a16="http://schemas.microsoft.com/office/drawing/2014/main" id="{D5860171-05CE-4E67-98C0-91FAAB751E9A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433" name="AutoShape 1">
          <a:extLst>
            <a:ext uri="{FF2B5EF4-FFF2-40B4-BE49-F238E27FC236}">
              <a16:creationId xmlns:a16="http://schemas.microsoft.com/office/drawing/2014/main" id="{D76179A2-E060-46E7-AE82-7A17A4ECADF6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434" name="AutoShape 1">
          <a:extLst>
            <a:ext uri="{FF2B5EF4-FFF2-40B4-BE49-F238E27FC236}">
              <a16:creationId xmlns:a16="http://schemas.microsoft.com/office/drawing/2014/main" id="{2776DCB1-0B34-454E-BCD7-5E2B283EB172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435" name="AutoShape 1">
          <a:extLst>
            <a:ext uri="{FF2B5EF4-FFF2-40B4-BE49-F238E27FC236}">
              <a16:creationId xmlns:a16="http://schemas.microsoft.com/office/drawing/2014/main" id="{52B354DE-1215-4A1F-A298-17AB71E32647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436" name="AutoShape 1">
          <a:extLst>
            <a:ext uri="{FF2B5EF4-FFF2-40B4-BE49-F238E27FC236}">
              <a16:creationId xmlns:a16="http://schemas.microsoft.com/office/drawing/2014/main" id="{C8085C45-D82B-4CC0-8F94-A083313A2E7D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437" name="AutoShape 1">
          <a:extLst>
            <a:ext uri="{FF2B5EF4-FFF2-40B4-BE49-F238E27FC236}">
              <a16:creationId xmlns:a16="http://schemas.microsoft.com/office/drawing/2014/main" id="{42C4AFD5-4B1D-484D-91D7-588A685B6D74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438" name="AutoShape 1">
          <a:extLst>
            <a:ext uri="{FF2B5EF4-FFF2-40B4-BE49-F238E27FC236}">
              <a16:creationId xmlns:a16="http://schemas.microsoft.com/office/drawing/2014/main" id="{C1BF568E-998F-43A8-B246-38C8AD505991}"/>
            </a:ext>
            <a:ext uri="{147F2762-F138-4A5C-976F-8EAC2B608ADB}">
              <a16:predDERef xmlns:a16="http://schemas.microsoft.com/office/drawing/2014/main" pred="{A9C9C4DB-4B97-447C-9099-E87BCB3C537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439" name="AutoShape 1">
          <a:extLst>
            <a:ext uri="{FF2B5EF4-FFF2-40B4-BE49-F238E27FC236}">
              <a16:creationId xmlns:a16="http://schemas.microsoft.com/office/drawing/2014/main" id="{97764213-3585-4F67-82F8-BFAF1F63E05D}"/>
            </a:ext>
            <a:ext uri="{147F2762-F138-4A5C-976F-8EAC2B608ADB}">
              <a16:predDERef xmlns:a16="http://schemas.microsoft.com/office/drawing/2014/main" pred="{CD89554D-BD76-42AD-819A-278AD445B86E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440" name="AutoShape 1">
          <a:extLst>
            <a:ext uri="{FF2B5EF4-FFF2-40B4-BE49-F238E27FC236}">
              <a16:creationId xmlns:a16="http://schemas.microsoft.com/office/drawing/2014/main" id="{A7C2E137-F3B1-4DEB-9B06-692B4F313C8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441" name="AutoShape 1">
          <a:extLst>
            <a:ext uri="{FF2B5EF4-FFF2-40B4-BE49-F238E27FC236}">
              <a16:creationId xmlns:a16="http://schemas.microsoft.com/office/drawing/2014/main" id="{FA219618-B195-4606-83E2-3A100DFA03A4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442" name="AutoShape 1">
          <a:extLst>
            <a:ext uri="{FF2B5EF4-FFF2-40B4-BE49-F238E27FC236}">
              <a16:creationId xmlns:a16="http://schemas.microsoft.com/office/drawing/2014/main" id="{F40B8BAB-F621-4541-9878-FD160D88C3D6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443" name="AutoShape 1">
          <a:extLst>
            <a:ext uri="{FF2B5EF4-FFF2-40B4-BE49-F238E27FC236}">
              <a16:creationId xmlns:a16="http://schemas.microsoft.com/office/drawing/2014/main" id="{C8A9AE8C-8BCF-4777-B37F-76CF6BA2CC3B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444" name="AutoShape 1">
          <a:extLst>
            <a:ext uri="{FF2B5EF4-FFF2-40B4-BE49-F238E27FC236}">
              <a16:creationId xmlns:a16="http://schemas.microsoft.com/office/drawing/2014/main" id="{6B01A3F5-5C7D-48E1-AE4E-DD57CBE1C159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445" name="AutoShape 1">
          <a:extLst>
            <a:ext uri="{FF2B5EF4-FFF2-40B4-BE49-F238E27FC236}">
              <a16:creationId xmlns:a16="http://schemas.microsoft.com/office/drawing/2014/main" id="{086CD238-7B1D-48FD-A84D-1F0576F44136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446" name="AutoShape 1">
          <a:extLst>
            <a:ext uri="{FF2B5EF4-FFF2-40B4-BE49-F238E27FC236}">
              <a16:creationId xmlns:a16="http://schemas.microsoft.com/office/drawing/2014/main" id="{773DA575-6816-4CAB-9467-FBD71567AB9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447" name="AutoShape 1">
          <a:extLst>
            <a:ext uri="{FF2B5EF4-FFF2-40B4-BE49-F238E27FC236}">
              <a16:creationId xmlns:a16="http://schemas.microsoft.com/office/drawing/2014/main" id="{B8D2A20A-9C64-44D7-ADFB-7A3725F82FE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448" name="AutoShape 1">
          <a:extLst>
            <a:ext uri="{FF2B5EF4-FFF2-40B4-BE49-F238E27FC236}">
              <a16:creationId xmlns:a16="http://schemas.microsoft.com/office/drawing/2014/main" id="{C7163339-8337-47F8-8CDB-781C5674735F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449" name="AutoShape 1">
          <a:extLst>
            <a:ext uri="{FF2B5EF4-FFF2-40B4-BE49-F238E27FC236}">
              <a16:creationId xmlns:a16="http://schemas.microsoft.com/office/drawing/2014/main" id="{4B9F6204-4B34-4B72-80BC-7FECC60C4EAB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450" name="AutoShape 1">
          <a:extLst>
            <a:ext uri="{FF2B5EF4-FFF2-40B4-BE49-F238E27FC236}">
              <a16:creationId xmlns:a16="http://schemas.microsoft.com/office/drawing/2014/main" id="{EFD7BA26-5134-491C-BD91-A525C72C2B8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451" name="AutoShape 1">
          <a:extLst>
            <a:ext uri="{FF2B5EF4-FFF2-40B4-BE49-F238E27FC236}">
              <a16:creationId xmlns:a16="http://schemas.microsoft.com/office/drawing/2014/main" id="{85C28DD1-8522-4072-85F2-B909C08D9C6F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452" name="AutoShape 1">
          <a:extLst>
            <a:ext uri="{FF2B5EF4-FFF2-40B4-BE49-F238E27FC236}">
              <a16:creationId xmlns:a16="http://schemas.microsoft.com/office/drawing/2014/main" id="{5A68CE4B-6670-4C4F-BE0F-FC2AEB4EF749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453" name="AutoShape 1">
          <a:extLst>
            <a:ext uri="{FF2B5EF4-FFF2-40B4-BE49-F238E27FC236}">
              <a16:creationId xmlns:a16="http://schemas.microsoft.com/office/drawing/2014/main" id="{4F5A9BAF-F48B-460B-8F4C-63EB58B08E5E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454" name="AutoShape 1">
          <a:extLst>
            <a:ext uri="{FF2B5EF4-FFF2-40B4-BE49-F238E27FC236}">
              <a16:creationId xmlns:a16="http://schemas.microsoft.com/office/drawing/2014/main" id="{A0AE2A9E-A66E-452A-B03D-315A1FAE7BB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455" name="AutoShape 1">
          <a:extLst>
            <a:ext uri="{FF2B5EF4-FFF2-40B4-BE49-F238E27FC236}">
              <a16:creationId xmlns:a16="http://schemas.microsoft.com/office/drawing/2014/main" id="{796AD6FC-2E5B-45A7-BEC7-62D62F21481A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456" name="AutoShape 1">
          <a:extLst>
            <a:ext uri="{FF2B5EF4-FFF2-40B4-BE49-F238E27FC236}">
              <a16:creationId xmlns:a16="http://schemas.microsoft.com/office/drawing/2014/main" id="{DDF5EF3D-7CF5-4FAF-91CE-F5FEAD3000C9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457" name="AutoShape 1">
          <a:extLst>
            <a:ext uri="{FF2B5EF4-FFF2-40B4-BE49-F238E27FC236}">
              <a16:creationId xmlns:a16="http://schemas.microsoft.com/office/drawing/2014/main" id="{098F6117-7529-4503-A14B-D578BE1AFD14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458" name="AutoShape 1">
          <a:extLst>
            <a:ext uri="{FF2B5EF4-FFF2-40B4-BE49-F238E27FC236}">
              <a16:creationId xmlns:a16="http://schemas.microsoft.com/office/drawing/2014/main" id="{3068ED66-FAF3-4ACD-B9F2-48D916643ABC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459" name="AutoShape 1">
          <a:extLst>
            <a:ext uri="{FF2B5EF4-FFF2-40B4-BE49-F238E27FC236}">
              <a16:creationId xmlns:a16="http://schemas.microsoft.com/office/drawing/2014/main" id="{C2F4A2B1-CF4F-41C8-A315-9170FECA57EA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460" name="AutoShape 1">
          <a:extLst>
            <a:ext uri="{FF2B5EF4-FFF2-40B4-BE49-F238E27FC236}">
              <a16:creationId xmlns:a16="http://schemas.microsoft.com/office/drawing/2014/main" id="{44B40040-6367-4DD5-B86F-10743804EB50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461" name="AutoShape 1">
          <a:extLst>
            <a:ext uri="{FF2B5EF4-FFF2-40B4-BE49-F238E27FC236}">
              <a16:creationId xmlns:a16="http://schemas.microsoft.com/office/drawing/2014/main" id="{1B8B4EE2-FD9A-4BD1-8C18-E31AD4961011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462" name="AutoShape 1">
          <a:extLst>
            <a:ext uri="{FF2B5EF4-FFF2-40B4-BE49-F238E27FC236}">
              <a16:creationId xmlns:a16="http://schemas.microsoft.com/office/drawing/2014/main" id="{5266C483-B18C-4637-9049-DA2419E174AB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463" name="AutoShape 1">
          <a:extLst>
            <a:ext uri="{FF2B5EF4-FFF2-40B4-BE49-F238E27FC236}">
              <a16:creationId xmlns:a16="http://schemas.microsoft.com/office/drawing/2014/main" id="{CCFFEC07-ACFB-4D63-9ABE-F29688F6BF0D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464" name="AutoShape 1">
          <a:extLst>
            <a:ext uri="{FF2B5EF4-FFF2-40B4-BE49-F238E27FC236}">
              <a16:creationId xmlns:a16="http://schemas.microsoft.com/office/drawing/2014/main" id="{3B883578-1E8F-4935-A3B8-6F887F6D366A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465" name="AutoShape 1">
          <a:extLst>
            <a:ext uri="{FF2B5EF4-FFF2-40B4-BE49-F238E27FC236}">
              <a16:creationId xmlns:a16="http://schemas.microsoft.com/office/drawing/2014/main" id="{1E40EE76-3154-4996-A1DA-6B91893CB00C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466" name="AutoShape 1">
          <a:extLst>
            <a:ext uri="{FF2B5EF4-FFF2-40B4-BE49-F238E27FC236}">
              <a16:creationId xmlns:a16="http://schemas.microsoft.com/office/drawing/2014/main" id="{E86DCC5C-4DB2-4941-BFC6-CA31DC059F15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467" name="AutoShape 1">
          <a:extLst>
            <a:ext uri="{FF2B5EF4-FFF2-40B4-BE49-F238E27FC236}">
              <a16:creationId xmlns:a16="http://schemas.microsoft.com/office/drawing/2014/main" id="{516B38F8-F63B-4B84-B8FB-8E93185B880C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468" name="AutoShape 1">
          <a:extLst>
            <a:ext uri="{FF2B5EF4-FFF2-40B4-BE49-F238E27FC236}">
              <a16:creationId xmlns:a16="http://schemas.microsoft.com/office/drawing/2014/main" id="{E81B07D6-1B5A-48C5-8542-F5D8357808F3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469" name="AutoShape 1">
          <a:extLst>
            <a:ext uri="{FF2B5EF4-FFF2-40B4-BE49-F238E27FC236}">
              <a16:creationId xmlns:a16="http://schemas.microsoft.com/office/drawing/2014/main" id="{4FE39E20-486E-4261-A732-B1A516E31EA5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470" name="AutoShape 1">
          <a:extLst>
            <a:ext uri="{FF2B5EF4-FFF2-40B4-BE49-F238E27FC236}">
              <a16:creationId xmlns:a16="http://schemas.microsoft.com/office/drawing/2014/main" id="{D91E60CD-A9D6-4757-AE2F-35B26348D987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471" name="AutoShape 1">
          <a:extLst>
            <a:ext uri="{FF2B5EF4-FFF2-40B4-BE49-F238E27FC236}">
              <a16:creationId xmlns:a16="http://schemas.microsoft.com/office/drawing/2014/main" id="{65744199-D1DE-4148-AFA8-BA700973F3B1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472" name="AutoShape 1">
          <a:extLst>
            <a:ext uri="{FF2B5EF4-FFF2-40B4-BE49-F238E27FC236}">
              <a16:creationId xmlns:a16="http://schemas.microsoft.com/office/drawing/2014/main" id="{A3077C88-EE51-485D-8D57-A87ACB954CD0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473" name="AutoShape 1">
          <a:extLst>
            <a:ext uri="{FF2B5EF4-FFF2-40B4-BE49-F238E27FC236}">
              <a16:creationId xmlns:a16="http://schemas.microsoft.com/office/drawing/2014/main" id="{EE344DAA-10DD-4325-AA4B-B63C3D214AE3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474" name="AutoShape 1">
          <a:extLst>
            <a:ext uri="{FF2B5EF4-FFF2-40B4-BE49-F238E27FC236}">
              <a16:creationId xmlns:a16="http://schemas.microsoft.com/office/drawing/2014/main" id="{6578B6F5-0391-49E3-8C11-5DE465D51FE2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475" name="AutoShape 1">
          <a:extLst>
            <a:ext uri="{FF2B5EF4-FFF2-40B4-BE49-F238E27FC236}">
              <a16:creationId xmlns:a16="http://schemas.microsoft.com/office/drawing/2014/main" id="{A35B1464-E46F-4386-BB9F-418EF018862E}"/>
            </a:ext>
            <a:ext uri="{147F2762-F138-4A5C-976F-8EAC2B608ADB}">
              <a16:predDERef xmlns:a16="http://schemas.microsoft.com/office/drawing/2014/main" pred="{A9C9C4DB-4B97-447C-9099-E87BCB3C537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476" name="AutoShape 1">
          <a:extLst>
            <a:ext uri="{FF2B5EF4-FFF2-40B4-BE49-F238E27FC236}">
              <a16:creationId xmlns:a16="http://schemas.microsoft.com/office/drawing/2014/main" id="{8D5B750E-685C-4535-8554-C5B04BAC772F}"/>
            </a:ext>
            <a:ext uri="{147F2762-F138-4A5C-976F-8EAC2B608ADB}">
              <a16:predDERef xmlns:a16="http://schemas.microsoft.com/office/drawing/2014/main" pred="{CD89554D-BD76-42AD-819A-278AD445B86E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477" name="AutoShape 1">
          <a:extLst>
            <a:ext uri="{FF2B5EF4-FFF2-40B4-BE49-F238E27FC236}">
              <a16:creationId xmlns:a16="http://schemas.microsoft.com/office/drawing/2014/main" id="{6DDA54C1-9B4C-44EC-B45C-8B48CC6695D7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478" name="AutoShape 1">
          <a:extLst>
            <a:ext uri="{FF2B5EF4-FFF2-40B4-BE49-F238E27FC236}">
              <a16:creationId xmlns:a16="http://schemas.microsoft.com/office/drawing/2014/main" id="{AB91D670-11A5-463F-BF1A-8165BCC4D051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479" name="AutoShape 1">
          <a:extLst>
            <a:ext uri="{FF2B5EF4-FFF2-40B4-BE49-F238E27FC236}">
              <a16:creationId xmlns:a16="http://schemas.microsoft.com/office/drawing/2014/main" id="{0F39F007-5B30-42F9-8195-ACD1F0E059BF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480" name="AutoShape 1">
          <a:extLst>
            <a:ext uri="{FF2B5EF4-FFF2-40B4-BE49-F238E27FC236}">
              <a16:creationId xmlns:a16="http://schemas.microsoft.com/office/drawing/2014/main" id="{3475718D-18A4-41BB-B747-0DDAE4C9CDEC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481" name="AutoShape 1">
          <a:extLst>
            <a:ext uri="{FF2B5EF4-FFF2-40B4-BE49-F238E27FC236}">
              <a16:creationId xmlns:a16="http://schemas.microsoft.com/office/drawing/2014/main" id="{62655C50-5B1B-4A2E-B49F-200635AC4DF4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482" name="AutoShape 1">
          <a:extLst>
            <a:ext uri="{FF2B5EF4-FFF2-40B4-BE49-F238E27FC236}">
              <a16:creationId xmlns:a16="http://schemas.microsoft.com/office/drawing/2014/main" id="{2B50E439-A0ED-407E-9C38-4FA78EE6BD11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483" name="AutoShape 1">
          <a:extLst>
            <a:ext uri="{FF2B5EF4-FFF2-40B4-BE49-F238E27FC236}">
              <a16:creationId xmlns:a16="http://schemas.microsoft.com/office/drawing/2014/main" id="{C7F8804E-0C25-4FA1-A6CB-73F0BEF002E1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484" name="AutoShape 1">
          <a:extLst>
            <a:ext uri="{FF2B5EF4-FFF2-40B4-BE49-F238E27FC236}">
              <a16:creationId xmlns:a16="http://schemas.microsoft.com/office/drawing/2014/main" id="{A7DBC635-52AF-4FCA-BFC6-4A0886CA44FC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485" name="AutoShape 1">
          <a:extLst>
            <a:ext uri="{FF2B5EF4-FFF2-40B4-BE49-F238E27FC236}">
              <a16:creationId xmlns:a16="http://schemas.microsoft.com/office/drawing/2014/main" id="{B9EFD8B2-5EE1-4F66-A757-72FCD893F8B7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486" name="AutoShape 1">
          <a:extLst>
            <a:ext uri="{FF2B5EF4-FFF2-40B4-BE49-F238E27FC236}">
              <a16:creationId xmlns:a16="http://schemas.microsoft.com/office/drawing/2014/main" id="{455FD2A7-A4D1-4296-A7A0-25B0C273A619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487" name="AutoShape 1">
          <a:extLst>
            <a:ext uri="{FF2B5EF4-FFF2-40B4-BE49-F238E27FC236}">
              <a16:creationId xmlns:a16="http://schemas.microsoft.com/office/drawing/2014/main" id="{AF3D580B-481E-4163-BEA6-26C6A3848CE4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488" name="AutoShape 1">
          <a:extLst>
            <a:ext uri="{FF2B5EF4-FFF2-40B4-BE49-F238E27FC236}">
              <a16:creationId xmlns:a16="http://schemas.microsoft.com/office/drawing/2014/main" id="{B5B27278-0775-4582-B6E8-CCCCF34B515E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489" name="AutoShape 1">
          <a:extLst>
            <a:ext uri="{FF2B5EF4-FFF2-40B4-BE49-F238E27FC236}">
              <a16:creationId xmlns:a16="http://schemas.microsoft.com/office/drawing/2014/main" id="{CF3F16EE-7B0C-419B-84DE-5C75E3EE2677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490" name="AutoShape 1">
          <a:extLst>
            <a:ext uri="{FF2B5EF4-FFF2-40B4-BE49-F238E27FC236}">
              <a16:creationId xmlns:a16="http://schemas.microsoft.com/office/drawing/2014/main" id="{F6EC460F-074B-496F-8BB3-BFD2C875C49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491" name="AutoShape 1">
          <a:extLst>
            <a:ext uri="{FF2B5EF4-FFF2-40B4-BE49-F238E27FC236}">
              <a16:creationId xmlns:a16="http://schemas.microsoft.com/office/drawing/2014/main" id="{BC63E65D-73EF-4031-8621-71A5312F2074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492" name="AutoShape 1">
          <a:extLst>
            <a:ext uri="{FF2B5EF4-FFF2-40B4-BE49-F238E27FC236}">
              <a16:creationId xmlns:a16="http://schemas.microsoft.com/office/drawing/2014/main" id="{9C16E6C2-3A41-4045-96F3-DB27DF79767C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493" name="AutoShape 1">
          <a:extLst>
            <a:ext uri="{FF2B5EF4-FFF2-40B4-BE49-F238E27FC236}">
              <a16:creationId xmlns:a16="http://schemas.microsoft.com/office/drawing/2014/main" id="{F0970617-236E-4BDF-A632-424CAA6CABD1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494" name="AutoShape 1">
          <a:extLst>
            <a:ext uri="{FF2B5EF4-FFF2-40B4-BE49-F238E27FC236}">
              <a16:creationId xmlns:a16="http://schemas.microsoft.com/office/drawing/2014/main" id="{016D3419-6F23-476C-A45E-0B3680D768EF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495" name="AutoShape 1">
          <a:extLst>
            <a:ext uri="{FF2B5EF4-FFF2-40B4-BE49-F238E27FC236}">
              <a16:creationId xmlns:a16="http://schemas.microsoft.com/office/drawing/2014/main" id="{C32E0EAE-E544-463C-B0EB-9817AD39AF38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496" name="AutoShape 1">
          <a:extLst>
            <a:ext uri="{FF2B5EF4-FFF2-40B4-BE49-F238E27FC236}">
              <a16:creationId xmlns:a16="http://schemas.microsoft.com/office/drawing/2014/main" id="{4E1F2681-72A5-46E7-ACC6-E71E751B4F7D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497" name="AutoShape 1">
          <a:extLst>
            <a:ext uri="{FF2B5EF4-FFF2-40B4-BE49-F238E27FC236}">
              <a16:creationId xmlns:a16="http://schemas.microsoft.com/office/drawing/2014/main" id="{B6D48CBD-CC69-4208-B09E-B503E3D93364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498" name="AutoShape 1">
          <a:extLst>
            <a:ext uri="{FF2B5EF4-FFF2-40B4-BE49-F238E27FC236}">
              <a16:creationId xmlns:a16="http://schemas.microsoft.com/office/drawing/2014/main" id="{6556D713-6900-44D7-8112-6AF9EE3BE828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499" name="AutoShape 1">
          <a:extLst>
            <a:ext uri="{FF2B5EF4-FFF2-40B4-BE49-F238E27FC236}">
              <a16:creationId xmlns:a16="http://schemas.microsoft.com/office/drawing/2014/main" id="{9F3F6811-EEC2-47D6-992F-6BF4F447E0C5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500" name="AutoShape 1">
          <a:extLst>
            <a:ext uri="{FF2B5EF4-FFF2-40B4-BE49-F238E27FC236}">
              <a16:creationId xmlns:a16="http://schemas.microsoft.com/office/drawing/2014/main" id="{63845724-B85D-4E53-AB4B-D7C0D3A651C4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501" name="AutoShape 1">
          <a:extLst>
            <a:ext uri="{FF2B5EF4-FFF2-40B4-BE49-F238E27FC236}">
              <a16:creationId xmlns:a16="http://schemas.microsoft.com/office/drawing/2014/main" id="{11B34B18-65CA-4781-B6EE-89706CFF705A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502" name="AutoShape 1">
          <a:extLst>
            <a:ext uri="{FF2B5EF4-FFF2-40B4-BE49-F238E27FC236}">
              <a16:creationId xmlns:a16="http://schemas.microsoft.com/office/drawing/2014/main" id="{8BC48A1C-063B-46D2-B3EB-13B67B93B9F0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503" name="AutoShape 1">
          <a:extLst>
            <a:ext uri="{FF2B5EF4-FFF2-40B4-BE49-F238E27FC236}">
              <a16:creationId xmlns:a16="http://schemas.microsoft.com/office/drawing/2014/main" id="{A08662B4-BCF1-4FA9-855F-0690FC9E1ABF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504" name="AutoShape 1">
          <a:extLst>
            <a:ext uri="{FF2B5EF4-FFF2-40B4-BE49-F238E27FC236}">
              <a16:creationId xmlns:a16="http://schemas.microsoft.com/office/drawing/2014/main" id="{1D28714B-D3BC-4C57-96BC-5B570C262352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505" name="AutoShape 1">
          <a:extLst>
            <a:ext uri="{FF2B5EF4-FFF2-40B4-BE49-F238E27FC236}">
              <a16:creationId xmlns:a16="http://schemas.microsoft.com/office/drawing/2014/main" id="{49F0C2EE-2F26-406F-9017-B2C9662C8AFD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506" name="AutoShape 1">
          <a:extLst>
            <a:ext uri="{FF2B5EF4-FFF2-40B4-BE49-F238E27FC236}">
              <a16:creationId xmlns:a16="http://schemas.microsoft.com/office/drawing/2014/main" id="{E9861DE4-1A76-4C52-9F24-98FE4BB2587D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507" name="AutoShape 1">
          <a:extLst>
            <a:ext uri="{FF2B5EF4-FFF2-40B4-BE49-F238E27FC236}">
              <a16:creationId xmlns:a16="http://schemas.microsoft.com/office/drawing/2014/main" id="{4368E075-685A-42A5-B91C-A1BFB481AB3C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508" name="AutoShape 1">
          <a:extLst>
            <a:ext uri="{FF2B5EF4-FFF2-40B4-BE49-F238E27FC236}">
              <a16:creationId xmlns:a16="http://schemas.microsoft.com/office/drawing/2014/main" id="{E49BFA28-4771-4BEF-9245-89ECF37B2C8A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509" name="AutoShape 1">
          <a:extLst>
            <a:ext uri="{FF2B5EF4-FFF2-40B4-BE49-F238E27FC236}">
              <a16:creationId xmlns:a16="http://schemas.microsoft.com/office/drawing/2014/main" id="{83A1C1B4-41D6-4588-A5CB-C3AABDBD271E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510" name="AutoShape 1">
          <a:extLst>
            <a:ext uri="{FF2B5EF4-FFF2-40B4-BE49-F238E27FC236}">
              <a16:creationId xmlns:a16="http://schemas.microsoft.com/office/drawing/2014/main" id="{200B5BAE-A477-4960-9866-5C618F38661B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511" name="AutoShape 1">
          <a:extLst>
            <a:ext uri="{FF2B5EF4-FFF2-40B4-BE49-F238E27FC236}">
              <a16:creationId xmlns:a16="http://schemas.microsoft.com/office/drawing/2014/main" id="{E998ACA5-B62E-41F4-96A3-8E06254D943A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512" name="AutoShape 1">
          <a:extLst>
            <a:ext uri="{FF2B5EF4-FFF2-40B4-BE49-F238E27FC236}">
              <a16:creationId xmlns:a16="http://schemas.microsoft.com/office/drawing/2014/main" id="{4509A497-B18B-43F1-923E-5C3620845E05}"/>
            </a:ext>
            <a:ext uri="{147F2762-F138-4A5C-976F-8EAC2B608ADB}">
              <a16:predDERef xmlns:a16="http://schemas.microsoft.com/office/drawing/2014/main" pred="{A9C9C4DB-4B97-447C-9099-E87BCB3C537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513" name="AutoShape 1">
          <a:extLst>
            <a:ext uri="{FF2B5EF4-FFF2-40B4-BE49-F238E27FC236}">
              <a16:creationId xmlns:a16="http://schemas.microsoft.com/office/drawing/2014/main" id="{37809F46-ADEF-47D2-BBDD-2D5E8F28F1C0}"/>
            </a:ext>
            <a:ext uri="{147F2762-F138-4A5C-976F-8EAC2B608ADB}">
              <a16:predDERef xmlns:a16="http://schemas.microsoft.com/office/drawing/2014/main" pred="{CD89554D-BD76-42AD-819A-278AD445B86E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514" name="AutoShape 1">
          <a:extLst>
            <a:ext uri="{FF2B5EF4-FFF2-40B4-BE49-F238E27FC236}">
              <a16:creationId xmlns:a16="http://schemas.microsoft.com/office/drawing/2014/main" id="{472DCBF3-13DF-42C6-9217-8B14F996C65D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515" name="AutoShape 1">
          <a:extLst>
            <a:ext uri="{FF2B5EF4-FFF2-40B4-BE49-F238E27FC236}">
              <a16:creationId xmlns:a16="http://schemas.microsoft.com/office/drawing/2014/main" id="{6BE2F685-83AE-47D3-94E1-2B8269A760AE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516" name="AutoShape 1">
          <a:extLst>
            <a:ext uri="{FF2B5EF4-FFF2-40B4-BE49-F238E27FC236}">
              <a16:creationId xmlns:a16="http://schemas.microsoft.com/office/drawing/2014/main" id="{DCC283D9-972B-48A7-8486-10AED1144B97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517" name="AutoShape 1">
          <a:extLst>
            <a:ext uri="{FF2B5EF4-FFF2-40B4-BE49-F238E27FC236}">
              <a16:creationId xmlns:a16="http://schemas.microsoft.com/office/drawing/2014/main" id="{78F5596D-AAFB-41CD-AE04-C7797409E296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518" name="AutoShape 1">
          <a:extLst>
            <a:ext uri="{FF2B5EF4-FFF2-40B4-BE49-F238E27FC236}">
              <a16:creationId xmlns:a16="http://schemas.microsoft.com/office/drawing/2014/main" id="{C6BC9631-21DA-49BA-A5A4-2260C771FB6F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519" name="AutoShape 1">
          <a:extLst>
            <a:ext uri="{FF2B5EF4-FFF2-40B4-BE49-F238E27FC236}">
              <a16:creationId xmlns:a16="http://schemas.microsoft.com/office/drawing/2014/main" id="{2F93B422-1B6C-43F0-A9EF-8E25738FF72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520" name="AutoShape 1">
          <a:extLst>
            <a:ext uri="{FF2B5EF4-FFF2-40B4-BE49-F238E27FC236}">
              <a16:creationId xmlns:a16="http://schemas.microsoft.com/office/drawing/2014/main" id="{863B58D0-3C9C-4D4E-A60D-AC168BABC59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521" name="AutoShape 1">
          <a:extLst>
            <a:ext uri="{FF2B5EF4-FFF2-40B4-BE49-F238E27FC236}">
              <a16:creationId xmlns:a16="http://schemas.microsoft.com/office/drawing/2014/main" id="{D7B0CCED-9436-484D-A2F3-9B83C0D63EC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522" name="AutoShape 1">
          <a:extLst>
            <a:ext uri="{FF2B5EF4-FFF2-40B4-BE49-F238E27FC236}">
              <a16:creationId xmlns:a16="http://schemas.microsoft.com/office/drawing/2014/main" id="{FF084700-C513-48BE-A5CE-C08125558EFA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523" name="AutoShape 1">
          <a:extLst>
            <a:ext uri="{FF2B5EF4-FFF2-40B4-BE49-F238E27FC236}">
              <a16:creationId xmlns:a16="http://schemas.microsoft.com/office/drawing/2014/main" id="{5FF5033E-4D6E-4930-89DC-40D2255C821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524" name="AutoShape 1">
          <a:extLst>
            <a:ext uri="{FF2B5EF4-FFF2-40B4-BE49-F238E27FC236}">
              <a16:creationId xmlns:a16="http://schemas.microsoft.com/office/drawing/2014/main" id="{9516A2CA-4C73-4DF6-A965-B1410AE400AC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525" name="AutoShape 1">
          <a:extLst>
            <a:ext uri="{FF2B5EF4-FFF2-40B4-BE49-F238E27FC236}">
              <a16:creationId xmlns:a16="http://schemas.microsoft.com/office/drawing/2014/main" id="{1C4B8283-9A24-4931-9BDA-D88FC681F307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526" name="AutoShape 1">
          <a:extLst>
            <a:ext uri="{FF2B5EF4-FFF2-40B4-BE49-F238E27FC236}">
              <a16:creationId xmlns:a16="http://schemas.microsoft.com/office/drawing/2014/main" id="{5A072F05-5103-4657-BAE6-0546574A7E24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527" name="AutoShape 1">
          <a:extLst>
            <a:ext uri="{FF2B5EF4-FFF2-40B4-BE49-F238E27FC236}">
              <a16:creationId xmlns:a16="http://schemas.microsoft.com/office/drawing/2014/main" id="{6937DA16-78DA-4048-B30E-7D7F49BDC42B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528" name="AutoShape 1">
          <a:extLst>
            <a:ext uri="{FF2B5EF4-FFF2-40B4-BE49-F238E27FC236}">
              <a16:creationId xmlns:a16="http://schemas.microsoft.com/office/drawing/2014/main" id="{09AA2772-4284-4638-A807-1345AA553D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529" name="AutoShape 1">
          <a:extLst>
            <a:ext uri="{FF2B5EF4-FFF2-40B4-BE49-F238E27FC236}">
              <a16:creationId xmlns:a16="http://schemas.microsoft.com/office/drawing/2014/main" id="{E8FF117E-B3FA-4225-B952-001A3354CBED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530" name="AutoShape 1">
          <a:extLst>
            <a:ext uri="{FF2B5EF4-FFF2-40B4-BE49-F238E27FC236}">
              <a16:creationId xmlns:a16="http://schemas.microsoft.com/office/drawing/2014/main" id="{45949F7E-BA90-402F-B23D-4A8F27B4CD7C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531" name="AutoShape 1">
          <a:extLst>
            <a:ext uri="{FF2B5EF4-FFF2-40B4-BE49-F238E27FC236}">
              <a16:creationId xmlns:a16="http://schemas.microsoft.com/office/drawing/2014/main" id="{BEBE189E-20F5-4F74-AE13-AE8B21FD66EF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532" name="AutoShape 1">
          <a:extLst>
            <a:ext uri="{FF2B5EF4-FFF2-40B4-BE49-F238E27FC236}">
              <a16:creationId xmlns:a16="http://schemas.microsoft.com/office/drawing/2014/main" id="{ACA1AD30-C9DE-4984-8251-AB1DF08661C9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533" name="AutoShape 1">
          <a:extLst>
            <a:ext uri="{FF2B5EF4-FFF2-40B4-BE49-F238E27FC236}">
              <a16:creationId xmlns:a16="http://schemas.microsoft.com/office/drawing/2014/main" id="{7A9756A2-A220-480C-A547-3D9816209724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534" name="AutoShape 1">
          <a:extLst>
            <a:ext uri="{FF2B5EF4-FFF2-40B4-BE49-F238E27FC236}">
              <a16:creationId xmlns:a16="http://schemas.microsoft.com/office/drawing/2014/main" id="{4FBDC92B-FC48-46F3-8962-60EFAC968807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535" name="AutoShape 1">
          <a:extLst>
            <a:ext uri="{FF2B5EF4-FFF2-40B4-BE49-F238E27FC236}">
              <a16:creationId xmlns:a16="http://schemas.microsoft.com/office/drawing/2014/main" id="{8F0B3390-41E0-4359-A925-C461B1A3B66C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536" name="AutoShape 1">
          <a:extLst>
            <a:ext uri="{FF2B5EF4-FFF2-40B4-BE49-F238E27FC236}">
              <a16:creationId xmlns:a16="http://schemas.microsoft.com/office/drawing/2014/main" id="{CBC12FC0-8D3D-488B-88C5-66802C10C8C0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537" name="AutoShape 1">
          <a:extLst>
            <a:ext uri="{FF2B5EF4-FFF2-40B4-BE49-F238E27FC236}">
              <a16:creationId xmlns:a16="http://schemas.microsoft.com/office/drawing/2014/main" id="{F0D3D389-6DB6-4820-8026-C395C701E656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538" name="AutoShape 1">
          <a:extLst>
            <a:ext uri="{FF2B5EF4-FFF2-40B4-BE49-F238E27FC236}">
              <a16:creationId xmlns:a16="http://schemas.microsoft.com/office/drawing/2014/main" id="{5AA32A89-C7A9-42BA-AF5E-2ED6992BB091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539" name="AutoShape 1">
          <a:extLst>
            <a:ext uri="{FF2B5EF4-FFF2-40B4-BE49-F238E27FC236}">
              <a16:creationId xmlns:a16="http://schemas.microsoft.com/office/drawing/2014/main" id="{3183A831-9BC0-4F10-AE65-E1D5EED0DEB7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540" name="AutoShape 1">
          <a:extLst>
            <a:ext uri="{FF2B5EF4-FFF2-40B4-BE49-F238E27FC236}">
              <a16:creationId xmlns:a16="http://schemas.microsoft.com/office/drawing/2014/main" id="{B2129B0F-81D3-435A-8C8F-CE8304CDCFE3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541" name="AutoShape 1">
          <a:extLst>
            <a:ext uri="{FF2B5EF4-FFF2-40B4-BE49-F238E27FC236}">
              <a16:creationId xmlns:a16="http://schemas.microsoft.com/office/drawing/2014/main" id="{5BDDFCFD-4612-43C7-A9A7-EF5CF30EDD26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542" name="AutoShape 1">
          <a:extLst>
            <a:ext uri="{FF2B5EF4-FFF2-40B4-BE49-F238E27FC236}">
              <a16:creationId xmlns:a16="http://schemas.microsoft.com/office/drawing/2014/main" id="{07DA3E79-A529-41ED-B554-7FE72408D6A8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543" name="AutoShape 1">
          <a:extLst>
            <a:ext uri="{FF2B5EF4-FFF2-40B4-BE49-F238E27FC236}">
              <a16:creationId xmlns:a16="http://schemas.microsoft.com/office/drawing/2014/main" id="{5B99F182-AEAC-41E6-8E99-15B78C0F3487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544" name="AutoShape 1">
          <a:extLst>
            <a:ext uri="{FF2B5EF4-FFF2-40B4-BE49-F238E27FC236}">
              <a16:creationId xmlns:a16="http://schemas.microsoft.com/office/drawing/2014/main" id="{6DFCCA72-F615-4BD2-96F7-BC5E95A1B577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545" name="AutoShape 1">
          <a:extLst>
            <a:ext uri="{FF2B5EF4-FFF2-40B4-BE49-F238E27FC236}">
              <a16:creationId xmlns:a16="http://schemas.microsoft.com/office/drawing/2014/main" id="{7E638072-206C-449A-B069-FBE5A0F05D86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546" name="AutoShape 1">
          <a:extLst>
            <a:ext uri="{FF2B5EF4-FFF2-40B4-BE49-F238E27FC236}">
              <a16:creationId xmlns:a16="http://schemas.microsoft.com/office/drawing/2014/main" id="{77D0D630-271F-47C2-808D-69B131366073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547" name="AutoShape 1">
          <a:extLst>
            <a:ext uri="{FF2B5EF4-FFF2-40B4-BE49-F238E27FC236}">
              <a16:creationId xmlns:a16="http://schemas.microsoft.com/office/drawing/2014/main" id="{D9E061F6-E2D7-42FC-809F-94D89789EAD6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548" name="AutoShape 1">
          <a:extLst>
            <a:ext uri="{FF2B5EF4-FFF2-40B4-BE49-F238E27FC236}">
              <a16:creationId xmlns:a16="http://schemas.microsoft.com/office/drawing/2014/main" id="{A1A1E527-9CA2-4396-998A-4F0DC3DE3053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549" name="AutoShape 1">
          <a:extLst>
            <a:ext uri="{FF2B5EF4-FFF2-40B4-BE49-F238E27FC236}">
              <a16:creationId xmlns:a16="http://schemas.microsoft.com/office/drawing/2014/main" id="{A63926B1-F984-4C13-B98D-9D3577814F00}"/>
            </a:ext>
            <a:ext uri="{147F2762-F138-4A5C-976F-8EAC2B608ADB}">
              <a16:predDERef xmlns:a16="http://schemas.microsoft.com/office/drawing/2014/main" pred="{A9C9C4DB-4B97-447C-9099-E87BCB3C537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550" name="AutoShape 1">
          <a:extLst>
            <a:ext uri="{FF2B5EF4-FFF2-40B4-BE49-F238E27FC236}">
              <a16:creationId xmlns:a16="http://schemas.microsoft.com/office/drawing/2014/main" id="{ED52E210-8206-477E-8B5E-87FA6157D5AC}"/>
            </a:ext>
            <a:ext uri="{147F2762-F138-4A5C-976F-8EAC2B608ADB}">
              <a16:predDERef xmlns:a16="http://schemas.microsoft.com/office/drawing/2014/main" pred="{CD89554D-BD76-42AD-819A-278AD445B86E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551" name="AutoShape 1">
          <a:extLst>
            <a:ext uri="{FF2B5EF4-FFF2-40B4-BE49-F238E27FC236}">
              <a16:creationId xmlns:a16="http://schemas.microsoft.com/office/drawing/2014/main" id="{1BA00561-FD9A-48AD-B6C6-EAB7D3050501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552" name="AutoShape 1">
          <a:extLst>
            <a:ext uri="{FF2B5EF4-FFF2-40B4-BE49-F238E27FC236}">
              <a16:creationId xmlns:a16="http://schemas.microsoft.com/office/drawing/2014/main" id="{1854CFB5-0742-4ADC-BBC0-576B3CBB9E7A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553" name="AutoShape 1">
          <a:extLst>
            <a:ext uri="{FF2B5EF4-FFF2-40B4-BE49-F238E27FC236}">
              <a16:creationId xmlns:a16="http://schemas.microsoft.com/office/drawing/2014/main" id="{03251825-21A4-4424-98A5-D19C0643C694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554" name="AutoShape 1">
          <a:extLst>
            <a:ext uri="{FF2B5EF4-FFF2-40B4-BE49-F238E27FC236}">
              <a16:creationId xmlns:a16="http://schemas.microsoft.com/office/drawing/2014/main" id="{6E5BEC92-EE93-4BA7-A65B-52AE0C3513A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555" name="AutoShape 1">
          <a:extLst>
            <a:ext uri="{FF2B5EF4-FFF2-40B4-BE49-F238E27FC236}">
              <a16:creationId xmlns:a16="http://schemas.microsoft.com/office/drawing/2014/main" id="{2694041D-4A9F-4C58-A18C-E267AD165619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556" name="AutoShape 1">
          <a:extLst>
            <a:ext uri="{FF2B5EF4-FFF2-40B4-BE49-F238E27FC236}">
              <a16:creationId xmlns:a16="http://schemas.microsoft.com/office/drawing/2014/main" id="{88605FF5-A65F-4C83-A2C3-06C9431D221C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557" name="AutoShape 1">
          <a:extLst>
            <a:ext uri="{FF2B5EF4-FFF2-40B4-BE49-F238E27FC236}">
              <a16:creationId xmlns:a16="http://schemas.microsoft.com/office/drawing/2014/main" id="{CBB58CD4-12BE-42EB-A9A0-05BF4A7C5E5F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558" name="AutoShape 1">
          <a:extLst>
            <a:ext uri="{FF2B5EF4-FFF2-40B4-BE49-F238E27FC236}">
              <a16:creationId xmlns:a16="http://schemas.microsoft.com/office/drawing/2014/main" id="{C198E438-16B0-4CF7-AB35-038C0A2E7816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559" name="AutoShape 1">
          <a:extLst>
            <a:ext uri="{FF2B5EF4-FFF2-40B4-BE49-F238E27FC236}">
              <a16:creationId xmlns:a16="http://schemas.microsoft.com/office/drawing/2014/main" id="{3192F983-C6FA-4395-B2DD-12D6987F2CCC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560" name="AutoShape 1">
          <a:extLst>
            <a:ext uri="{FF2B5EF4-FFF2-40B4-BE49-F238E27FC236}">
              <a16:creationId xmlns:a16="http://schemas.microsoft.com/office/drawing/2014/main" id="{6AF00042-63F0-4ED4-AF23-660B307AE92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561" name="AutoShape 1">
          <a:extLst>
            <a:ext uri="{FF2B5EF4-FFF2-40B4-BE49-F238E27FC236}">
              <a16:creationId xmlns:a16="http://schemas.microsoft.com/office/drawing/2014/main" id="{BF237F61-CAC3-4CD7-9D68-9F1C397C3ED3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562" name="AutoShape 1">
          <a:extLst>
            <a:ext uri="{FF2B5EF4-FFF2-40B4-BE49-F238E27FC236}">
              <a16:creationId xmlns:a16="http://schemas.microsoft.com/office/drawing/2014/main" id="{E6DABA15-635F-4737-A898-82A141B23D26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563" name="AutoShape 1">
          <a:extLst>
            <a:ext uri="{FF2B5EF4-FFF2-40B4-BE49-F238E27FC236}">
              <a16:creationId xmlns:a16="http://schemas.microsoft.com/office/drawing/2014/main" id="{9BBFCEF9-2285-4696-85C6-2E6C00B13DF9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564" name="AutoShape 1">
          <a:extLst>
            <a:ext uri="{FF2B5EF4-FFF2-40B4-BE49-F238E27FC236}">
              <a16:creationId xmlns:a16="http://schemas.microsoft.com/office/drawing/2014/main" id="{F5D2DE83-1455-45B2-AC28-4D7D245E69DB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565" name="AutoShape 1">
          <a:extLst>
            <a:ext uri="{FF2B5EF4-FFF2-40B4-BE49-F238E27FC236}">
              <a16:creationId xmlns:a16="http://schemas.microsoft.com/office/drawing/2014/main" id="{B9E0AD04-08E9-421E-BDD5-0B8294863786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566" name="AutoShape 1">
          <a:extLst>
            <a:ext uri="{FF2B5EF4-FFF2-40B4-BE49-F238E27FC236}">
              <a16:creationId xmlns:a16="http://schemas.microsoft.com/office/drawing/2014/main" id="{2EA5CA31-C622-414F-B4E5-3D78A98F270E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567" name="AutoShape 1">
          <a:extLst>
            <a:ext uri="{FF2B5EF4-FFF2-40B4-BE49-F238E27FC236}">
              <a16:creationId xmlns:a16="http://schemas.microsoft.com/office/drawing/2014/main" id="{BEB2A854-6F09-45C7-A9C9-9967F0C47FBB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568" name="AutoShape 1">
          <a:extLst>
            <a:ext uri="{FF2B5EF4-FFF2-40B4-BE49-F238E27FC236}">
              <a16:creationId xmlns:a16="http://schemas.microsoft.com/office/drawing/2014/main" id="{190AE901-9CF3-40E4-A468-B56C56C60CE8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569" name="AutoShape 1">
          <a:extLst>
            <a:ext uri="{FF2B5EF4-FFF2-40B4-BE49-F238E27FC236}">
              <a16:creationId xmlns:a16="http://schemas.microsoft.com/office/drawing/2014/main" id="{716CC98D-69C1-4A37-9C3B-13FB575149C3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570" name="AutoShape 1">
          <a:extLst>
            <a:ext uri="{FF2B5EF4-FFF2-40B4-BE49-F238E27FC236}">
              <a16:creationId xmlns:a16="http://schemas.microsoft.com/office/drawing/2014/main" id="{B6CECDB2-CFB9-447B-BF60-1D50DD205740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571" name="AutoShape 1">
          <a:extLst>
            <a:ext uri="{FF2B5EF4-FFF2-40B4-BE49-F238E27FC236}">
              <a16:creationId xmlns:a16="http://schemas.microsoft.com/office/drawing/2014/main" id="{8328A86D-A4B5-4DF1-B0D9-45BEEABCDD6B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572" name="AutoShape 1">
          <a:extLst>
            <a:ext uri="{FF2B5EF4-FFF2-40B4-BE49-F238E27FC236}">
              <a16:creationId xmlns:a16="http://schemas.microsoft.com/office/drawing/2014/main" id="{661CD4C2-B2FA-4862-87FD-A2A284564A71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573" name="AutoShape 1">
          <a:extLst>
            <a:ext uri="{FF2B5EF4-FFF2-40B4-BE49-F238E27FC236}">
              <a16:creationId xmlns:a16="http://schemas.microsoft.com/office/drawing/2014/main" id="{BCFA050C-EBE7-442E-9A53-6C45BFE5200D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574" name="AutoShape 1">
          <a:extLst>
            <a:ext uri="{FF2B5EF4-FFF2-40B4-BE49-F238E27FC236}">
              <a16:creationId xmlns:a16="http://schemas.microsoft.com/office/drawing/2014/main" id="{3ECDB04A-3FA7-48A4-82BE-725E23103CA7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575" name="AutoShape 1">
          <a:extLst>
            <a:ext uri="{FF2B5EF4-FFF2-40B4-BE49-F238E27FC236}">
              <a16:creationId xmlns:a16="http://schemas.microsoft.com/office/drawing/2014/main" id="{F15921EC-08AF-4342-9CBE-96443D4CC753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576" name="AutoShape 1">
          <a:extLst>
            <a:ext uri="{FF2B5EF4-FFF2-40B4-BE49-F238E27FC236}">
              <a16:creationId xmlns:a16="http://schemas.microsoft.com/office/drawing/2014/main" id="{F10CA2B0-0CCD-45B1-AE63-3470C4B4A2BA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577" name="AutoShape 1">
          <a:extLst>
            <a:ext uri="{FF2B5EF4-FFF2-40B4-BE49-F238E27FC236}">
              <a16:creationId xmlns:a16="http://schemas.microsoft.com/office/drawing/2014/main" id="{4421F40F-DE6E-44BC-A97A-3B62FE89CDD6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578" name="AutoShape 1">
          <a:extLst>
            <a:ext uri="{FF2B5EF4-FFF2-40B4-BE49-F238E27FC236}">
              <a16:creationId xmlns:a16="http://schemas.microsoft.com/office/drawing/2014/main" id="{4B40AA13-2363-4A08-BB31-67D554199A52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579" name="AutoShape 1">
          <a:extLst>
            <a:ext uri="{FF2B5EF4-FFF2-40B4-BE49-F238E27FC236}">
              <a16:creationId xmlns:a16="http://schemas.microsoft.com/office/drawing/2014/main" id="{3F37AF70-4A2B-4DE2-94F5-8F4829A3DB32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580" name="AutoShape 1">
          <a:extLst>
            <a:ext uri="{FF2B5EF4-FFF2-40B4-BE49-F238E27FC236}">
              <a16:creationId xmlns:a16="http://schemas.microsoft.com/office/drawing/2014/main" id="{577DAD8F-1B7E-45DF-833E-D239DD6B3903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581" name="AutoShape 1">
          <a:extLst>
            <a:ext uri="{FF2B5EF4-FFF2-40B4-BE49-F238E27FC236}">
              <a16:creationId xmlns:a16="http://schemas.microsoft.com/office/drawing/2014/main" id="{A091CBE5-1EE2-410F-B54E-8CCA67EA32AF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582" name="AutoShape 1">
          <a:extLst>
            <a:ext uri="{FF2B5EF4-FFF2-40B4-BE49-F238E27FC236}">
              <a16:creationId xmlns:a16="http://schemas.microsoft.com/office/drawing/2014/main" id="{EAF1A074-FF55-4CF8-8A96-43427949A851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583" name="AutoShape 1">
          <a:extLst>
            <a:ext uri="{FF2B5EF4-FFF2-40B4-BE49-F238E27FC236}">
              <a16:creationId xmlns:a16="http://schemas.microsoft.com/office/drawing/2014/main" id="{9477FE41-B2DC-4BC2-B073-31269ED0325E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584" name="AutoShape 1">
          <a:extLst>
            <a:ext uri="{FF2B5EF4-FFF2-40B4-BE49-F238E27FC236}">
              <a16:creationId xmlns:a16="http://schemas.microsoft.com/office/drawing/2014/main" id="{23852951-01EB-495F-8C52-883FF9407872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585" name="AutoShape 1">
          <a:extLst>
            <a:ext uri="{FF2B5EF4-FFF2-40B4-BE49-F238E27FC236}">
              <a16:creationId xmlns:a16="http://schemas.microsoft.com/office/drawing/2014/main" id="{ED8876D0-ED47-4721-B861-862FB3C67833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586" name="AutoShape 1">
          <a:extLst>
            <a:ext uri="{FF2B5EF4-FFF2-40B4-BE49-F238E27FC236}">
              <a16:creationId xmlns:a16="http://schemas.microsoft.com/office/drawing/2014/main" id="{DD7569E3-D48E-4E68-AA59-8B6BAA55BAEA}"/>
            </a:ext>
            <a:ext uri="{147F2762-F138-4A5C-976F-8EAC2B608ADB}">
              <a16:predDERef xmlns:a16="http://schemas.microsoft.com/office/drawing/2014/main" pred="{A9C9C4DB-4B97-447C-9099-E87BCB3C537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587" name="AutoShape 1">
          <a:extLst>
            <a:ext uri="{FF2B5EF4-FFF2-40B4-BE49-F238E27FC236}">
              <a16:creationId xmlns:a16="http://schemas.microsoft.com/office/drawing/2014/main" id="{3E401128-94A2-4EF9-803A-A952564D0541}"/>
            </a:ext>
            <a:ext uri="{147F2762-F138-4A5C-976F-8EAC2B608ADB}">
              <a16:predDERef xmlns:a16="http://schemas.microsoft.com/office/drawing/2014/main" pred="{CD89554D-BD76-42AD-819A-278AD445B86E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588" name="AutoShape 1">
          <a:extLst>
            <a:ext uri="{FF2B5EF4-FFF2-40B4-BE49-F238E27FC236}">
              <a16:creationId xmlns:a16="http://schemas.microsoft.com/office/drawing/2014/main" id="{B4E81EE3-A407-4F82-9CDA-EA3357DF85D6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589" name="AutoShape 1">
          <a:extLst>
            <a:ext uri="{FF2B5EF4-FFF2-40B4-BE49-F238E27FC236}">
              <a16:creationId xmlns:a16="http://schemas.microsoft.com/office/drawing/2014/main" id="{E86BCAA9-659C-434A-85B5-737E5F667AAD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590" name="AutoShape 1">
          <a:extLst>
            <a:ext uri="{FF2B5EF4-FFF2-40B4-BE49-F238E27FC236}">
              <a16:creationId xmlns:a16="http://schemas.microsoft.com/office/drawing/2014/main" id="{5CC514A6-7DA1-4093-9430-CF7B530EF177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591" name="AutoShape 1">
          <a:extLst>
            <a:ext uri="{FF2B5EF4-FFF2-40B4-BE49-F238E27FC236}">
              <a16:creationId xmlns:a16="http://schemas.microsoft.com/office/drawing/2014/main" id="{73011452-CA74-4AE3-B797-0DE0853BC09E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592" name="AutoShape 1">
          <a:extLst>
            <a:ext uri="{FF2B5EF4-FFF2-40B4-BE49-F238E27FC236}">
              <a16:creationId xmlns:a16="http://schemas.microsoft.com/office/drawing/2014/main" id="{50AF4541-48A6-4FA4-BB93-0857A9C6C706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593" name="AutoShape 1">
          <a:extLst>
            <a:ext uri="{FF2B5EF4-FFF2-40B4-BE49-F238E27FC236}">
              <a16:creationId xmlns:a16="http://schemas.microsoft.com/office/drawing/2014/main" id="{EEBF2544-8863-496F-AFA3-2F68BC1CD386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594" name="AutoShape 1">
          <a:extLst>
            <a:ext uri="{FF2B5EF4-FFF2-40B4-BE49-F238E27FC236}">
              <a16:creationId xmlns:a16="http://schemas.microsoft.com/office/drawing/2014/main" id="{974E16C4-D41F-42A2-BA6A-5FD90FF35F7C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595" name="AutoShape 1">
          <a:extLst>
            <a:ext uri="{FF2B5EF4-FFF2-40B4-BE49-F238E27FC236}">
              <a16:creationId xmlns:a16="http://schemas.microsoft.com/office/drawing/2014/main" id="{00895696-FB6D-4EB0-922E-3BD5989A071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596" name="AutoShape 1">
          <a:extLst>
            <a:ext uri="{FF2B5EF4-FFF2-40B4-BE49-F238E27FC236}">
              <a16:creationId xmlns:a16="http://schemas.microsoft.com/office/drawing/2014/main" id="{99CAD2C2-43FF-4B1A-8BE9-798B5B2B47A3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597" name="AutoShape 1">
          <a:extLst>
            <a:ext uri="{FF2B5EF4-FFF2-40B4-BE49-F238E27FC236}">
              <a16:creationId xmlns:a16="http://schemas.microsoft.com/office/drawing/2014/main" id="{66577322-60F0-4FF3-B646-B2D3DC54449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598" name="AutoShape 1">
          <a:extLst>
            <a:ext uri="{FF2B5EF4-FFF2-40B4-BE49-F238E27FC236}">
              <a16:creationId xmlns:a16="http://schemas.microsoft.com/office/drawing/2014/main" id="{7740148D-69BE-4B98-AAAB-353D5BB62A09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599" name="AutoShape 1">
          <a:extLst>
            <a:ext uri="{FF2B5EF4-FFF2-40B4-BE49-F238E27FC236}">
              <a16:creationId xmlns:a16="http://schemas.microsoft.com/office/drawing/2014/main" id="{149B6284-5495-4B8C-AA5C-DDE4AEE0FE0C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600" name="AutoShape 1">
          <a:extLst>
            <a:ext uri="{FF2B5EF4-FFF2-40B4-BE49-F238E27FC236}">
              <a16:creationId xmlns:a16="http://schemas.microsoft.com/office/drawing/2014/main" id="{4F16C4A3-1030-433F-8BAF-134B7A743A5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601" name="AutoShape 1">
          <a:extLst>
            <a:ext uri="{FF2B5EF4-FFF2-40B4-BE49-F238E27FC236}">
              <a16:creationId xmlns:a16="http://schemas.microsoft.com/office/drawing/2014/main" id="{0B5AD033-BBA9-4C94-80E5-C4CFF764A211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602" name="AutoShape 1">
          <a:extLst>
            <a:ext uri="{FF2B5EF4-FFF2-40B4-BE49-F238E27FC236}">
              <a16:creationId xmlns:a16="http://schemas.microsoft.com/office/drawing/2014/main" id="{0F74CA84-7211-470E-947A-A391532E1FF4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603" name="AutoShape 1">
          <a:extLst>
            <a:ext uri="{FF2B5EF4-FFF2-40B4-BE49-F238E27FC236}">
              <a16:creationId xmlns:a16="http://schemas.microsoft.com/office/drawing/2014/main" id="{902D155B-CC4D-45EE-96FD-4D9AAA18DD86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604" name="AutoShape 1">
          <a:extLst>
            <a:ext uri="{FF2B5EF4-FFF2-40B4-BE49-F238E27FC236}">
              <a16:creationId xmlns:a16="http://schemas.microsoft.com/office/drawing/2014/main" id="{F5BBA237-A853-4020-81EF-BA575B8B76CB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605" name="AutoShape 1">
          <a:extLst>
            <a:ext uri="{FF2B5EF4-FFF2-40B4-BE49-F238E27FC236}">
              <a16:creationId xmlns:a16="http://schemas.microsoft.com/office/drawing/2014/main" id="{5221B6C4-4F62-4781-BA02-6E375FA20A0E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606" name="AutoShape 1">
          <a:extLst>
            <a:ext uri="{FF2B5EF4-FFF2-40B4-BE49-F238E27FC236}">
              <a16:creationId xmlns:a16="http://schemas.microsoft.com/office/drawing/2014/main" id="{8DE82AD7-543A-4627-AEED-FF4B21FA38EC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607" name="AutoShape 1">
          <a:extLst>
            <a:ext uri="{FF2B5EF4-FFF2-40B4-BE49-F238E27FC236}">
              <a16:creationId xmlns:a16="http://schemas.microsoft.com/office/drawing/2014/main" id="{13C3FA71-6187-45D3-8C5C-DA0D68E2E0D1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608" name="AutoShape 1">
          <a:extLst>
            <a:ext uri="{FF2B5EF4-FFF2-40B4-BE49-F238E27FC236}">
              <a16:creationId xmlns:a16="http://schemas.microsoft.com/office/drawing/2014/main" id="{AD784FD1-520B-4965-8D01-079D0380AA12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609" name="AutoShape 1">
          <a:extLst>
            <a:ext uri="{FF2B5EF4-FFF2-40B4-BE49-F238E27FC236}">
              <a16:creationId xmlns:a16="http://schemas.microsoft.com/office/drawing/2014/main" id="{A25C91EB-0C09-4B44-8793-09F3FFFAC5B5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610" name="AutoShape 1">
          <a:extLst>
            <a:ext uri="{FF2B5EF4-FFF2-40B4-BE49-F238E27FC236}">
              <a16:creationId xmlns:a16="http://schemas.microsoft.com/office/drawing/2014/main" id="{E1A7134D-8170-4AA0-B671-5D6E2688AAEA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611" name="AutoShape 1">
          <a:extLst>
            <a:ext uri="{FF2B5EF4-FFF2-40B4-BE49-F238E27FC236}">
              <a16:creationId xmlns:a16="http://schemas.microsoft.com/office/drawing/2014/main" id="{7DACD09B-7D1F-4019-959C-5EEBAC3DF319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612" name="AutoShape 1">
          <a:extLst>
            <a:ext uri="{FF2B5EF4-FFF2-40B4-BE49-F238E27FC236}">
              <a16:creationId xmlns:a16="http://schemas.microsoft.com/office/drawing/2014/main" id="{A1D40A18-2F3F-4BAD-88BE-C505AFD10BF3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613" name="AutoShape 1">
          <a:extLst>
            <a:ext uri="{FF2B5EF4-FFF2-40B4-BE49-F238E27FC236}">
              <a16:creationId xmlns:a16="http://schemas.microsoft.com/office/drawing/2014/main" id="{58170FAD-9779-41D8-925A-2CD629A7EBA7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614" name="AutoShape 1">
          <a:extLst>
            <a:ext uri="{FF2B5EF4-FFF2-40B4-BE49-F238E27FC236}">
              <a16:creationId xmlns:a16="http://schemas.microsoft.com/office/drawing/2014/main" id="{77A21696-AEFB-4536-9EDF-0F22E8A619BC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615" name="AutoShape 1">
          <a:extLst>
            <a:ext uri="{FF2B5EF4-FFF2-40B4-BE49-F238E27FC236}">
              <a16:creationId xmlns:a16="http://schemas.microsoft.com/office/drawing/2014/main" id="{7C03FC2A-62DF-4BC3-9958-68B52770897D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616" name="AutoShape 1">
          <a:extLst>
            <a:ext uri="{FF2B5EF4-FFF2-40B4-BE49-F238E27FC236}">
              <a16:creationId xmlns:a16="http://schemas.microsoft.com/office/drawing/2014/main" id="{74525FEB-4BE5-4975-8F4B-6AFB2E052769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617" name="AutoShape 1">
          <a:extLst>
            <a:ext uri="{FF2B5EF4-FFF2-40B4-BE49-F238E27FC236}">
              <a16:creationId xmlns:a16="http://schemas.microsoft.com/office/drawing/2014/main" id="{2003A63E-3A37-4843-8E73-A6AD42124714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618" name="AutoShape 1">
          <a:extLst>
            <a:ext uri="{FF2B5EF4-FFF2-40B4-BE49-F238E27FC236}">
              <a16:creationId xmlns:a16="http://schemas.microsoft.com/office/drawing/2014/main" id="{8A88C60C-861C-4E68-AE78-6FC09D390F67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619" name="AutoShape 1">
          <a:extLst>
            <a:ext uri="{FF2B5EF4-FFF2-40B4-BE49-F238E27FC236}">
              <a16:creationId xmlns:a16="http://schemas.microsoft.com/office/drawing/2014/main" id="{3476636E-F59B-41A2-A900-089934E77740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620" name="AutoShape 1">
          <a:extLst>
            <a:ext uri="{FF2B5EF4-FFF2-40B4-BE49-F238E27FC236}">
              <a16:creationId xmlns:a16="http://schemas.microsoft.com/office/drawing/2014/main" id="{79348ECD-D136-452E-ADA7-0DF9083CD43E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621" name="AutoShape 1">
          <a:extLst>
            <a:ext uri="{FF2B5EF4-FFF2-40B4-BE49-F238E27FC236}">
              <a16:creationId xmlns:a16="http://schemas.microsoft.com/office/drawing/2014/main" id="{E529E856-558A-4655-A03B-123DC234E6A3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622" name="AutoShape 1">
          <a:extLst>
            <a:ext uri="{FF2B5EF4-FFF2-40B4-BE49-F238E27FC236}">
              <a16:creationId xmlns:a16="http://schemas.microsoft.com/office/drawing/2014/main" id="{E971D80C-2862-4CC8-AFB8-D7E5B513957E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623" name="AutoShape 1">
          <a:extLst>
            <a:ext uri="{FF2B5EF4-FFF2-40B4-BE49-F238E27FC236}">
              <a16:creationId xmlns:a16="http://schemas.microsoft.com/office/drawing/2014/main" id="{546B0AED-55E9-41A5-BF0F-1C223BADBEC5}"/>
            </a:ext>
            <a:ext uri="{147F2762-F138-4A5C-976F-8EAC2B608ADB}">
              <a16:predDERef xmlns:a16="http://schemas.microsoft.com/office/drawing/2014/main" pred="{A9C9C4DB-4B97-447C-9099-E87BCB3C537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624" name="AutoShape 1">
          <a:extLst>
            <a:ext uri="{FF2B5EF4-FFF2-40B4-BE49-F238E27FC236}">
              <a16:creationId xmlns:a16="http://schemas.microsoft.com/office/drawing/2014/main" id="{1C4A9E47-E6EB-450E-A797-6BA5E943F4B9}"/>
            </a:ext>
            <a:ext uri="{147F2762-F138-4A5C-976F-8EAC2B608ADB}">
              <a16:predDERef xmlns:a16="http://schemas.microsoft.com/office/drawing/2014/main" pred="{CD89554D-BD76-42AD-819A-278AD445B86E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625" name="AutoShape 1">
          <a:extLst>
            <a:ext uri="{FF2B5EF4-FFF2-40B4-BE49-F238E27FC236}">
              <a16:creationId xmlns:a16="http://schemas.microsoft.com/office/drawing/2014/main" id="{9925D362-84B8-4342-A20D-7054B9642A9A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626" name="AutoShape 1">
          <a:extLst>
            <a:ext uri="{FF2B5EF4-FFF2-40B4-BE49-F238E27FC236}">
              <a16:creationId xmlns:a16="http://schemas.microsoft.com/office/drawing/2014/main" id="{C47ECA32-68DE-4299-ACE1-A601AC645999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627" name="AutoShape 1">
          <a:extLst>
            <a:ext uri="{FF2B5EF4-FFF2-40B4-BE49-F238E27FC236}">
              <a16:creationId xmlns:a16="http://schemas.microsoft.com/office/drawing/2014/main" id="{193B7A6F-B85E-47A9-A08C-B787C5C06C27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628" name="AutoShape 1">
          <a:extLst>
            <a:ext uri="{FF2B5EF4-FFF2-40B4-BE49-F238E27FC236}">
              <a16:creationId xmlns:a16="http://schemas.microsoft.com/office/drawing/2014/main" id="{059CB87F-3456-46C3-BA7A-D36925C9BFEB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629" name="AutoShape 1">
          <a:extLst>
            <a:ext uri="{FF2B5EF4-FFF2-40B4-BE49-F238E27FC236}">
              <a16:creationId xmlns:a16="http://schemas.microsoft.com/office/drawing/2014/main" id="{463CCFC9-C0F3-48F1-8B7C-46BEFB25EF6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630" name="AutoShape 1">
          <a:extLst>
            <a:ext uri="{FF2B5EF4-FFF2-40B4-BE49-F238E27FC236}">
              <a16:creationId xmlns:a16="http://schemas.microsoft.com/office/drawing/2014/main" id="{B68C88B0-F91D-479D-B16B-BDAB7A5C826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631" name="AutoShape 1">
          <a:extLst>
            <a:ext uri="{FF2B5EF4-FFF2-40B4-BE49-F238E27FC236}">
              <a16:creationId xmlns:a16="http://schemas.microsoft.com/office/drawing/2014/main" id="{202D40D9-0EBA-405C-B8AF-479512ECABF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632" name="AutoShape 1">
          <a:extLst>
            <a:ext uri="{FF2B5EF4-FFF2-40B4-BE49-F238E27FC236}">
              <a16:creationId xmlns:a16="http://schemas.microsoft.com/office/drawing/2014/main" id="{0C35FAEF-B089-4254-874C-7F7E44E90F56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633" name="AutoShape 1">
          <a:extLst>
            <a:ext uri="{FF2B5EF4-FFF2-40B4-BE49-F238E27FC236}">
              <a16:creationId xmlns:a16="http://schemas.microsoft.com/office/drawing/2014/main" id="{76C04E91-E92E-45EB-A68E-440FBD0985D4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634" name="AutoShape 1">
          <a:extLst>
            <a:ext uri="{FF2B5EF4-FFF2-40B4-BE49-F238E27FC236}">
              <a16:creationId xmlns:a16="http://schemas.microsoft.com/office/drawing/2014/main" id="{95F21046-715A-4F6C-8293-8C0B7B41BDAB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635" name="AutoShape 1">
          <a:extLst>
            <a:ext uri="{FF2B5EF4-FFF2-40B4-BE49-F238E27FC236}">
              <a16:creationId xmlns:a16="http://schemas.microsoft.com/office/drawing/2014/main" id="{F103D77F-04B4-487D-9DA7-EDFC6CBFE50A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636" name="AutoShape 1">
          <a:extLst>
            <a:ext uri="{FF2B5EF4-FFF2-40B4-BE49-F238E27FC236}">
              <a16:creationId xmlns:a16="http://schemas.microsoft.com/office/drawing/2014/main" id="{882997F9-4655-4A0B-8363-7E810163E45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637" name="AutoShape 1">
          <a:extLst>
            <a:ext uri="{FF2B5EF4-FFF2-40B4-BE49-F238E27FC236}">
              <a16:creationId xmlns:a16="http://schemas.microsoft.com/office/drawing/2014/main" id="{AFD93A1F-9910-46DE-B7AC-B78D8B07077D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638" name="AutoShape 1">
          <a:extLst>
            <a:ext uri="{FF2B5EF4-FFF2-40B4-BE49-F238E27FC236}">
              <a16:creationId xmlns:a16="http://schemas.microsoft.com/office/drawing/2014/main" id="{B1E0C525-8AEB-4597-BD58-26726E04D51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639" name="AutoShape 1">
          <a:extLst>
            <a:ext uri="{FF2B5EF4-FFF2-40B4-BE49-F238E27FC236}">
              <a16:creationId xmlns:a16="http://schemas.microsoft.com/office/drawing/2014/main" id="{CD55A511-0BED-4AA4-B957-F97BED154771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640" name="AutoShape 1">
          <a:extLst>
            <a:ext uri="{FF2B5EF4-FFF2-40B4-BE49-F238E27FC236}">
              <a16:creationId xmlns:a16="http://schemas.microsoft.com/office/drawing/2014/main" id="{AA9EAD4E-F819-408F-8792-A91C84E8E996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641" name="AutoShape 1">
          <a:extLst>
            <a:ext uri="{FF2B5EF4-FFF2-40B4-BE49-F238E27FC236}">
              <a16:creationId xmlns:a16="http://schemas.microsoft.com/office/drawing/2014/main" id="{ECCBE7E7-BA85-4779-B4FC-E2A6F50F933F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642" name="AutoShape 1">
          <a:extLst>
            <a:ext uri="{FF2B5EF4-FFF2-40B4-BE49-F238E27FC236}">
              <a16:creationId xmlns:a16="http://schemas.microsoft.com/office/drawing/2014/main" id="{32D3DFDA-4674-476E-BCB1-C78588EA8AF7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643" name="AutoShape 1">
          <a:extLst>
            <a:ext uri="{FF2B5EF4-FFF2-40B4-BE49-F238E27FC236}">
              <a16:creationId xmlns:a16="http://schemas.microsoft.com/office/drawing/2014/main" id="{B6F6D457-BC7E-4689-9BF4-5F2169382051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644" name="AutoShape 1">
          <a:extLst>
            <a:ext uri="{FF2B5EF4-FFF2-40B4-BE49-F238E27FC236}">
              <a16:creationId xmlns:a16="http://schemas.microsoft.com/office/drawing/2014/main" id="{A02010FB-E6A4-4DAD-9AC6-CDEBD4550CB4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645" name="AutoShape 1">
          <a:extLst>
            <a:ext uri="{FF2B5EF4-FFF2-40B4-BE49-F238E27FC236}">
              <a16:creationId xmlns:a16="http://schemas.microsoft.com/office/drawing/2014/main" id="{E1CE4EB5-5DB4-4E62-815D-373BF2157D74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646" name="AutoShape 1">
          <a:extLst>
            <a:ext uri="{FF2B5EF4-FFF2-40B4-BE49-F238E27FC236}">
              <a16:creationId xmlns:a16="http://schemas.microsoft.com/office/drawing/2014/main" id="{25A561A4-8F40-412B-BD37-ACB1DA6DCB87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647" name="AutoShape 1">
          <a:extLst>
            <a:ext uri="{FF2B5EF4-FFF2-40B4-BE49-F238E27FC236}">
              <a16:creationId xmlns:a16="http://schemas.microsoft.com/office/drawing/2014/main" id="{0CB70ABB-C2A7-4B07-AA8C-36A8C333B4EA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648" name="AutoShape 1">
          <a:extLst>
            <a:ext uri="{FF2B5EF4-FFF2-40B4-BE49-F238E27FC236}">
              <a16:creationId xmlns:a16="http://schemas.microsoft.com/office/drawing/2014/main" id="{72A0FF30-976D-4724-BB01-4CC3295610BC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649" name="AutoShape 1">
          <a:extLst>
            <a:ext uri="{FF2B5EF4-FFF2-40B4-BE49-F238E27FC236}">
              <a16:creationId xmlns:a16="http://schemas.microsoft.com/office/drawing/2014/main" id="{94F9CD83-8675-470B-B3E3-CD310140835F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650" name="AutoShape 1">
          <a:extLst>
            <a:ext uri="{FF2B5EF4-FFF2-40B4-BE49-F238E27FC236}">
              <a16:creationId xmlns:a16="http://schemas.microsoft.com/office/drawing/2014/main" id="{9507750B-7B68-44C3-B154-1B2AC5BACA11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651" name="AutoShape 1">
          <a:extLst>
            <a:ext uri="{FF2B5EF4-FFF2-40B4-BE49-F238E27FC236}">
              <a16:creationId xmlns:a16="http://schemas.microsoft.com/office/drawing/2014/main" id="{D7FB99B8-B2E4-4CEA-9031-583E4834DEED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652" name="AutoShape 1">
          <a:extLst>
            <a:ext uri="{FF2B5EF4-FFF2-40B4-BE49-F238E27FC236}">
              <a16:creationId xmlns:a16="http://schemas.microsoft.com/office/drawing/2014/main" id="{C14D55E5-DC98-4574-9019-F8D93450DDF7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653" name="AutoShape 1">
          <a:extLst>
            <a:ext uri="{FF2B5EF4-FFF2-40B4-BE49-F238E27FC236}">
              <a16:creationId xmlns:a16="http://schemas.microsoft.com/office/drawing/2014/main" id="{8E7EAC11-46B4-4806-B32C-9E973C93DA5F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654" name="AutoShape 1">
          <a:extLst>
            <a:ext uri="{FF2B5EF4-FFF2-40B4-BE49-F238E27FC236}">
              <a16:creationId xmlns:a16="http://schemas.microsoft.com/office/drawing/2014/main" id="{F235150B-B31B-4E7E-8421-59506D916A5F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655" name="AutoShape 1">
          <a:extLst>
            <a:ext uri="{FF2B5EF4-FFF2-40B4-BE49-F238E27FC236}">
              <a16:creationId xmlns:a16="http://schemas.microsoft.com/office/drawing/2014/main" id="{FD01CCE8-85B6-47AA-AA2A-04CCF6589CEB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656" name="AutoShape 1">
          <a:extLst>
            <a:ext uri="{FF2B5EF4-FFF2-40B4-BE49-F238E27FC236}">
              <a16:creationId xmlns:a16="http://schemas.microsoft.com/office/drawing/2014/main" id="{99EF325A-7E73-4E9B-BE27-CA585C057074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657" name="AutoShape 1">
          <a:extLst>
            <a:ext uri="{FF2B5EF4-FFF2-40B4-BE49-F238E27FC236}">
              <a16:creationId xmlns:a16="http://schemas.microsoft.com/office/drawing/2014/main" id="{B83F3239-9ACD-442F-93B7-FDD54110D042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658" name="AutoShape 1">
          <a:extLst>
            <a:ext uri="{FF2B5EF4-FFF2-40B4-BE49-F238E27FC236}">
              <a16:creationId xmlns:a16="http://schemas.microsoft.com/office/drawing/2014/main" id="{A819BE86-C432-430F-98EA-9AC81569E74C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659" name="AutoShape 1">
          <a:extLst>
            <a:ext uri="{FF2B5EF4-FFF2-40B4-BE49-F238E27FC236}">
              <a16:creationId xmlns:a16="http://schemas.microsoft.com/office/drawing/2014/main" id="{66A8B125-49BE-4D32-8230-C3949D33647E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660" name="AutoShape 1">
          <a:extLst>
            <a:ext uri="{FF2B5EF4-FFF2-40B4-BE49-F238E27FC236}">
              <a16:creationId xmlns:a16="http://schemas.microsoft.com/office/drawing/2014/main" id="{30F4E0E0-692D-409A-BB4D-5ED41F6E8710}"/>
            </a:ext>
            <a:ext uri="{147F2762-F138-4A5C-976F-8EAC2B608ADB}">
              <a16:predDERef xmlns:a16="http://schemas.microsoft.com/office/drawing/2014/main" pred="{A9C9C4DB-4B97-447C-9099-E87BCB3C537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661" name="AutoShape 1">
          <a:extLst>
            <a:ext uri="{FF2B5EF4-FFF2-40B4-BE49-F238E27FC236}">
              <a16:creationId xmlns:a16="http://schemas.microsoft.com/office/drawing/2014/main" id="{0030BE8B-0429-44A0-BB99-C770208FF92E}"/>
            </a:ext>
            <a:ext uri="{147F2762-F138-4A5C-976F-8EAC2B608ADB}">
              <a16:predDERef xmlns:a16="http://schemas.microsoft.com/office/drawing/2014/main" pred="{CD89554D-BD76-42AD-819A-278AD445B86E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662" name="AutoShape 1">
          <a:extLst>
            <a:ext uri="{FF2B5EF4-FFF2-40B4-BE49-F238E27FC236}">
              <a16:creationId xmlns:a16="http://schemas.microsoft.com/office/drawing/2014/main" id="{6D496342-226A-418C-9410-983DF7A0EFC4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663" name="AutoShape 1">
          <a:extLst>
            <a:ext uri="{FF2B5EF4-FFF2-40B4-BE49-F238E27FC236}">
              <a16:creationId xmlns:a16="http://schemas.microsoft.com/office/drawing/2014/main" id="{0F48A239-7F61-4E01-A745-50AD4FABEADF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664" name="AutoShape 1">
          <a:extLst>
            <a:ext uri="{FF2B5EF4-FFF2-40B4-BE49-F238E27FC236}">
              <a16:creationId xmlns:a16="http://schemas.microsoft.com/office/drawing/2014/main" id="{699FB6D7-773C-4EFF-83D1-239ECD312F97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665" name="AutoShape 1">
          <a:extLst>
            <a:ext uri="{FF2B5EF4-FFF2-40B4-BE49-F238E27FC236}">
              <a16:creationId xmlns:a16="http://schemas.microsoft.com/office/drawing/2014/main" id="{A521F05B-24F0-4D32-A1F0-99995423A9FC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666" name="AutoShape 1">
          <a:extLst>
            <a:ext uri="{FF2B5EF4-FFF2-40B4-BE49-F238E27FC236}">
              <a16:creationId xmlns:a16="http://schemas.microsoft.com/office/drawing/2014/main" id="{58717139-07F8-4599-BDE6-91B090C60DD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667" name="AutoShape 1">
          <a:extLst>
            <a:ext uri="{FF2B5EF4-FFF2-40B4-BE49-F238E27FC236}">
              <a16:creationId xmlns:a16="http://schemas.microsoft.com/office/drawing/2014/main" id="{90F0733F-836A-473E-842D-45D12B553FCB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668" name="AutoShape 1">
          <a:extLst>
            <a:ext uri="{FF2B5EF4-FFF2-40B4-BE49-F238E27FC236}">
              <a16:creationId xmlns:a16="http://schemas.microsoft.com/office/drawing/2014/main" id="{3C9A2A20-9CF9-4CA5-BE6B-EB2958F3162E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669" name="AutoShape 1">
          <a:extLst>
            <a:ext uri="{FF2B5EF4-FFF2-40B4-BE49-F238E27FC236}">
              <a16:creationId xmlns:a16="http://schemas.microsoft.com/office/drawing/2014/main" id="{F005D619-867E-4D88-95F7-6A1013F9E4D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670" name="AutoShape 1">
          <a:extLst>
            <a:ext uri="{FF2B5EF4-FFF2-40B4-BE49-F238E27FC236}">
              <a16:creationId xmlns:a16="http://schemas.microsoft.com/office/drawing/2014/main" id="{E50B17BA-F1AB-4B6D-939D-E04A147C4316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671" name="AutoShape 1">
          <a:extLst>
            <a:ext uri="{FF2B5EF4-FFF2-40B4-BE49-F238E27FC236}">
              <a16:creationId xmlns:a16="http://schemas.microsoft.com/office/drawing/2014/main" id="{B545F3E1-B4B9-41D9-8DBE-E606D7BEC3EC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672" name="AutoShape 1">
          <a:extLst>
            <a:ext uri="{FF2B5EF4-FFF2-40B4-BE49-F238E27FC236}">
              <a16:creationId xmlns:a16="http://schemas.microsoft.com/office/drawing/2014/main" id="{F76AEB6A-719B-41B2-90A5-A28275EB772A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673" name="AutoShape 1">
          <a:extLst>
            <a:ext uri="{FF2B5EF4-FFF2-40B4-BE49-F238E27FC236}">
              <a16:creationId xmlns:a16="http://schemas.microsoft.com/office/drawing/2014/main" id="{4F542E81-B4B3-4EDA-ADDD-C495A0C6C74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674" name="AutoShape 1">
          <a:extLst>
            <a:ext uri="{FF2B5EF4-FFF2-40B4-BE49-F238E27FC236}">
              <a16:creationId xmlns:a16="http://schemas.microsoft.com/office/drawing/2014/main" id="{F0711548-8B3D-432A-847F-578F028A5186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675" name="AutoShape 1">
          <a:extLst>
            <a:ext uri="{FF2B5EF4-FFF2-40B4-BE49-F238E27FC236}">
              <a16:creationId xmlns:a16="http://schemas.microsoft.com/office/drawing/2014/main" id="{B2CB2938-F802-47E6-87CA-43C6BAE14F04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676" name="AutoShape 1">
          <a:extLst>
            <a:ext uri="{FF2B5EF4-FFF2-40B4-BE49-F238E27FC236}">
              <a16:creationId xmlns:a16="http://schemas.microsoft.com/office/drawing/2014/main" id="{8A396DD8-9415-4F91-8EAF-29BA6521428C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677" name="AutoShape 1">
          <a:extLst>
            <a:ext uri="{FF2B5EF4-FFF2-40B4-BE49-F238E27FC236}">
              <a16:creationId xmlns:a16="http://schemas.microsoft.com/office/drawing/2014/main" id="{84F20BE1-C6ED-4E9F-A188-500BD9765881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678" name="AutoShape 1">
          <a:extLst>
            <a:ext uri="{FF2B5EF4-FFF2-40B4-BE49-F238E27FC236}">
              <a16:creationId xmlns:a16="http://schemas.microsoft.com/office/drawing/2014/main" id="{CE0BB6E5-7A67-41E2-94B2-9F9C9C893881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679" name="AutoShape 1">
          <a:extLst>
            <a:ext uri="{FF2B5EF4-FFF2-40B4-BE49-F238E27FC236}">
              <a16:creationId xmlns:a16="http://schemas.microsoft.com/office/drawing/2014/main" id="{2AC6189A-AA73-4DB1-8B42-9606A44A654E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680" name="AutoShape 1">
          <a:extLst>
            <a:ext uri="{FF2B5EF4-FFF2-40B4-BE49-F238E27FC236}">
              <a16:creationId xmlns:a16="http://schemas.microsoft.com/office/drawing/2014/main" id="{A8932FA8-D1E0-4F1E-8A6A-D92E93A4ED83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681" name="AutoShape 1">
          <a:extLst>
            <a:ext uri="{FF2B5EF4-FFF2-40B4-BE49-F238E27FC236}">
              <a16:creationId xmlns:a16="http://schemas.microsoft.com/office/drawing/2014/main" id="{BA373302-9BD8-4F6B-8480-C4884721B4C7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682" name="AutoShape 1">
          <a:extLst>
            <a:ext uri="{FF2B5EF4-FFF2-40B4-BE49-F238E27FC236}">
              <a16:creationId xmlns:a16="http://schemas.microsoft.com/office/drawing/2014/main" id="{224A6C00-EE5F-4D58-B8EA-30FDDFEA1614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683" name="AutoShape 1">
          <a:extLst>
            <a:ext uri="{FF2B5EF4-FFF2-40B4-BE49-F238E27FC236}">
              <a16:creationId xmlns:a16="http://schemas.microsoft.com/office/drawing/2014/main" id="{59EC3A63-0B86-487D-B08F-903DEDA43156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684" name="AutoShape 1">
          <a:extLst>
            <a:ext uri="{FF2B5EF4-FFF2-40B4-BE49-F238E27FC236}">
              <a16:creationId xmlns:a16="http://schemas.microsoft.com/office/drawing/2014/main" id="{49FA9F81-632C-4FD1-A14D-BAF5E4EAD85D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685" name="AutoShape 1">
          <a:extLst>
            <a:ext uri="{FF2B5EF4-FFF2-40B4-BE49-F238E27FC236}">
              <a16:creationId xmlns:a16="http://schemas.microsoft.com/office/drawing/2014/main" id="{92837401-518F-47DD-8713-7A0A5C786522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686" name="AutoShape 1">
          <a:extLst>
            <a:ext uri="{FF2B5EF4-FFF2-40B4-BE49-F238E27FC236}">
              <a16:creationId xmlns:a16="http://schemas.microsoft.com/office/drawing/2014/main" id="{36DE4A0E-9393-41E1-863D-46BC463846F8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687" name="AutoShape 1">
          <a:extLst>
            <a:ext uri="{FF2B5EF4-FFF2-40B4-BE49-F238E27FC236}">
              <a16:creationId xmlns:a16="http://schemas.microsoft.com/office/drawing/2014/main" id="{FBCCAD49-1A27-4607-B485-B48A7D83493B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688" name="AutoShape 1">
          <a:extLst>
            <a:ext uri="{FF2B5EF4-FFF2-40B4-BE49-F238E27FC236}">
              <a16:creationId xmlns:a16="http://schemas.microsoft.com/office/drawing/2014/main" id="{DD96A8D1-DF18-4DAE-905E-E163CBA2D139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689" name="AutoShape 1">
          <a:extLst>
            <a:ext uri="{FF2B5EF4-FFF2-40B4-BE49-F238E27FC236}">
              <a16:creationId xmlns:a16="http://schemas.microsoft.com/office/drawing/2014/main" id="{ABF70E00-23E8-472D-8FE3-DFD8CBDC0AC0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690" name="AutoShape 1">
          <a:extLst>
            <a:ext uri="{FF2B5EF4-FFF2-40B4-BE49-F238E27FC236}">
              <a16:creationId xmlns:a16="http://schemas.microsoft.com/office/drawing/2014/main" id="{F3043716-8049-4367-8D43-096A6115C14C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691" name="AutoShape 1">
          <a:extLst>
            <a:ext uri="{FF2B5EF4-FFF2-40B4-BE49-F238E27FC236}">
              <a16:creationId xmlns:a16="http://schemas.microsoft.com/office/drawing/2014/main" id="{60933D75-8669-4F0D-9684-CBB303B73F7B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692" name="AutoShape 1">
          <a:extLst>
            <a:ext uri="{FF2B5EF4-FFF2-40B4-BE49-F238E27FC236}">
              <a16:creationId xmlns:a16="http://schemas.microsoft.com/office/drawing/2014/main" id="{9AAF0396-2B0E-42F0-B5EA-C39058E2C535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693" name="AutoShape 1">
          <a:extLst>
            <a:ext uri="{FF2B5EF4-FFF2-40B4-BE49-F238E27FC236}">
              <a16:creationId xmlns:a16="http://schemas.microsoft.com/office/drawing/2014/main" id="{517445C7-4072-4514-9F5E-452FE6E370F6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694" name="AutoShape 1">
          <a:extLst>
            <a:ext uri="{FF2B5EF4-FFF2-40B4-BE49-F238E27FC236}">
              <a16:creationId xmlns:a16="http://schemas.microsoft.com/office/drawing/2014/main" id="{4F6D5424-CBF2-47C7-BFC7-2334CBC9AB95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695" name="AutoShape 1">
          <a:extLst>
            <a:ext uri="{FF2B5EF4-FFF2-40B4-BE49-F238E27FC236}">
              <a16:creationId xmlns:a16="http://schemas.microsoft.com/office/drawing/2014/main" id="{B2E34C04-F098-4F0A-ACFB-B3439BB3D30B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696" name="AutoShape 1">
          <a:extLst>
            <a:ext uri="{FF2B5EF4-FFF2-40B4-BE49-F238E27FC236}">
              <a16:creationId xmlns:a16="http://schemas.microsoft.com/office/drawing/2014/main" id="{7B063E25-1BEE-4171-AA64-402B74A62659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697" name="AutoShape 1">
          <a:extLst>
            <a:ext uri="{FF2B5EF4-FFF2-40B4-BE49-F238E27FC236}">
              <a16:creationId xmlns:a16="http://schemas.microsoft.com/office/drawing/2014/main" id="{58F317AA-72BC-44E7-BA60-2D7D806CA295}"/>
            </a:ext>
            <a:ext uri="{147F2762-F138-4A5C-976F-8EAC2B608ADB}">
              <a16:predDERef xmlns:a16="http://schemas.microsoft.com/office/drawing/2014/main" pred="{A9C9C4DB-4B97-447C-9099-E87BCB3C537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419</xdr:row>
      <xdr:rowOff>0</xdr:rowOff>
    </xdr:from>
    <xdr:ext cx="304800" cy="304800"/>
    <xdr:sp macro="" textlink="">
      <xdr:nvSpPr>
        <xdr:cNvPr id="1698" name="AutoShape 1">
          <a:extLst>
            <a:ext uri="{FF2B5EF4-FFF2-40B4-BE49-F238E27FC236}">
              <a16:creationId xmlns:a16="http://schemas.microsoft.com/office/drawing/2014/main" id="{3D87EEA0-C25E-4BA3-9B8A-634148E98BEF}"/>
            </a:ext>
            <a:ext uri="{147F2762-F138-4A5C-976F-8EAC2B608ADB}">
              <a16:predDERef xmlns:a16="http://schemas.microsoft.com/office/drawing/2014/main" pred="{CD89554D-BD76-42AD-819A-278AD445B86E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73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699" name="AutoShape 1">
          <a:extLst>
            <a:ext uri="{FF2B5EF4-FFF2-40B4-BE49-F238E27FC236}">
              <a16:creationId xmlns:a16="http://schemas.microsoft.com/office/drawing/2014/main" id="{B707DB08-82F8-4E9C-9F53-E1A7BB3E86EF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700" name="AutoShape 1">
          <a:extLst>
            <a:ext uri="{FF2B5EF4-FFF2-40B4-BE49-F238E27FC236}">
              <a16:creationId xmlns:a16="http://schemas.microsoft.com/office/drawing/2014/main" id="{7E16E392-8D95-420B-B14A-642C08F7BC7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701" name="AutoShape 1">
          <a:extLst>
            <a:ext uri="{FF2B5EF4-FFF2-40B4-BE49-F238E27FC236}">
              <a16:creationId xmlns:a16="http://schemas.microsoft.com/office/drawing/2014/main" id="{4B600A84-C703-44D4-962D-635730357884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702" name="AutoShape 1">
          <a:extLst>
            <a:ext uri="{FF2B5EF4-FFF2-40B4-BE49-F238E27FC236}">
              <a16:creationId xmlns:a16="http://schemas.microsoft.com/office/drawing/2014/main" id="{34CB3588-3F97-4A76-8FEE-9D0CBD850B73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703" name="AutoShape 1">
          <a:extLst>
            <a:ext uri="{FF2B5EF4-FFF2-40B4-BE49-F238E27FC236}">
              <a16:creationId xmlns:a16="http://schemas.microsoft.com/office/drawing/2014/main" id="{DDB5E770-9824-40E5-986C-D3C5E2CED573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704" name="AutoShape 1">
          <a:extLst>
            <a:ext uri="{FF2B5EF4-FFF2-40B4-BE49-F238E27FC236}">
              <a16:creationId xmlns:a16="http://schemas.microsoft.com/office/drawing/2014/main" id="{15B10127-7F1F-4732-9716-8225723C6F74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705" name="AutoShape 1">
          <a:extLst>
            <a:ext uri="{FF2B5EF4-FFF2-40B4-BE49-F238E27FC236}">
              <a16:creationId xmlns:a16="http://schemas.microsoft.com/office/drawing/2014/main" id="{488F363E-EED1-4988-8455-6B66676152CB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706" name="AutoShape 1">
          <a:extLst>
            <a:ext uri="{FF2B5EF4-FFF2-40B4-BE49-F238E27FC236}">
              <a16:creationId xmlns:a16="http://schemas.microsoft.com/office/drawing/2014/main" id="{6302114F-80D7-455F-8AC0-BBAFB32E37E7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707" name="AutoShape 1">
          <a:extLst>
            <a:ext uri="{FF2B5EF4-FFF2-40B4-BE49-F238E27FC236}">
              <a16:creationId xmlns:a16="http://schemas.microsoft.com/office/drawing/2014/main" id="{85068DBC-AC62-49E4-B497-A987DE90467D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708" name="AutoShape 1">
          <a:extLst>
            <a:ext uri="{FF2B5EF4-FFF2-40B4-BE49-F238E27FC236}">
              <a16:creationId xmlns:a16="http://schemas.microsoft.com/office/drawing/2014/main" id="{BD733ED0-B6BF-41C9-BB62-5E1B861D2AFE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709" name="AutoShape 1">
          <a:extLst>
            <a:ext uri="{FF2B5EF4-FFF2-40B4-BE49-F238E27FC236}">
              <a16:creationId xmlns:a16="http://schemas.microsoft.com/office/drawing/2014/main" id="{2BC2AB7C-FCEA-4773-A581-88CA72D0A41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710" name="AutoShape 1">
          <a:extLst>
            <a:ext uri="{FF2B5EF4-FFF2-40B4-BE49-F238E27FC236}">
              <a16:creationId xmlns:a16="http://schemas.microsoft.com/office/drawing/2014/main" id="{7B63917C-86ED-4BC1-91AC-FD4C669CBC3A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711" name="AutoShape 1">
          <a:extLst>
            <a:ext uri="{FF2B5EF4-FFF2-40B4-BE49-F238E27FC236}">
              <a16:creationId xmlns:a16="http://schemas.microsoft.com/office/drawing/2014/main" id="{87A4CDDF-30A7-4FFE-9A1F-51AC0EBC2221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712" name="AutoShape 1">
          <a:extLst>
            <a:ext uri="{FF2B5EF4-FFF2-40B4-BE49-F238E27FC236}">
              <a16:creationId xmlns:a16="http://schemas.microsoft.com/office/drawing/2014/main" id="{62AB1316-271E-480D-A73A-F128020A3CE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713" name="AutoShape 1">
          <a:extLst>
            <a:ext uri="{FF2B5EF4-FFF2-40B4-BE49-F238E27FC236}">
              <a16:creationId xmlns:a16="http://schemas.microsoft.com/office/drawing/2014/main" id="{C6008BE3-97FB-47B5-A931-2AC54E4A5863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714" name="AutoShape 1">
          <a:extLst>
            <a:ext uri="{FF2B5EF4-FFF2-40B4-BE49-F238E27FC236}">
              <a16:creationId xmlns:a16="http://schemas.microsoft.com/office/drawing/2014/main" id="{CC4B17A2-C759-468C-AC94-E0BC5C6AEDD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715" name="AutoShape 1">
          <a:extLst>
            <a:ext uri="{FF2B5EF4-FFF2-40B4-BE49-F238E27FC236}">
              <a16:creationId xmlns:a16="http://schemas.microsoft.com/office/drawing/2014/main" id="{8CAE232C-8FBC-4281-9D3E-574C84173BFA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716" name="AutoShape 1">
          <a:extLst>
            <a:ext uri="{FF2B5EF4-FFF2-40B4-BE49-F238E27FC236}">
              <a16:creationId xmlns:a16="http://schemas.microsoft.com/office/drawing/2014/main" id="{08CFBE99-8E97-4599-B03F-410372CBAA3A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717" name="AutoShape 1">
          <a:extLst>
            <a:ext uri="{FF2B5EF4-FFF2-40B4-BE49-F238E27FC236}">
              <a16:creationId xmlns:a16="http://schemas.microsoft.com/office/drawing/2014/main" id="{9B49A198-7ACA-41FA-8F11-A00FC20B6252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718" name="AutoShape 1">
          <a:extLst>
            <a:ext uri="{FF2B5EF4-FFF2-40B4-BE49-F238E27FC236}">
              <a16:creationId xmlns:a16="http://schemas.microsoft.com/office/drawing/2014/main" id="{82C0C5A6-022F-4B24-854F-50999F5E2450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719" name="AutoShape 1">
          <a:extLst>
            <a:ext uri="{FF2B5EF4-FFF2-40B4-BE49-F238E27FC236}">
              <a16:creationId xmlns:a16="http://schemas.microsoft.com/office/drawing/2014/main" id="{5D0EE432-232A-41E6-9862-6FB703B82C2E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720" name="AutoShape 1">
          <a:extLst>
            <a:ext uri="{FF2B5EF4-FFF2-40B4-BE49-F238E27FC236}">
              <a16:creationId xmlns:a16="http://schemas.microsoft.com/office/drawing/2014/main" id="{6F6B8266-7FE6-4886-9F8C-85C100956884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721" name="AutoShape 1">
          <a:extLst>
            <a:ext uri="{FF2B5EF4-FFF2-40B4-BE49-F238E27FC236}">
              <a16:creationId xmlns:a16="http://schemas.microsoft.com/office/drawing/2014/main" id="{5CEB7BD7-D1B5-47E7-8631-95EC1E3B5A99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722" name="AutoShape 1">
          <a:extLst>
            <a:ext uri="{FF2B5EF4-FFF2-40B4-BE49-F238E27FC236}">
              <a16:creationId xmlns:a16="http://schemas.microsoft.com/office/drawing/2014/main" id="{69BFDC39-0552-4685-ADF9-602C1A569884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723" name="AutoShape 1">
          <a:extLst>
            <a:ext uri="{FF2B5EF4-FFF2-40B4-BE49-F238E27FC236}">
              <a16:creationId xmlns:a16="http://schemas.microsoft.com/office/drawing/2014/main" id="{A6D33BFC-AE9D-4DB0-8E90-CF5D4AD88A7B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724" name="AutoShape 1">
          <a:extLst>
            <a:ext uri="{FF2B5EF4-FFF2-40B4-BE49-F238E27FC236}">
              <a16:creationId xmlns:a16="http://schemas.microsoft.com/office/drawing/2014/main" id="{70FACD5B-FCA4-4A0D-892F-95F37995E0EF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725" name="AutoShape 1">
          <a:extLst>
            <a:ext uri="{FF2B5EF4-FFF2-40B4-BE49-F238E27FC236}">
              <a16:creationId xmlns:a16="http://schemas.microsoft.com/office/drawing/2014/main" id="{E59AD878-4DCB-4497-BCBD-7EB63C9CF696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726" name="AutoShape 1">
          <a:extLst>
            <a:ext uri="{FF2B5EF4-FFF2-40B4-BE49-F238E27FC236}">
              <a16:creationId xmlns:a16="http://schemas.microsoft.com/office/drawing/2014/main" id="{F4724DEC-1655-45A3-A615-D50AB10B2DCE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727" name="AutoShape 1">
          <a:extLst>
            <a:ext uri="{FF2B5EF4-FFF2-40B4-BE49-F238E27FC236}">
              <a16:creationId xmlns:a16="http://schemas.microsoft.com/office/drawing/2014/main" id="{8F08E695-60D4-4131-A312-F099EAE9644F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728" name="AutoShape 1">
          <a:extLst>
            <a:ext uri="{FF2B5EF4-FFF2-40B4-BE49-F238E27FC236}">
              <a16:creationId xmlns:a16="http://schemas.microsoft.com/office/drawing/2014/main" id="{4489C656-016C-4BC3-AC8B-C10ECB326B80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729" name="AutoShape 1">
          <a:extLst>
            <a:ext uri="{FF2B5EF4-FFF2-40B4-BE49-F238E27FC236}">
              <a16:creationId xmlns:a16="http://schemas.microsoft.com/office/drawing/2014/main" id="{E4CE668C-32E1-4095-AB6A-6726D1D3B5F5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730" name="AutoShape 1">
          <a:extLst>
            <a:ext uri="{FF2B5EF4-FFF2-40B4-BE49-F238E27FC236}">
              <a16:creationId xmlns:a16="http://schemas.microsoft.com/office/drawing/2014/main" id="{EE8CBD09-8326-4C9D-B97B-7C95BFF5409F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731" name="AutoShape 1">
          <a:extLst>
            <a:ext uri="{FF2B5EF4-FFF2-40B4-BE49-F238E27FC236}">
              <a16:creationId xmlns:a16="http://schemas.microsoft.com/office/drawing/2014/main" id="{52BA8216-A80F-4E74-948B-87E268B32E91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732" name="AutoShape 1">
          <a:extLst>
            <a:ext uri="{FF2B5EF4-FFF2-40B4-BE49-F238E27FC236}">
              <a16:creationId xmlns:a16="http://schemas.microsoft.com/office/drawing/2014/main" id="{7AFA89F5-CF1C-4D4E-9A20-666CD0D8DD0D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733" name="AutoShape 1">
          <a:extLst>
            <a:ext uri="{FF2B5EF4-FFF2-40B4-BE49-F238E27FC236}">
              <a16:creationId xmlns:a16="http://schemas.microsoft.com/office/drawing/2014/main" id="{41CC0D81-9AF1-4999-BED3-42A83D80C4FE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734" name="AutoShape 1">
          <a:extLst>
            <a:ext uri="{FF2B5EF4-FFF2-40B4-BE49-F238E27FC236}">
              <a16:creationId xmlns:a16="http://schemas.microsoft.com/office/drawing/2014/main" id="{F6545DC1-E964-4AB0-857E-D466C3DC0306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735" name="AutoShape 1">
          <a:extLst>
            <a:ext uri="{FF2B5EF4-FFF2-40B4-BE49-F238E27FC236}">
              <a16:creationId xmlns:a16="http://schemas.microsoft.com/office/drawing/2014/main" id="{422795EB-C8F9-47BE-8D66-3BB0EE654E1A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736" name="AutoShape 1">
          <a:extLst>
            <a:ext uri="{FF2B5EF4-FFF2-40B4-BE49-F238E27FC236}">
              <a16:creationId xmlns:a16="http://schemas.microsoft.com/office/drawing/2014/main" id="{466AF41C-1E0F-4DD2-BE6F-DC47E7F6D0EB}"/>
            </a:ext>
            <a:ext uri="{147F2762-F138-4A5C-976F-8EAC2B608ADB}">
              <a16:predDERef xmlns:a16="http://schemas.microsoft.com/office/drawing/2014/main" pred="{A9C9C4DB-4B97-447C-9099-E87BCB3C537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737" name="AutoShape 1">
          <a:extLst>
            <a:ext uri="{FF2B5EF4-FFF2-40B4-BE49-F238E27FC236}">
              <a16:creationId xmlns:a16="http://schemas.microsoft.com/office/drawing/2014/main" id="{4A0858BA-AD2E-4D87-B203-B4A9057BB591}"/>
            </a:ext>
            <a:ext uri="{147F2762-F138-4A5C-976F-8EAC2B608ADB}">
              <a16:predDERef xmlns:a16="http://schemas.microsoft.com/office/drawing/2014/main" pred="{CD89554D-BD76-42AD-819A-278AD445B86E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738" name="AutoShape 1">
          <a:extLst>
            <a:ext uri="{FF2B5EF4-FFF2-40B4-BE49-F238E27FC236}">
              <a16:creationId xmlns:a16="http://schemas.microsoft.com/office/drawing/2014/main" id="{A08DFF1C-8135-4A84-93C7-905B160E6A83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739" name="AutoShape 1">
          <a:extLst>
            <a:ext uri="{FF2B5EF4-FFF2-40B4-BE49-F238E27FC236}">
              <a16:creationId xmlns:a16="http://schemas.microsoft.com/office/drawing/2014/main" id="{F0689FE2-E276-4FC7-BCE8-7C04BB34618B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740" name="AutoShape 1">
          <a:extLst>
            <a:ext uri="{FF2B5EF4-FFF2-40B4-BE49-F238E27FC236}">
              <a16:creationId xmlns:a16="http://schemas.microsoft.com/office/drawing/2014/main" id="{95F4EF34-EA85-4CD1-AFB7-0FFE7B494781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741" name="AutoShape 1">
          <a:extLst>
            <a:ext uri="{FF2B5EF4-FFF2-40B4-BE49-F238E27FC236}">
              <a16:creationId xmlns:a16="http://schemas.microsoft.com/office/drawing/2014/main" id="{E1989F59-9A20-4CDA-9C95-DC8AC1749531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742" name="AutoShape 1">
          <a:extLst>
            <a:ext uri="{FF2B5EF4-FFF2-40B4-BE49-F238E27FC236}">
              <a16:creationId xmlns:a16="http://schemas.microsoft.com/office/drawing/2014/main" id="{5CB7824A-0C91-456C-80B3-E0BBBF8F253D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743" name="AutoShape 1">
          <a:extLst>
            <a:ext uri="{FF2B5EF4-FFF2-40B4-BE49-F238E27FC236}">
              <a16:creationId xmlns:a16="http://schemas.microsoft.com/office/drawing/2014/main" id="{273F493C-AAAE-4C0B-A4FB-20A4735E5A3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744" name="AutoShape 1">
          <a:extLst>
            <a:ext uri="{FF2B5EF4-FFF2-40B4-BE49-F238E27FC236}">
              <a16:creationId xmlns:a16="http://schemas.microsoft.com/office/drawing/2014/main" id="{3C929019-36B0-440E-9622-28779395A70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745" name="AutoShape 1">
          <a:extLst>
            <a:ext uri="{FF2B5EF4-FFF2-40B4-BE49-F238E27FC236}">
              <a16:creationId xmlns:a16="http://schemas.microsoft.com/office/drawing/2014/main" id="{D7C4E891-813F-4CF0-BB00-0125E4995FF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746" name="AutoShape 1">
          <a:extLst>
            <a:ext uri="{FF2B5EF4-FFF2-40B4-BE49-F238E27FC236}">
              <a16:creationId xmlns:a16="http://schemas.microsoft.com/office/drawing/2014/main" id="{837B1825-04FC-4184-BF96-73DBE4D3F6EC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747" name="AutoShape 1">
          <a:extLst>
            <a:ext uri="{FF2B5EF4-FFF2-40B4-BE49-F238E27FC236}">
              <a16:creationId xmlns:a16="http://schemas.microsoft.com/office/drawing/2014/main" id="{FB8E05F2-6057-4176-8BBA-36366602A349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748" name="AutoShape 1">
          <a:extLst>
            <a:ext uri="{FF2B5EF4-FFF2-40B4-BE49-F238E27FC236}">
              <a16:creationId xmlns:a16="http://schemas.microsoft.com/office/drawing/2014/main" id="{06A7BFB6-A1E7-4A5C-8335-E4C4E77FA27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749" name="AutoShape 1">
          <a:extLst>
            <a:ext uri="{FF2B5EF4-FFF2-40B4-BE49-F238E27FC236}">
              <a16:creationId xmlns:a16="http://schemas.microsoft.com/office/drawing/2014/main" id="{5F6CFE85-7F14-451D-A71A-65179772104F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750" name="AutoShape 1">
          <a:extLst>
            <a:ext uri="{FF2B5EF4-FFF2-40B4-BE49-F238E27FC236}">
              <a16:creationId xmlns:a16="http://schemas.microsoft.com/office/drawing/2014/main" id="{D357AADC-006E-4338-BB56-E02AE17965A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751" name="AutoShape 1">
          <a:extLst>
            <a:ext uri="{FF2B5EF4-FFF2-40B4-BE49-F238E27FC236}">
              <a16:creationId xmlns:a16="http://schemas.microsoft.com/office/drawing/2014/main" id="{DD5A71FB-89FB-4708-8D72-4C5EE0AF4C9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752" name="AutoShape 1">
          <a:extLst>
            <a:ext uri="{FF2B5EF4-FFF2-40B4-BE49-F238E27FC236}">
              <a16:creationId xmlns:a16="http://schemas.microsoft.com/office/drawing/2014/main" id="{0A950FDC-5945-4EE6-B019-46767135E894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753" name="AutoShape 1">
          <a:extLst>
            <a:ext uri="{FF2B5EF4-FFF2-40B4-BE49-F238E27FC236}">
              <a16:creationId xmlns:a16="http://schemas.microsoft.com/office/drawing/2014/main" id="{77B2B84A-82FA-4738-B7F8-E0A5B49C272C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754" name="AutoShape 1">
          <a:extLst>
            <a:ext uri="{FF2B5EF4-FFF2-40B4-BE49-F238E27FC236}">
              <a16:creationId xmlns:a16="http://schemas.microsoft.com/office/drawing/2014/main" id="{5E586A36-B195-4B32-99C7-27FCD2C11E84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755" name="AutoShape 1">
          <a:extLst>
            <a:ext uri="{FF2B5EF4-FFF2-40B4-BE49-F238E27FC236}">
              <a16:creationId xmlns:a16="http://schemas.microsoft.com/office/drawing/2014/main" id="{16D1C8A1-D772-44BB-AD00-FE1DD59B6487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756" name="AutoShape 1">
          <a:extLst>
            <a:ext uri="{FF2B5EF4-FFF2-40B4-BE49-F238E27FC236}">
              <a16:creationId xmlns:a16="http://schemas.microsoft.com/office/drawing/2014/main" id="{84D100C2-840E-4F47-B499-4F91F33DFED5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757" name="AutoShape 1">
          <a:extLst>
            <a:ext uri="{FF2B5EF4-FFF2-40B4-BE49-F238E27FC236}">
              <a16:creationId xmlns:a16="http://schemas.microsoft.com/office/drawing/2014/main" id="{21D4D0A0-9871-493A-8488-4AD68927A897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758" name="AutoShape 1">
          <a:extLst>
            <a:ext uri="{FF2B5EF4-FFF2-40B4-BE49-F238E27FC236}">
              <a16:creationId xmlns:a16="http://schemas.microsoft.com/office/drawing/2014/main" id="{A0DD4CBC-2FE9-4933-B0AE-BDEF41AD43FA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759" name="AutoShape 1">
          <a:extLst>
            <a:ext uri="{FF2B5EF4-FFF2-40B4-BE49-F238E27FC236}">
              <a16:creationId xmlns:a16="http://schemas.microsoft.com/office/drawing/2014/main" id="{755997CD-F191-42A0-BB06-1743EB5A37FF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760" name="AutoShape 1">
          <a:extLst>
            <a:ext uri="{FF2B5EF4-FFF2-40B4-BE49-F238E27FC236}">
              <a16:creationId xmlns:a16="http://schemas.microsoft.com/office/drawing/2014/main" id="{5FF1B7CA-CF8C-4781-AFF1-6A76A26A694D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761" name="AutoShape 1">
          <a:extLst>
            <a:ext uri="{FF2B5EF4-FFF2-40B4-BE49-F238E27FC236}">
              <a16:creationId xmlns:a16="http://schemas.microsoft.com/office/drawing/2014/main" id="{28094B33-84FF-446D-BDD1-2505D2D6FC11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762" name="AutoShape 1">
          <a:extLst>
            <a:ext uri="{FF2B5EF4-FFF2-40B4-BE49-F238E27FC236}">
              <a16:creationId xmlns:a16="http://schemas.microsoft.com/office/drawing/2014/main" id="{BB120C79-5DC1-4DFE-8E84-BD2BF7DA689B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763" name="AutoShape 1">
          <a:extLst>
            <a:ext uri="{FF2B5EF4-FFF2-40B4-BE49-F238E27FC236}">
              <a16:creationId xmlns:a16="http://schemas.microsoft.com/office/drawing/2014/main" id="{5D468DC7-99F2-425F-A5BC-729EAD1993DC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764" name="AutoShape 1">
          <a:extLst>
            <a:ext uri="{FF2B5EF4-FFF2-40B4-BE49-F238E27FC236}">
              <a16:creationId xmlns:a16="http://schemas.microsoft.com/office/drawing/2014/main" id="{7D7695CE-D958-4AC2-9B8B-913B985BB3DC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765" name="AutoShape 1">
          <a:extLst>
            <a:ext uri="{FF2B5EF4-FFF2-40B4-BE49-F238E27FC236}">
              <a16:creationId xmlns:a16="http://schemas.microsoft.com/office/drawing/2014/main" id="{FFF6B509-E088-4224-8580-0CB89232FF83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766" name="AutoShape 1">
          <a:extLst>
            <a:ext uri="{FF2B5EF4-FFF2-40B4-BE49-F238E27FC236}">
              <a16:creationId xmlns:a16="http://schemas.microsoft.com/office/drawing/2014/main" id="{989B85DE-E738-4BA0-BDE2-76A8FC0BCD61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767" name="AutoShape 1">
          <a:extLst>
            <a:ext uri="{FF2B5EF4-FFF2-40B4-BE49-F238E27FC236}">
              <a16:creationId xmlns:a16="http://schemas.microsoft.com/office/drawing/2014/main" id="{BAEDE74B-3925-4958-856B-E903F9595400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768" name="AutoShape 1">
          <a:extLst>
            <a:ext uri="{FF2B5EF4-FFF2-40B4-BE49-F238E27FC236}">
              <a16:creationId xmlns:a16="http://schemas.microsoft.com/office/drawing/2014/main" id="{900BE25C-36FD-4ABE-98C0-5626AB6608FD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769" name="AutoShape 1">
          <a:extLst>
            <a:ext uri="{FF2B5EF4-FFF2-40B4-BE49-F238E27FC236}">
              <a16:creationId xmlns:a16="http://schemas.microsoft.com/office/drawing/2014/main" id="{4037C0CE-0C78-460B-9845-C2AD9BF000E5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770" name="AutoShape 1">
          <a:extLst>
            <a:ext uri="{FF2B5EF4-FFF2-40B4-BE49-F238E27FC236}">
              <a16:creationId xmlns:a16="http://schemas.microsoft.com/office/drawing/2014/main" id="{5CF8F6B0-5DD6-47C2-A755-BA3CC838A460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771" name="AutoShape 1">
          <a:extLst>
            <a:ext uri="{FF2B5EF4-FFF2-40B4-BE49-F238E27FC236}">
              <a16:creationId xmlns:a16="http://schemas.microsoft.com/office/drawing/2014/main" id="{DBEB6690-27ED-464B-8902-95F3E120A0BD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772" name="AutoShape 1">
          <a:extLst>
            <a:ext uri="{FF2B5EF4-FFF2-40B4-BE49-F238E27FC236}">
              <a16:creationId xmlns:a16="http://schemas.microsoft.com/office/drawing/2014/main" id="{28F99D95-EE22-425C-92D5-DD53B68A889D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773" name="AutoShape 1">
          <a:extLst>
            <a:ext uri="{FF2B5EF4-FFF2-40B4-BE49-F238E27FC236}">
              <a16:creationId xmlns:a16="http://schemas.microsoft.com/office/drawing/2014/main" id="{CB1FF490-A76F-46C9-8506-6E55150819A0}"/>
            </a:ext>
            <a:ext uri="{147F2762-F138-4A5C-976F-8EAC2B608ADB}">
              <a16:predDERef xmlns:a16="http://schemas.microsoft.com/office/drawing/2014/main" pred="{A9C9C4DB-4B97-447C-9099-E87BCB3C537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774" name="AutoShape 1">
          <a:extLst>
            <a:ext uri="{FF2B5EF4-FFF2-40B4-BE49-F238E27FC236}">
              <a16:creationId xmlns:a16="http://schemas.microsoft.com/office/drawing/2014/main" id="{38DF677E-B5B0-43BF-A7E4-EE415E93CAFD}"/>
            </a:ext>
            <a:ext uri="{147F2762-F138-4A5C-976F-8EAC2B608ADB}">
              <a16:predDERef xmlns:a16="http://schemas.microsoft.com/office/drawing/2014/main" pred="{CD89554D-BD76-42AD-819A-278AD445B86E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775" name="AutoShape 1">
          <a:extLst>
            <a:ext uri="{FF2B5EF4-FFF2-40B4-BE49-F238E27FC236}">
              <a16:creationId xmlns:a16="http://schemas.microsoft.com/office/drawing/2014/main" id="{D7DBF73B-0D76-4621-8AD5-A17DE213296E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776" name="AutoShape 1">
          <a:extLst>
            <a:ext uri="{FF2B5EF4-FFF2-40B4-BE49-F238E27FC236}">
              <a16:creationId xmlns:a16="http://schemas.microsoft.com/office/drawing/2014/main" id="{D7AAA8D6-9637-446F-99DE-850EDAA12E17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777" name="AutoShape 1">
          <a:extLst>
            <a:ext uri="{FF2B5EF4-FFF2-40B4-BE49-F238E27FC236}">
              <a16:creationId xmlns:a16="http://schemas.microsoft.com/office/drawing/2014/main" id="{D44BAA62-1D41-4736-A9D3-AF0B3BE36AB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778" name="AutoShape 1">
          <a:extLst>
            <a:ext uri="{FF2B5EF4-FFF2-40B4-BE49-F238E27FC236}">
              <a16:creationId xmlns:a16="http://schemas.microsoft.com/office/drawing/2014/main" id="{A3648B72-09B1-4EB2-9DC1-1EA2225D711B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779" name="AutoShape 1">
          <a:extLst>
            <a:ext uri="{FF2B5EF4-FFF2-40B4-BE49-F238E27FC236}">
              <a16:creationId xmlns:a16="http://schemas.microsoft.com/office/drawing/2014/main" id="{4FA59FD2-AD9A-4F81-9266-BC8C7955C89A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780" name="AutoShape 1">
          <a:extLst>
            <a:ext uri="{FF2B5EF4-FFF2-40B4-BE49-F238E27FC236}">
              <a16:creationId xmlns:a16="http://schemas.microsoft.com/office/drawing/2014/main" id="{55FA883A-6F7B-4771-91C7-7B290AA1A129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781" name="AutoShape 1">
          <a:extLst>
            <a:ext uri="{FF2B5EF4-FFF2-40B4-BE49-F238E27FC236}">
              <a16:creationId xmlns:a16="http://schemas.microsoft.com/office/drawing/2014/main" id="{50805ABF-2DC1-43EA-842A-77E6003251D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782" name="AutoShape 1">
          <a:extLst>
            <a:ext uri="{FF2B5EF4-FFF2-40B4-BE49-F238E27FC236}">
              <a16:creationId xmlns:a16="http://schemas.microsoft.com/office/drawing/2014/main" id="{6332AC2D-9023-46C2-9E8F-7144ABB13A49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783" name="AutoShape 1">
          <a:extLst>
            <a:ext uri="{FF2B5EF4-FFF2-40B4-BE49-F238E27FC236}">
              <a16:creationId xmlns:a16="http://schemas.microsoft.com/office/drawing/2014/main" id="{BBA96336-F750-4988-A5FE-A33AC1501A9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784" name="AutoShape 1">
          <a:extLst>
            <a:ext uri="{FF2B5EF4-FFF2-40B4-BE49-F238E27FC236}">
              <a16:creationId xmlns:a16="http://schemas.microsoft.com/office/drawing/2014/main" id="{48BFB2ED-9373-4D80-8A2C-0D19BAF71A5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785" name="AutoShape 1">
          <a:extLst>
            <a:ext uri="{FF2B5EF4-FFF2-40B4-BE49-F238E27FC236}">
              <a16:creationId xmlns:a16="http://schemas.microsoft.com/office/drawing/2014/main" id="{1CFB9FEB-086A-4740-8E9D-AB262001969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786" name="AutoShape 1">
          <a:extLst>
            <a:ext uri="{FF2B5EF4-FFF2-40B4-BE49-F238E27FC236}">
              <a16:creationId xmlns:a16="http://schemas.microsoft.com/office/drawing/2014/main" id="{D36ACC15-EAC1-4DD6-8109-D679E95A699C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787" name="AutoShape 1">
          <a:extLst>
            <a:ext uri="{FF2B5EF4-FFF2-40B4-BE49-F238E27FC236}">
              <a16:creationId xmlns:a16="http://schemas.microsoft.com/office/drawing/2014/main" id="{D0B2B855-A517-4520-856B-3943123967CC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788" name="AutoShape 1">
          <a:extLst>
            <a:ext uri="{FF2B5EF4-FFF2-40B4-BE49-F238E27FC236}">
              <a16:creationId xmlns:a16="http://schemas.microsoft.com/office/drawing/2014/main" id="{D7019874-17A4-4311-BC98-B8ABE128052C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789" name="AutoShape 1">
          <a:extLst>
            <a:ext uri="{FF2B5EF4-FFF2-40B4-BE49-F238E27FC236}">
              <a16:creationId xmlns:a16="http://schemas.microsoft.com/office/drawing/2014/main" id="{F5DBFBD1-4982-44DC-BD1F-A8B2AFC16DAA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790" name="AutoShape 1">
          <a:extLst>
            <a:ext uri="{FF2B5EF4-FFF2-40B4-BE49-F238E27FC236}">
              <a16:creationId xmlns:a16="http://schemas.microsoft.com/office/drawing/2014/main" id="{9ECA2365-ED55-4992-A10A-F3BA7CFBBBD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791" name="AutoShape 1">
          <a:extLst>
            <a:ext uri="{FF2B5EF4-FFF2-40B4-BE49-F238E27FC236}">
              <a16:creationId xmlns:a16="http://schemas.microsoft.com/office/drawing/2014/main" id="{1B4F8066-F1DB-4300-854C-D1D9E92B95A0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792" name="AutoShape 1">
          <a:extLst>
            <a:ext uri="{FF2B5EF4-FFF2-40B4-BE49-F238E27FC236}">
              <a16:creationId xmlns:a16="http://schemas.microsoft.com/office/drawing/2014/main" id="{4D3328BE-4550-417E-9D01-D1F6D1E8522D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793" name="AutoShape 1">
          <a:extLst>
            <a:ext uri="{FF2B5EF4-FFF2-40B4-BE49-F238E27FC236}">
              <a16:creationId xmlns:a16="http://schemas.microsoft.com/office/drawing/2014/main" id="{73C05EE7-D0A6-4FEE-8A90-3B13253E3F17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794" name="AutoShape 1">
          <a:extLst>
            <a:ext uri="{FF2B5EF4-FFF2-40B4-BE49-F238E27FC236}">
              <a16:creationId xmlns:a16="http://schemas.microsoft.com/office/drawing/2014/main" id="{3547691C-2411-4EB6-A243-44B142118EEE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795" name="AutoShape 1">
          <a:extLst>
            <a:ext uri="{FF2B5EF4-FFF2-40B4-BE49-F238E27FC236}">
              <a16:creationId xmlns:a16="http://schemas.microsoft.com/office/drawing/2014/main" id="{1672EF21-13CD-4D0B-9412-4BE969239B7C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796" name="AutoShape 1">
          <a:extLst>
            <a:ext uri="{FF2B5EF4-FFF2-40B4-BE49-F238E27FC236}">
              <a16:creationId xmlns:a16="http://schemas.microsoft.com/office/drawing/2014/main" id="{C23F3685-D578-4D54-8291-8E5CCC7BD648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797" name="AutoShape 1">
          <a:extLst>
            <a:ext uri="{FF2B5EF4-FFF2-40B4-BE49-F238E27FC236}">
              <a16:creationId xmlns:a16="http://schemas.microsoft.com/office/drawing/2014/main" id="{83CD3948-0A7D-4B23-B9C6-29BDBE3C086D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798" name="AutoShape 1">
          <a:extLst>
            <a:ext uri="{FF2B5EF4-FFF2-40B4-BE49-F238E27FC236}">
              <a16:creationId xmlns:a16="http://schemas.microsoft.com/office/drawing/2014/main" id="{0FF80C23-FDBB-400F-B097-A14AA039403A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799" name="AutoShape 1">
          <a:extLst>
            <a:ext uri="{FF2B5EF4-FFF2-40B4-BE49-F238E27FC236}">
              <a16:creationId xmlns:a16="http://schemas.microsoft.com/office/drawing/2014/main" id="{6AFCA736-D560-45FB-A1AA-62E23C500442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800" name="AutoShape 1">
          <a:extLst>
            <a:ext uri="{FF2B5EF4-FFF2-40B4-BE49-F238E27FC236}">
              <a16:creationId xmlns:a16="http://schemas.microsoft.com/office/drawing/2014/main" id="{BEEE55ED-A49D-47F2-8CD9-7882D6D4D6BD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801" name="AutoShape 1">
          <a:extLst>
            <a:ext uri="{FF2B5EF4-FFF2-40B4-BE49-F238E27FC236}">
              <a16:creationId xmlns:a16="http://schemas.microsoft.com/office/drawing/2014/main" id="{4EDD537D-057F-4BE5-8944-D64762226E0F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802" name="AutoShape 1">
          <a:extLst>
            <a:ext uri="{FF2B5EF4-FFF2-40B4-BE49-F238E27FC236}">
              <a16:creationId xmlns:a16="http://schemas.microsoft.com/office/drawing/2014/main" id="{DE0457FF-F0A9-4E30-8E62-488E741E53F1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803" name="AutoShape 1">
          <a:extLst>
            <a:ext uri="{FF2B5EF4-FFF2-40B4-BE49-F238E27FC236}">
              <a16:creationId xmlns:a16="http://schemas.microsoft.com/office/drawing/2014/main" id="{D3DA97D6-A6A8-445C-9854-79A9BCABB33F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804" name="AutoShape 1">
          <a:extLst>
            <a:ext uri="{FF2B5EF4-FFF2-40B4-BE49-F238E27FC236}">
              <a16:creationId xmlns:a16="http://schemas.microsoft.com/office/drawing/2014/main" id="{E0BB656C-EEA5-494C-A43C-257BBFB33AAB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805" name="AutoShape 1">
          <a:extLst>
            <a:ext uri="{FF2B5EF4-FFF2-40B4-BE49-F238E27FC236}">
              <a16:creationId xmlns:a16="http://schemas.microsoft.com/office/drawing/2014/main" id="{3631F8A6-738E-406B-931F-E77CCC71D8FB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806" name="AutoShape 1">
          <a:extLst>
            <a:ext uri="{FF2B5EF4-FFF2-40B4-BE49-F238E27FC236}">
              <a16:creationId xmlns:a16="http://schemas.microsoft.com/office/drawing/2014/main" id="{58401DC3-4F36-4B56-A478-FA3FCB41170A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807" name="AutoShape 1">
          <a:extLst>
            <a:ext uri="{FF2B5EF4-FFF2-40B4-BE49-F238E27FC236}">
              <a16:creationId xmlns:a16="http://schemas.microsoft.com/office/drawing/2014/main" id="{E1972B2F-D221-4445-A4EF-1879F8E204DE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808" name="AutoShape 1">
          <a:extLst>
            <a:ext uri="{FF2B5EF4-FFF2-40B4-BE49-F238E27FC236}">
              <a16:creationId xmlns:a16="http://schemas.microsoft.com/office/drawing/2014/main" id="{22953EE1-3674-4F4B-8C13-052CBB3D5C19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809" name="AutoShape 1">
          <a:extLst>
            <a:ext uri="{FF2B5EF4-FFF2-40B4-BE49-F238E27FC236}">
              <a16:creationId xmlns:a16="http://schemas.microsoft.com/office/drawing/2014/main" id="{2536E586-DE7D-42E7-88EC-6754852CDCAD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810" name="AutoShape 1">
          <a:extLst>
            <a:ext uri="{FF2B5EF4-FFF2-40B4-BE49-F238E27FC236}">
              <a16:creationId xmlns:a16="http://schemas.microsoft.com/office/drawing/2014/main" id="{9D390EB6-6F11-4170-87D1-F87A68EF6B64}"/>
            </a:ext>
            <a:ext uri="{147F2762-F138-4A5C-976F-8EAC2B608ADB}">
              <a16:predDERef xmlns:a16="http://schemas.microsoft.com/office/drawing/2014/main" pred="{A9C9C4DB-4B97-447C-9099-E87BCB3C537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811" name="AutoShape 1">
          <a:extLst>
            <a:ext uri="{FF2B5EF4-FFF2-40B4-BE49-F238E27FC236}">
              <a16:creationId xmlns:a16="http://schemas.microsoft.com/office/drawing/2014/main" id="{A3695A3B-1003-4988-8F9E-74395B28B86D}"/>
            </a:ext>
            <a:ext uri="{147F2762-F138-4A5C-976F-8EAC2B608ADB}">
              <a16:predDERef xmlns:a16="http://schemas.microsoft.com/office/drawing/2014/main" pred="{CD89554D-BD76-42AD-819A-278AD445B86E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812" name="AutoShape 1">
          <a:extLst>
            <a:ext uri="{FF2B5EF4-FFF2-40B4-BE49-F238E27FC236}">
              <a16:creationId xmlns:a16="http://schemas.microsoft.com/office/drawing/2014/main" id="{C2F5A1E3-ED72-4A32-9D5B-AED596A32FA3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813" name="AutoShape 1">
          <a:extLst>
            <a:ext uri="{FF2B5EF4-FFF2-40B4-BE49-F238E27FC236}">
              <a16:creationId xmlns:a16="http://schemas.microsoft.com/office/drawing/2014/main" id="{1645CFB5-1F5F-411C-A4F1-7763353C816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814" name="AutoShape 1">
          <a:extLst>
            <a:ext uri="{FF2B5EF4-FFF2-40B4-BE49-F238E27FC236}">
              <a16:creationId xmlns:a16="http://schemas.microsoft.com/office/drawing/2014/main" id="{C41C9FFE-6556-42AC-8BB2-09BB1E302F8D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815" name="AutoShape 1">
          <a:extLst>
            <a:ext uri="{FF2B5EF4-FFF2-40B4-BE49-F238E27FC236}">
              <a16:creationId xmlns:a16="http://schemas.microsoft.com/office/drawing/2014/main" id="{2AC85319-9A09-4383-944F-248BA3CF6041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816" name="AutoShape 1">
          <a:extLst>
            <a:ext uri="{FF2B5EF4-FFF2-40B4-BE49-F238E27FC236}">
              <a16:creationId xmlns:a16="http://schemas.microsoft.com/office/drawing/2014/main" id="{A610A4D6-CB46-4120-B327-23CFF6439219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817" name="AutoShape 1">
          <a:extLst>
            <a:ext uri="{FF2B5EF4-FFF2-40B4-BE49-F238E27FC236}">
              <a16:creationId xmlns:a16="http://schemas.microsoft.com/office/drawing/2014/main" id="{83E254A8-F0C6-4067-AE32-92B9F4927FD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818" name="AutoShape 1">
          <a:extLst>
            <a:ext uri="{FF2B5EF4-FFF2-40B4-BE49-F238E27FC236}">
              <a16:creationId xmlns:a16="http://schemas.microsoft.com/office/drawing/2014/main" id="{9D32FA7B-D1D5-40C8-A1DC-F6263B965139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819" name="AutoShape 1">
          <a:extLst>
            <a:ext uri="{FF2B5EF4-FFF2-40B4-BE49-F238E27FC236}">
              <a16:creationId xmlns:a16="http://schemas.microsoft.com/office/drawing/2014/main" id="{A9612D30-A21E-499C-8719-6799F653FCC1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820" name="AutoShape 1">
          <a:extLst>
            <a:ext uri="{FF2B5EF4-FFF2-40B4-BE49-F238E27FC236}">
              <a16:creationId xmlns:a16="http://schemas.microsoft.com/office/drawing/2014/main" id="{5DFC3DC3-80A9-4471-8729-1F3D6E1AE9B1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821" name="AutoShape 1">
          <a:extLst>
            <a:ext uri="{FF2B5EF4-FFF2-40B4-BE49-F238E27FC236}">
              <a16:creationId xmlns:a16="http://schemas.microsoft.com/office/drawing/2014/main" id="{10D28D66-227E-4DB3-8016-A66E0E78F58A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822" name="AutoShape 1">
          <a:extLst>
            <a:ext uri="{FF2B5EF4-FFF2-40B4-BE49-F238E27FC236}">
              <a16:creationId xmlns:a16="http://schemas.microsoft.com/office/drawing/2014/main" id="{8BBF71A8-8ACF-435A-BAEA-97F764F7791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823" name="AutoShape 1">
          <a:extLst>
            <a:ext uri="{FF2B5EF4-FFF2-40B4-BE49-F238E27FC236}">
              <a16:creationId xmlns:a16="http://schemas.microsoft.com/office/drawing/2014/main" id="{3A7D8B6D-0C90-4640-B9EB-FC81361A153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824" name="AutoShape 1">
          <a:extLst>
            <a:ext uri="{FF2B5EF4-FFF2-40B4-BE49-F238E27FC236}">
              <a16:creationId xmlns:a16="http://schemas.microsoft.com/office/drawing/2014/main" id="{AD9D9CFF-66AC-4CB2-8C75-4C66767A4DE1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825" name="AutoShape 1">
          <a:extLst>
            <a:ext uri="{FF2B5EF4-FFF2-40B4-BE49-F238E27FC236}">
              <a16:creationId xmlns:a16="http://schemas.microsoft.com/office/drawing/2014/main" id="{E735ADDD-DC05-406B-B31C-BA384588618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826" name="AutoShape 1">
          <a:extLst>
            <a:ext uri="{FF2B5EF4-FFF2-40B4-BE49-F238E27FC236}">
              <a16:creationId xmlns:a16="http://schemas.microsoft.com/office/drawing/2014/main" id="{FDBC42DC-D38C-4179-9713-2A4158281C2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827" name="AutoShape 1">
          <a:extLst>
            <a:ext uri="{FF2B5EF4-FFF2-40B4-BE49-F238E27FC236}">
              <a16:creationId xmlns:a16="http://schemas.microsoft.com/office/drawing/2014/main" id="{E9DBF3BB-A3BD-4870-A9A4-BCC4D0C14C41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828" name="AutoShape 1">
          <a:extLst>
            <a:ext uri="{FF2B5EF4-FFF2-40B4-BE49-F238E27FC236}">
              <a16:creationId xmlns:a16="http://schemas.microsoft.com/office/drawing/2014/main" id="{66DC3C37-E963-4A49-B852-9030941F0191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829" name="AutoShape 1">
          <a:extLst>
            <a:ext uri="{FF2B5EF4-FFF2-40B4-BE49-F238E27FC236}">
              <a16:creationId xmlns:a16="http://schemas.microsoft.com/office/drawing/2014/main" id="{F2F4D6C1-80AB-41E8-A667-E44D9C811A28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830" name="AutoShape 1">
          <a:extLst>
            <a:ext uri="{FF2B5EF4-FFF2-40B4-BE49-F238E27FC236}">
              <a16:creationId xmlns:a16="http://schemas.microsoft.com/office/drawing/2014/main" id="{F70EB323-FBDC-4D9E-AC87-11F67D83821C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831" name="AutoShape 1">
          <a:extLst>
            <a:ext uri="{FF2B5EF4-FFF2-40B4-BE49-F238E27FC236}">
              <a16:creationId xmlns:a16="http://schemas.microsoft.com/office/drawing/2014/main" id="{99347B7B-AAC8-4B4D-B439-CF7BD9E2EEF3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832" name="AutoShape 1">
          <a:extLst>
            <a:ext uri="{FF2B5EF4-FFF2-40B4-BE49-F238E27FC236}">
              <a16:creationId xmlns:a16="http://schemas.microsoft.com/office/drawing/2014/main" id="{A1B280FA-A7FA-41A3-AC85-65F4994CE20D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833" name="AutoShape 1">
          <a:extLst>
            <a:ext uri="{FF2B5EF4-FFF2-40B4-BE49-F238E27FC236}">
              <a16:creationId xmlns:a16="http://schemas.microsoft.com/office/drawing/2014/main" id="{C741A1DC-7F37-4F3D-B713-C49E1E8C21AF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834" name="AutoShape 1">
          <a:extLst>
            <a:ext uri="{FF2B5EF4-FFF2-40B4-BE49-F238E27FC236}">
              <a16:creationId xmlns:a16="http://schemas.microsoft.com/office/drawing/2014/main" id="{9AE402B6-68F1-44A4-B30A-7890FC7FF558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835" name="AutoShape 1">
          <a:extLst>
            <a:ext uri="{FF2B5EF4-FFF2-40B4-BE49-F238E27FC236}">
              <a16:creationId xmlns:a16="http://schemas.microsoft.com/office/drawing/2014/main" id="{4BDF1733-218D-4616-AA07-C6173728D7B6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836" name="AutoShape 1">
          <a:extLst>
            <a:ext uri="{FF2B5EF4-FFF2-40B4-BE49-F238E27FC236}">
              <a16:creationId xmlns:a16="http://schemas.microsoft.com/office/drawing/2014/main" id="{D49B1C4C-01EA-4760-BC0C-01546F960200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837" name="AutoShape 1">
          <a:extLst>
            <a:ext uri="{FF2B5EF4-FFF2-40B4-BE49-F238E27FC236}">
              <a16:creationId xmlns:a16="http://schemas.microsoft.com/office/drawing/2014/main" id="{C528528E-2C94-4DDD-890A-13484D5A43B5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838" name="AutoShape 1">
          <a:extLst>
            <a:ext uri="{FF2B5EF4-FFF2-40B4-BE49-F238E27FC236}">
              <a16:creationId xmlns:a16="http://schemas.microsoft.com/office/drawing/2014/main" id="{72A518E8-9DB6-4500-974B-D40EE1F8D146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839" name="AutoShape 1">
          <a:extLst>
            <a:ext uri="{FF2B5EF4-FFF2-40B4-BE49-F238E27FC236}">
              <a16:creationId xmlns:a16="http://schemas.microsoft.com/office/drawing/2014/main" id="{2C4DF04B-877E-45E8-B1D9-4AC4A5E375BB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840" name="AutoShape 1">
          <a:extLst>
            <a:ext uri="{FF2B5EF4-FFF2-40B4-BE49-F238E27FC236}">
              <a16:creationId xmlns:a16="http://schemas.microsoft.com/office/drawing/2014/main" id="{035794B7-80F0-4A60-A01D-7839B75553F1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841" name="AutoShape 1">
          <a:extLst>
            <a:ext uri="{FF2B5EF4-FFF2-40B4-BE49-F238E27FC236}">
              <a16:creationId xmlns:a16="http://schemas.microsoft.com/office/drawing/2014/main" id="{90C6C4C4-F0F0-4693-8439-E30F6D7FBAE4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842" name="AutoShape 1">
          <a:extLst>
            <a:ext uri="{FF2B5EF4-FFF2-40B4-BE49-F238E27FC236}">
              <a16:creationId xmlns:a16="http://schemas.microsoft.com/office/drawing/2014/main" id="{C0C96E70-2F12-4A4C-855A-6BA62B0F3681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843" name="AutoShape 1">
          <a:extLst>
            <a:ext uri="{FF2B5EF4-FFF2-40B4-BE49-F238E27FC236}">
              <a16:creationId xmlns:a16="http://schemas.microsoft.com/office/drawing/2014/main" id="{F114CA93-8749-4951-A33E-E5F870C7DEB0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844" name="AutoShape 1">
          <a:extLst>
            <a:ext uri="{FF2B5EF4-FFF2-40B4-BE49-F238E27FC236}">
              <a16:creationId xmlns:a16="http://schemas.microsoft.com/office/drawing/2014/main" id="{A621E49B-9B88-423F-8A78-CCA7561D87F5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845" name="AutoShape 1">
          <a:extLst>
            <a:ext uri="{FF2B5EF4-FFF2-40B4-BE49-F238E27FC236}">
              <a16:creationId xmlns:a16="http://schemas.microsoft.com/office/drawing/2014/main" id="{CA4C919C-C4F4-4919-AA83-C998CF7B266E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846" name="AutoShape 1">
          <a:extLst>
            <a:ext uri="{FF2B5EF4-FFF2-40B4-BE49-F238E27FC236}">
              <a16:creationId xmlns:a16="http://schemas.microsoft.com/office/drawing/2014/main" id="{401A867E-8376-451C-BAD3-F7F80140E343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847" name="AutoShape 1">
          <a:extLst>
            <a:ext uri="{FF2B5EF4-FFF2-40B4-BE49-F238E27FC236}">
              <a16:creationId xmlns:a16="http://schemas.microsoft.com/office/drawing/2014/main" id="{E682F3F7-0878-4BF5-BBA4-ED1655AD5607}"/>
            </a:ext>
            <a:ext uri="{147F2762-F138-4A5C-976F-8EAC2B608ADB}">
              <a16:predDERef xmlns:a16="http://schemas.microsoft.com/office/drawing/2014/main" pred="{A9C9C4DB-4B97-447C-9099-E87BCB3C537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848" name="AutoShape 1">
          <a:extLst>
            <a:ext uri="{FF2B5EF4-FFF2-40B4-BE49-F238E27FC236}">
              <a16:creationId xmlns:a16="http://schemas.microsoft.com/office/drawing/2014/main" id="{5BF813E9-DC5F-4776-972A-C1BD00E2DAE3}"/>
            </a:ext>
            <a:ext uri="{147F2762-F138-4A5C-976F-8EAC2B608ADB}">
              <a16:predDERef xmlns:a16="http://schemas.microsoft.com/office/drawing/2014/main" pred="{CD89554D-BD76-42AD-819A-278AD445B86E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849" name="AutoShape 1">
          <a:extLst>
            <a:ext uri="{FF2B5EF4-FFF2-40B4-BE49-F238E27FC236}">
              <a16:creationId xmlns:a16="http://schemas.microsoft.com/office/drawing/2014/main" id="{8A169B17-E1CF-4C32-A008-886FACFA134A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850" name="AutoShape 1">
          <a:extLst>
            <a:ext uri="{FF2B5EF4-FFF2-40B4-BE49-F238E27FC236}">
              <a16:creationId xmlns:a16="http://schemas.microsoft.com/office/drawing/2014/main" id="{B6FF7634-9292-4145-9CF8-285EA3FF609E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851" name="AutoShape 1">
          <a:extLst>
            <a:ext uri="{FF2B5EF4-FFF2-40B4-BE49-F238E27FC236}">
              <a16:creationId xmlns:a16="http://schemas.microsoft.com/office/drawing/2014/main" id="{3895103F-8751-438A-97DF-847533154CBB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852" name="AutoShape 1">
          <a:extLst>
            <a:ext uri="{FF2B5EF4-FFF2-40B4-BE49-F238E27FC236}">
              <a16:creationId xmlns:a16="http://schemas.microsoft.com/office/drawing/2014/main" id="{FCB605A8-14BB-4C44-BBEF-7AC920A784F4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853" name="AutoShape 1">
          <a:extLst>
            <a:ext uri="{FF2B5EF4-FFF2-40B4-BE49-F238E27FC236}">
              <a16:creationId xmlns:a16="http://schemas.microsoft.com/office/drawing/2014/main" id="{9BD6FD18-889E-404E-A5CC-5F69EC7A33B7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854" name="AutoShape 1">
          <a:extLst>
            <a:ext uri="{FF2B5EF4-FFF2-40B4-BE49-F238E27FC236}">
              <a16:creationId xmlns:a16="http://schemas.microsoft.com/office/drawing/2014/main" id="{DA1C574E-5F37-4474-B027-49A7D1A224A4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855" name="AutoShape 1">
          <a:extLst>
            <a:ext uri="{FF2B5EF4-FFF2-40B4-BE49-F238E27FC236}">
              <a16:creationId xmlns:a16="http://schemas.microsoft.com/office/drawing/2014/main" id="{DE694C92-64F2-4E57-921E-4965D5B96ABF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856" name="AutoShape 1">
          <a:extLst>
            <a:ext uri="{FF2B5EF4-FFF2-40B4-BE49-F238E27FC236}">
              <a16:creationId xmlns:a16="http://schemas.microsoft.com/office/drawing/2014/main" id="{B49A03DE-9C89-4784-BA16-D38B01BA86B6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857" name="AutoShape 1">
          <a:extLst>
            <a:ext uri="{FF2B5EF4-FFF2-40B4-BE49-F238E27FC236}">
              <a16:creationId xmlns:a16="http://schemas.microsoft.com/office/drawing/2014/main" id="{FB37DCBB-4E70-40AA-A204-D6CF711225C7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858" name="AutoShape 1">
          <a:extLst>
            <a:ext uri="{FF2B5EF4-FFF2-40B4-BE49-F238E27FC236}">
              <a16:creationId xmlns:a16="http://schemas.microsoft.com/office/drawing/2014/main" id="{AC5AE72F-7F83-4BC2-A626-8D30D791CA63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859" name="AutoShape 1">
          <a:extLst>
            <a:ext uri="{FF2B5EF4-FFF2-40B4-BE49-F238E27FC236}">
              <a16:creationId xmlns:a16="http://schemas.microsoft.com/office/drawing/2014/main" id="{2D360F0C-D386-4AB9-AD10-3034DB75B219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860" name="AutoShape 1">
          <a:extLst>
            <a:ext uri="{FF2B5EF4-FFF2-40B4-BE49-F238E27FC236}">
              <a16:creationId xmlns:a16="http://schemas.microsoft.com/office/drawing/2014/main" id="{3437165D-9388-4679-90E7-9109EC82B09B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861" name="AutoShape 1">
          <a:extLst>
            <a:ext uri="{FF2B5EF4-FFF2-40B4-BE49-F238E27FC236}">
              <a16:creationId xmlns:a16="http://schemas.microsoft.com/office/drawing/2014/main" id="{8A47E6E6-90AC-428F-894D-06A6C98D67B7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862" name="AutoShape 1">
          <a:extLst>
            <a:ext uri="{FF2B5EF4-FFF2-40B4-BE49-F238E27FC236}">
              <a16:creationId xmlns:a16="http://schemas.microsoft.com/office/drawing/2014/main" id="{103ED1D5-D5EC-471A-B72B-74C99230742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863" name="AutoShape 1">
          <a:extLst>
            <a:ext uri="{FF2B5EF4-FFF2-40B4-BE49-F238E27FC236}">
              <a16:creationId xmlns:a16="http://schemas.microsoft.com/office/drawing/2014/main" id="{32E62558-E768-4708-857A-B59E979EC823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864" name="AutoShape 1">
          <a:extLst>
            <a:ext uri="{FF2B5EF4-FFF2-40B4-BE49-F238E27FC236}">
              <a16:creationId xmlns:a16="http://schemas.microsoft.com/office/drawing/2014/main" id="{029B0B68-649A-4C59-AEAB-6C810B78663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865" name="AutoShape 1">
          <a:extLst>
            <a:ext uri="{FF2B5EF4-FFF2-40B4-BE49-F238E27FC236}">
              <a16:creationId xmlns:a16="http://schemas.microsoft.com/office/drawing/2014/main" id="{8B99EEC8-07D1-43AA-88A1-6C4225D409F0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866" name="AutoShape 1">
          <a:extLst>
            <a:ext uri="{FF2B5EF4-FFF2-40B4-BE49-F238E27FC236}">
              <a16:creationId xmlns:a16="http://schemas.microsoft.com/office/drawing/2014/main" id="{BDA78EEA-A0C3-47DA-9435-B487717127D2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867" name="AutoShape 1">
          <a:extLst>
            <a:ext uri="{FF2B5EF4-FFF2-40B4-BE49-F238E27FC236}">
              <a16:creationId xmlns:a16="http://schemas.microsoft.com/office/drawing/2014/main" id="{2957556B-7FD0-4702-BA03-F10D11962B0C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868" name="AutoShape 1">
          <a:extLst>
            <a:ext uri="{FF2B5EF4-FFF2-40B4-BE49-F238E27FC236}">
              <a16:creationId xmlns:a16="http://schemas.microsoft.com/office/drawing/2014/main" id="{F7D0ECD7-A286-42C4-9DBA-2D0B49E696BD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869" name="AutoShape 1">
          <a:extLst>
            <a:ext uri="{FF2B5EF4-FFF2-40B4-BE49-F238E27FC236}">
              <a16:creationId xmlns:a16="http://schemas.microsoft.com/office/drawing/2014/main" id="{E6DFACC2-0E1C-41FC-A956-5D180007F2E6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870" name="AutoShape 1">
          <a:extLst>
            <a:ext uri="{FF2B5EF4-FFF2-40B4-BE49-F238E27FC236}">
              <a16:creationId xmlns:a16="http://schemas.microsoft.com/office/drawing/2014/main" id="{AE8843FF-C63B-4111-BB79-2FF9835E04BC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871" name="AutoShape 1">
          <a:extLst>
            <a:ext uri="{FF2B5EF4-FFF2-40B4-BE49-F238E27FC236}">
              <a16:creationId xmlns:a16="http://schemas.microsoft.com/office/drawing/2014/main" id="{A63D1BCA-5F6F-4963-A3AB-A152142F99A8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872" name="AutoShape 1">
          <a:extLst>
            <a:ext uri="{FF2B5EF4-FFF2-40B4-BE49-F238E27FC236}">
              <a16:creationId xmlns:a16="http://schemas.microsoft.com/office/drawing/2014/main" id="{C1C973B8-A561-4C26-A67F-47DEF0963AF2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873" name="AutoShape 1">
          <a:extLst>
            <a:ext uri="{FF2B5EF4-FFF2-40B4-BE49-F238E27FC236}">
              <a16:creationId xmlns:a16="http://schemas.microsoft.com/office/drawing/2014/main" id="{C4A7514D-4ABF-46BA-A6EC-5E55FBBE453F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874" name="AutoShape 1">
          <a:extLst>
            <a:ext uri="{FF2B5EF4-FFF2-40B4-BE49-F238E27FC236}">
              <a16:creationId xmlns:a16="http://schemas.microsoft.com/office/drawing/2014/main" id="{4746CC26-CC51-4628-AA73-A16FBF4FF65A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875" name="AutoShape 1">
          <a:extLst>
            <a:ext uri="{FF2B5EF4-FFF2-40B4-BE49-F238E27FC236}">
              <a16:creationId xmlns:a16="http://schemas.microsoft.com/office/drawing/2014/main" id="{4FDE343C-CA5E-45A9-B381-A2867DD749DC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876" name="AutoShape 1">
          <a:extLst>
            <a:ext uri="{FF2B5EF4-FFF2-40B4-BE49-F238E27FC236}">
              <a16:creationId xmlns:a16="http://schemas.microsoft.com/office/drawing/2014/main" id="{20C530D1-F597-435C-886E-3FD2FB6396A0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877" name="AutoShape 1">
          <a:extLst>
            <a:ext uri="{FF2B5EF4-FFF2-40B4-BE49-F238E27FC236}">
              <a16:creationId xmlns:a16="http://schemas.microsoft.com/office/drawing/2014/main" id="{DAA989D2-2948-4DE6-A311-8CF1E1DFF802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878" name="AutoShape 1">
          <a:extLst>
            <a:ext uri="{FF2B5EF4-FFF2-40B4-BE49-F238E27FC236}">
              <a16:creationId xmlns:a16="http://schemas.microsoft.com/office/drawing/2014/main" id="{E7207CAD-8EE4-4EBD-BC70-56E35A641278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879" name="AutoShape 1">
          <a:extLst>
            <a:ext uri="{FF2B5EF4-FFF2-40B4-BE49-F238E27FC236}">
              <a16:creationId xmlns:a16="http://schemas.microsoft.com/office/drawing/2014/main" id="{2706490B-2526-448B-9B38-FD53AB1C0647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880" name="AutoShape 1">
          <a:extLst>
            <a:ext uri="{FF2B5EF4-FFF2-40B4-BE49-F238E27FC236}">
              <a16:creationId xmlns:a16="http://schemas.microsoft.com/office/drawing/2014/main" id="{98A86B00-FACC-4275-B67F-E02165B056AA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881" name="AutoShape 1">
          <a:extLst>
            <a:ext uri="{FF2B5EF4-FFF2-40B4-BE49-F238E27FC236}">
              <a16:creationId xmlns:a16="http://schemas.microsoft.com/office/drawing/2014/main" id="{AAF9AA21-0DF4-47D9-A4F9-715FEB43E809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882" name="AutoShape 1">
          <a:extLst>
            <a:ext uri="{FF2B5EF4-FFF2-40B4-BE49-F238E27FC236}">
              <a16:creationId xmlns:a16="http://schemas.microsoft.com/office/drawing/2014/main" id="{2A03DA29-739C-48BD-AC6F-DB125D8DD082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883" name="AutoShape 1">
          <a:extLst>
            <a:ext uri="{FF2B5EF4-FFF2-40B4-BE49-F238E27FC236}">
              <a16:creationId xmlns:a16="http://schemas.microsoft.com/office/drawing/2014/main" id="{C963F3A4-A69C-4F95-BB5E-41579FFA5C6F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884" name="AutoShape 1">
          <a:extLst>
            <a:ext uri="{FF2B5EF4-FFF2-40B4-BE49-F238E27FC236}">
              <a16:creationId xmlns:a16="http://schemas.microsoft.com/office/drawing/2014/main" id="{B6CB8C9E-9E14-4158-A749-06953336A38E}"/>
            </a:ext>
            <a:ext uri="{147F2762-F138-4A5C-976F-8EAC2B608ADB}">
              <a16:predDERef xmlns:a16="http://schemas.microsoft.com/office/drawing/2014/main" pred="{A9C9C4DB-4B97-447C-9099-E87BCB3C537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885" name="AutoShape 1">
          <a:extLst>
            <a:ext uri="{FF2B5EF4-FFF2-40B4-BE49-F238E27FC236}">
              <a16:creationId xmlns:a16="http://schemas.microsoft.com/office/drawing/2014/main" id="{54D33791-BB35-4B94-AF67-2EB247CA648B}"/>
            </a:ext>
            <a:ext uri="{147F2762-F138-4A5C-976F-8EAC2B608ADB}">
              <a16:predDERef xmlns:a16="http://schemas.microsoft.com/office/drawing/2014/main" pred="{CD89554D-BD76-42AD-819A-278AD445B86E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886" name="AutoShape 1">
          <a:extLst>
            <a:ext uri="{FF2B5EF4-FFF2-40B4-BE49-F238E27FC236}">
              <a16:creationId xmlns:a16="http://schemas.microsoft.com/office/drawing/2014/main" id="{4EAF5EC7-2424-45B2-A99E-E6FB20C9C2F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887" name="AutoShape 1">
          <a:extLst>
            <a:ext uri="{FF2B5EF4-FFF2-40B4-BE49-F238E27FC236}">
              <a16:creationId xmlns:a16="http://schemas.microsoft.com/office/drawing/2014/main" id="{307EC417-150F-4A0E-B2BC-0F480A652341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888" name="AutoShape 1">
          <a:extLst>
            <a:ext uri="{FF2B5EF4-FFF2-40B4-BE49-F238E27FC236}">
              <a16:creationId xmlns:a16="http://schemas.microsoft.com/office/drawing/2014/main" id="{F5B12537-D7F1-4036-8A8B-028780CB110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889" name="AutoShape 1">
          <a:extLst>
            <a:ext uri="{FF2B5EF4-FFF2-40B4-BE49-F238E27FC236}">
              <a16:creationId xmlns:a16="http://schemas.microsoft.com/office/drawing/2014/main" id="{AE03E044-3A83-4D2A-96C2-189E9149017F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890" name="AutoShape 1">
          <a:extLst>
            <a:ext uri="{FF2B5EF4-FFF2-40B4-BE49-F238E27FC236}">
              <a16:creationId xmlns:a16="http://schemas.microsoft.com/office/drawing/2014/main" id="{DE95E7BA-181A-434F-88CC-AB01B524039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891" name="AutoShape 1">
          <a:extLst>
            <a:ext uri="{FF2B5EF4-FFF2-40B4-BE49-F238E27FC236}">
              <a16:creationId xmlns:a16="http://schemas.microsoft.com/office/drawing/2014/main" id="{8B3C2998-F989-4CC5-B606-92983A35BD9A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892" name="AutoShape 1">
          <a:extLst>
            <a:ext uri="{FF2B5EF4-FFF2-40B4-BE49-F238E27FC236}">
              <a16:creationId xmlns:a16="http://schemas.microsoft.com/office/drawing/2014/main" id="{33ABDEB6-963A-4A8A-A950-35EE74AA3716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893" name="AutoShape 1">
          <a:extLst>
            <a:ext uri="{FF2B5EF4-FFF2-40B4-BE49-F238E27FC236}">
              <a16:creationId xmlns:a16="http://schemas.microsoft.com/office/drawing/2014/main" id="{6382D5DF-EE41-4D2D-9DC9-A894E31DE446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894" name="AutoShape 1">
          <a:extLst>
            <a:ext uri="{FF2B5EF4-FFF2-40B4-BE49-F238E27FC236}">
              <a16:creationId xmlns:a16="http://schemas.microsoft.com/office/drawing/2014/main" id="{D95B7D40-BB26-441B-AE00-D684AD0C896E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895" name="AutoShape 1">
          <a:extLst>
            <a:ext uri="{FF2B5EF4-FFF2-40B4-BE49-F238E27FC236}">
              <a16:creationId xmlns:a16="http://schemas.microsoft.com/office/drawing/2014/main" id="{A611E57C-2EDE-40D7-B72E-C9EC2AA3EFF3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896" name="AutoShape 1">
          <a:extLst>
            <a:ext uri="{FF2B5EF4-FFF2-40B4-BE49-F238E27FC236}">
              <a16:creationId xmlns:a16="http://schemas.microsoft.com/office/drawing/2014/main" id="{3883DDC1-50E9-431D-8E1B-E3598BE01094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897" name="AutoShape 1">
          <a:extLst>
            <a:ext uri="{FF2B5EF4-FFF2-40B4-BE49-F238E27FC236}">
              <a16:creationId xmlns:a16="http://schemas.microsoft.com/office/drawing/2014/main" id="{4559EE7C-6484-42E9-BFC5-6B40D186994C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898" name="AutoShape 1">
          <a:extLst>
            <a:ext uri="{FF2B5EF4-FFF2-40B4-BE49-F238E27FC236}">
              <a16:creationId xmlns:a16="http://schemas.microsoft.com/office/drawing/2014/main" id="{F4920A97-4CD4-400A-B05B-01F350A7517D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899" name="AutoShape 1">
          <a:extLst>
            <a:ext uri="{FF2B5EF4-FFF2-40B4-BE49-F238E27FC236}">
              <a16:creationId xmlns:a16="http://schemas.microsoft.com/office/drawing/2014/main" id="{07E50BAF-B0E7-4FB6-A33F-7B831C40BAD9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900" name="AutoShape 1">
          <a:extLst>
            <a:ext uri="{FF2B5EF4-FFF2-40B4-BE49-F238E27FC236}">
              <a16:creationId xmlns:a16="http://schemas.microsoft.com/office/drawing/2014/main" id="{F94C2D10-F99E-4D3C-AC18-8D8DC3AEFBAB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901" name="AutoShape 1">
          <a:extLst>
            <a:ext uri="{FF2B5EF4-FFF2-40B4-BE49-F238E27FC236}">
              <a16:creationId xmlns:a16="http://schemas.microsoft.com/office/drawing/2014/main" id="{24DC93BF-E990-4D8A-B818-A1A232FEAAD3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902" name="AutoShape 1">
          <a:extLst>
            <a:ext uri="{FF2B5EF4-FFF2-40B4-BE49-F238E27FC236}">
              <a16:creationId xmlns:a16="http://schemas.microsoft.com/office/drawing/2014/main" id="{57BF381B-2247-4061-BFA9-0B01745E383D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903" name="AutoShape 1">
          <a:extLst>
            <a:ext uri="{FF2B5EF4-FFF2-40B4-BE49-F238E27FC236}">
              <a16:creationId xmlns:a16="http://schemas.microsoft.com/office/drawing/2014/main" id="{93F31E08-67BF-4A0E-A9B2-6FA2D8CBBEB2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904" name="AutoShape 1">
          <a:extLst>
            <a:ext uri="{FF2B5EF4-FFF2-40B4-BE49-F238E27FC236}">
              <a16:creationId xmlns:a16="http://schemas.microsoft.com/office/drawing/2014/main" id="{4CEE6247-EBA5-44CB-AF6B-4FD19D2B74BC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905" name="AutoShape 1">
          <a:extLst>
            <a:ext uri="{FF2B5EF4-FFF2-40B4-BE49-F238E27FC236}">
              <a16:creationId xmlns:a16="http://schemas.microsoft.com/office/drawing/2014/main" id="{10FABBCB-30BC-4907-BFCA-7BACB5A35367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906" name="AutoShape 1">
          <a:extLst>
            <a:ext uri="{FF2B5EF4-FFF2-40B4-BE49-F238E27FC236}">
              <a16:creationId xmlns:a16="http://schemas.microsoft.com/office/drawing/2014/main" id="{8D065380-EA14-4BB5-9A0C-E60DA99BA1EA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907" name="AutoShape 1">
          <a:extLst>
            <a:ext uri="{FF2B5EF4-FFF2-40B4-BE49-F238E27FC236}">
              <a16:creationId xmlns:a16="http://schemas.microsoft.com/office/drawing/2014/main" id="{C05B8F16-AD52-4DE8-8134-06958CA87905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908" name="AutoShape 1">
          <a:extLst>
            <a:ext uri="{FF2B5EF4-FFF2-40B4-BE49-F238E27FC236}">
              <a16:creationId xmlns:a16="http://schemas.microsoft.com/office/drawing/2014/main" id="{47DBFBE7-502D-46A5-80D7-1411673D01F8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909" name="AutoShape 1">
          <a:extLst>
            <a:ext uri="{FF2B5EF4-FFF2-40B4-BE49-F238E27FC236}">
              <a16:creationId xmlns:a16="http://schemas.microsoft.com/office/drawing/2014/main" id="{59FCA342-281C-47C7-8DB4-1600B4CEFFAC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910" name="AutoShape 1">
          <a:extLst>
            <a:ext uri="{FF2B5EF4-FFF2-40B4-BE49-F238E27FC236}">
              <a16:creationId xmlns:a16="http://schemas.microsoft.com/office/drawing/2014/main" id="{571BD69C-B46F-4E3E-8C67-7A440145BD67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911" name="AutoShape 1">
          <a:extLst>
            <a:ext uri="{FF2B5EF4-FFF2-40B4-BE49-F238E27FC236}">
              <a16:creationId xmlns:a16="http://schemas.microsoft.com/office/drawing/2014/main" id="{DE5A8319-258B-49B8-80D8-28163A386297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912" name="AutoShape 1">
          <a:extLst>
            <a:ext uri="{FF2B5EF4-FFF2-40B4-BE49-F238E27FC236}">
              <a16:creationId xmlns:a16="http://schemas.microsoft.com/office/drawing/2014/main" id="{B5D3DBC7-A4DD-4AE1-950E-345D7E98F19C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913" name="AutoShape 1">
          <a:extLst>
            <a:ext uri="{FF2B5EF4-FFF2-40B4-BE49-F238E27FC236}">
              <a16:creationId xmlns:a16="http://schemas.microsoft.com/office/drawing/2014/main" id="{86DE5451-A31B-4152-8187-2E270417D63F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914" name="AutoShape 1">
          <a:extLst>
            <a:ext uri="{FF2B5EF4-FFF2-40B4-BE49-F238E27FC236}">
              <a16:creationId xmlns:a16="http://schemas.microsoft.com/office/drawing/2014/main" id="{BD83AE19-C3FB-493E-A780-4A61438BEAF0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915" name="AutoShape 1">
          <a:extLst>
            <a:ext uri="{FF2B5EF4-FFF2-40B4-BE49-F238E27FC236}">
              <a16:creationId xmlns:a16="http://schemas.microsoft.com/office/drawing/2014/main" id="{8D874728-37A0-4A64-8E57-4AC2A229832D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916" name="AutoShape 1">
          <a:extLst>
            <a:ext uri="{FF2B5EF4-FFF2-40B4-BE49-F238E27FC236}">
              <a16:creationId xmlns:a16="http://schemas.microsoft.com/office/drawing/2014/main" id="{77C29F48-1D97-40AC-9366-D8352AC7A315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917" name="AutoShape 1">
          <a:extLst>
            <a:ext uri="{FF2B5EF4-FFF2-40B4-BE49-F238E27FC236}">
              <a16:creationId xmlns:a16="http://schemas.microsoft.com/office/drawing/2014/main" id="{51E4E7A4-B1A0-4F23-BFEC-12806278DB99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918" name="AutoShape 1">
          <a:extLst>
            <a:ext uri="{FF2B5EF4-FFF2-40B4-BE49-F238E27FC236}">
              <a16:creationId xmlns:a16="http://schemas.microsoft.com/office/drawing/2014/main" id="{CEBBA2C9-C506-4DFD-A5C8-F89C55B2FF39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919" name="AutoShape 1">
          <a:extLst>
            <a:ext uri="{FF2B5EF4-FFF2-40B4-BE49-F238E27FC236}">
              <a16:creationId xmlns:a16="http://schemas.microsoft.com/office/drawing/2014/main" id="{21416057-1BBE-410D-8950-4B790091F0CC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920" name="AutoShape 1">
          <a:extLst>
            <a:ext uri="{FF2B5EF4-FFF2-40B4-BE49-F238E27FC236}">
              <a16:creationId xmlns:a16="http://schemas.microsoft.com/office/drawing/2014/main" id="{ACBCF775-A68A-4A6F-B222-0AF80736A971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921" name="AutoShape 1">
          <a:extLst>
            <a:ext uri="{FF2B5EF4-FFF2-40B4-BE49-F238E27FC236}">
              <a16:creationId xmlns:a16="http://schemas.microsoft.com/office/drawing/2014/main" id="{8D6A04EA-1100-4379-802B-BD62266CB1C8}"/>
            </a:ext>
            <a:ext uri="{147F2762-F138-4A5C-976F-8EAC2B608ADB}">
              <a16:predDERef xmlns:a16="http://schemas.microsoft.com/office/drawing/2014/main" pred="{A9C9C4DB-4B97-447C-9099-E87BCB3C537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922" name="AutoShape 1">
          <a:extLst>
            <a:ext uri="{FF2B5EF4-FFF2-40B4-BE49-F238E27FC236}">
              <a16:creationId xmlns:a16="http://schemas.microsoft.com/office/drawing/2014/main" id="{F6FE997D-DE02-4AD8-B828-D40325C314EE}"/>
            </a:ext>
            <a:ext uri="{147F2762-F138-4A5C-976F-8EAC2B608ADB}">
              <a16:predDERef xmlns:a16="http://schemas.microsoft.com/office/drawing/2014/main" pred="{CD89554D-BD76-42AD-819A-278AD445B86E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923" name="AutoShape 1">
          <a:extLst>
            <a:ext uri="{FF2B5EF4-FFF2-40B4-BE49-F238E27FC236}">
              <a16:creationId xmlns:a16="http://schemas.microsoft.com/office/drawing/2014/main" id="{305CE176-271D-4743-9813-B5EC9333909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924" name="AutoShape 1">
          <a:extLst>
            <a:ext uri="{FF2B5EF4-FFF2-40B4-BE49-F238E27FC236}">
              <a16:creationId xmlns:a16="http://schemas.microsoft.com/office/drawing/2014/main" id="{0FBDBAD6-AE09-481E-9D44-583E9002E0D1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925" name="AutoShape 1">
          <a:extLst>
            <a:ext uri="{FF2B5EF4-FFF2-40B4-BE49-F238E27FC236}">
              <a16:creationId xmlns:a16="http://schemas.microsoft.com/office/drawing/2014/main" id="{FEFB403D-3B65-4034-A67A-2D95038B1F83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926" name="AutoShape 1">
          <a:extLst>
            <a:ext uri="{FF2B5EF4-FFF2-40B4-BE49-F238E27FC236}">
              <a16:creationId xmlns:a16="http://schemas.microsoft.com/office/drawing/2014/main" id="{C569F173-85C0-4B83-863F-25985E6F752B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927" name="AutoShape 1">
          <a:extLst>
            <a:ext uri="{FF2B5EF4-FFF2-40B4-BE49-F238E27FC236}">
              <a16:creationId xmlns:a16="http://schemas.microsoft.com/office/drawing/2014/main" id="{54737A91-4664-40F1-AEB3-C8DA9068A45F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928" name="AutoShape 1">
          <a:extLst>
            <a:ext uri="{FF2B5EF4-FFF2-40B4-BE49-F238E27FC236}">
              <a16:creationId xmlns:a16="http://schemas.microsoft.com/office/drawing/2014/main" id="{25150E0A-7A94-4D37-93D4-749E2A2E7B9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929" name="AutoShape 1">
          <a:extLst>
            <a:ext uri="{FF2B5EF4-FFF2-40B4-BE49-F238E27FC236}">
              <a16:creationId xmlns:a16="http://schemas.microsoft.com/office/drawing/2014/main" id="{498BF851-EBBF-4104-BE9F-4DF50FF8D64A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930" name="AutoShape 1">
          <a:extLst>
            <a:ext uri="{FF2B5EF4-FFF2-40B4-BE49-F238E27FC236}">
              <a16:creationId xmlns:a16="http://schemas.microsoft.com/office/drawing/2014/main" id="{AF15FDFB-7E1F-452E-A594-6BFD1EF5F7B7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931" name="AutoShape 1">
          <a:extLst>
            <a:ext uri="{FF2B5EF4-FFF2-40B4-BE49-F238E27FC236}">
              <a16:creationId xmlns:a16="http://schemas.microsoft.com/office/drawing/2014/main" id="{9B390D3C-2250-4865-91A0-5F752FE70F5C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932" name="AutoShape 1">
          <a:extLst>
            <a:ext uri="{FF2B5EF4-FFF2-40B4-BE49-F238E27FC236}">
              <a16:creationId xmlns:a16="http://schemas.microsoft.com/office/drawing/2014/main" id="{97673417-28A9-4517-A9C6-37A14CB6D1CD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933" name="AutoShape 1">
          <a:extLst>
            <a:ext uri="{FF2B5EF4-FFF2-40B4-BE49-F238E27FC236}">
              <a16:creationId xmlns:a16="http://schemas.microsoft.com/office/drawing/2014/main" id="{E0FB4A00-99B9-4464-AD90-C779A8D4E60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934" name="AutoShape 1">
          <a:extLst>
            <a:ext uri="{FF2B5EF4-FFF2-40B4-BE49-F238E27FC236}">
              <a16:creationId xmlns:a16="http://schemas.microsoft.com/office/drawing/2014/main" id="{BB043E7B-D6AD-46E9-9EEB-9885E49EE7AD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935" name="AutoShape 1">
          <a:extLst>
            <a:ext uri="{FF2B5EF4-FFF2-40B4-BE49-F238E27FC236}">
              <a16:creationId xmlns:a16="http://schemas.microsoft.com/office/drawing/2014/main" id="{0CE919AC-555F-4D5D-B603-21E73C41B14E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936" name="AutoShape 1">
          <a:extLst>
            <a:ext uri="{FF2B5EF4-FFF2-40B4-BE49-F238E27FC236}">
              <a16:creationId xmlns:a16="http://schemas.microsoft.com/office/drawing/2014/main" id="{F3710706-AF99-4B61-B8FC-066100DF6AC1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937" name="AutoShape 1">
          <a:extLst>
            <a:ext uri="{FF2B5EF4-FFF2-40B4-BE49-F238E27FC236}">
              <a16:creationId xmlns:a16="http://schemas.microsoft.com/office/drawing/2014/main" id="{54A0A8BA-6DAF-40D9-8905-3E2DF74BB24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938" name="AutoShape 1">
          <a:extLst>
            <a:ext uri="{FF2B5EF4-FFF2-40B4-BE49-F238E27FC236}">
              <a16:creationId xmlns:a16="http://schemas.microsoft.com/office/drawing/2014/main" id="{16927C0F-8677-4E17-98C3-C16A407F753C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939" name="AutoShape 1">
          <a:extLst>
            <a:ext uri="{FF2B5EF4-FFF2-40B4-BE49-F238E27FC236}">
              <a16:creationId xmlns:a16="http://schemas.microsoft.com/office/drawing/2014/main" id="{A34EF5C6-ACE7-4463-8BB8-2E13283E3C5B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940" name="AutoShape 1">
          <a:extLst>
            <a:ext uri="{FF2B5EF4-FFF2-40B4-BE49-F238E27FC236}">
              <a16:creationId xmlns:a16="http://schemas.microsoft.com/office/drawing/2014/main" id="{A3CD458E-106A-4CE9-B949-D4D78671D5CB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941" name="AutoShape 1">
          <a:extLst>
            <a:ext uri="{FF2B5EF4-FFF2-40B4-BE49-F238E27FC236}">
              <a16:creationId xmlns:a16="http://schemas.microsoft.com/office/drawing/2014/main" id="{DF801571-3FEB-40E9-9BB5-21DBFF69F13F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942" name="AutoShape 1">
          <a:extLst>
            <a:ext uri="{FF2B5EF4-FFF2-40B4-BE49-F238E27FC236}">
              <a16:creationId xmlns:a16="http://schemas.microsoft.com/office/drawing/2014/main" id="{E577D4D6-5218-40E4-BCA0-EA0BBBB83020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943" name="AutoShape 1">
          <a:extLst>
            <a:ext uri="{FF2B5EF4-FFF2-40B4-BE49-F238E27FC236}">
              <a16:creationId xmlns:a16="http://schemas.microsoft.com/office/drawing/2014/main" id="{87EFEF44-5F22-406B-8BCA-A90F07AEB659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944" name="AutoShape 1">
          <a:extLst>
            <a:ext uri="{FF2B5EF4-FFF2-40B4-BE49-F238E27FC236}">
              <a16:creationId xmlns:a16="http://schemas.microsoft.com/office/drawing/2014/main" id="{EC9E5B1E-9FCD-4A17-993D-F1F06FF13A16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945" name="AutoShape 1">
          <a:extLst>
            <a:ext uri="{FF2B5EF4-FFF2-40B4-BE49-F238E27FC236}">
              <a16:creationId xmlns:a16="http://schemas.microsoft.com/office/drawing/2014/main" id="{E9704714-D72D-4A07-A871-459A7B68D319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946" name="AutoShape 1">
          <a:extLst>
            <a:ext uri="{FF2B5EF4-FFF2-40B4-BE49-F238E27FC236}">
              <a16:creationId xmlns:a16="http://schemas.microsoft.com/office/drawing/2014/main" id="{34C84D31-89CF-4906-AF6D-2F98A838D004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947" name="AutoShape 1">
          <a:extLst>
            <a:ext uri="{FF2B5EF4-FFF2-40B4-BE49-F238E27FC236}">
              <a16:creationId xmlns:a16="http://schemas.microsoft.com/office/drawing/2014/main" id="{4ED94B25-71CD-4CE2-ADE7-2A8CF56960FC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948" name="AutoShape 1">
          <a:extLst>
            <a:ext uri="{FF2B5EF4-FFF2-40B4-BE49-F238E27FC236}">
              <a16:creationId xmlns:a16="http://schemas.microsoft.com/office/drawing/2014/main" id="{ABFDA249-E4A0-4911-B885-BEB38C03DC53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949" name="AutoShape 1">
          <a:extLst>
            <a:ext uri="{FF2B5EF4-FFF2-40B4-BE49-F238E27FC236}">
              <a16:creationId xmlns:a16="http://schemas.microsoft.com/office/drawing/2014/main" id="{7E894C32-C8B2-49DE-A586-1DE0262795A0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950" name="AutoShape 1">
          <a:extLst>
            <a:ext uri="{FF2B5EF4-FFF2-40B4-BE49-F238E27FC236}">
              <a16:creationId xmlns:a16="http://schemas.microsoft.com/office/drawing/2014/main" id="{322C4517-23D8-496B-A79F-6888659243FC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951" name="AutoShape 1">
          <a:extLst>
            <a:ext uri="{FF2B5EF4-FFF2-40B4-BE49-F238E27FC236}">
              <a16:creationId xmlns:a16="http://schemas.microsoft.com/office/drawing/2014/main" id="{F576ED3D-8379-45B0-8742-91261A3BC24F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952" name="AutoShape 1">
          <a:extLst>
            <a:ext uri="{FF2B5EF4-FFF2-40B4-BE49-F238E27FC236}">
              <a16:creationId xmlns:a16="http://schemas.microsoft.com/office/drawing/2014/main" id="{6384C919-9DF2-46FF-845E-985A4E6248D9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953" name="AutoShape 1">
          <a:extLst>
            <a:ext uri="{FF2B5EF4-FFF2-40B4-BE49-F238E27FC236}">
              <a16:creationId xmlns:a16="http://schemas.microsoft.com/office/drawing/2014/main" id="{E6A2E8B8-9EB4-446C-8BD1-9C8A334F82F0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954" name="AutoShape 1">
          <a:extLst>
            <a:ext uri="{FF2B5EF4-FFF2-40B4-BE49-F238E27FC236}">
              <a16:creationId xmlns:a16="http://schemas.microsoft.com/office/drawing/2014/main" id="{9D9925F9-723C-4648-9595-DF58FF897F29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955" name="AutoShape 1">
          <a:extLst>
            <a:ext uri="{FF2B5EF4-FFF2-40B4-BE49-F238E27FC236}">
              <a16:creationId xmlns:a16="http://schemas.microsoft.com/office/drawing/2014/main" id="{A828DF9A-A8BE-4F83-B5C8-CE6F874D0E39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956" name="AutoShape 1">
          <a:extLst>
            <a:ext uri="{FF2B5EF4-FFF2-40B4-BE49-F238E27FC236}">
              <a16:creationId xmlns:a16="http://schemas.microsoft.com/office/drawing/2014/main" id="{26734893-1A20-471F-B1A1-344F9EC24C02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957" name="AutoShape 1">
          <a:extLst>
            <a:ext uri="{FF2B5EF4-FFF2-40B4-BE49-F238E27FC236}">
              <a16:creationId xmlns:a16="http://schemas.microsoft.com/office/drawing/2014/main" id="{2ECA1E14-A072-46A2-8D0E-0909D7BAE726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958" name="AutoShape 1">
          <a:extLst>
            <a:ext uri="{FF2B5EF4-FFF2-40B4-BE49-F238E27FC236}">
              <a16:creationId xmlns:a16="http://schemas.microsoft.com/office/drawing/2014/main" id="{63643693-6750-43A7-BFE8-AE915F786E0B}"/>
            </a:ext>
            <a:ext uri="{147F2762-F138-4A5C-976F-8EAC2B608ADB}">
              <a16:predDERef xmlns:a16="http://schemas.microsoft.com/office/drawing/2014/main" pred="{A9C9C4DB-4B97-447C-9099-E87BCB3C537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959" name="AutoShape 1">
          <a:extLst>
            <a:ext uri="{FF2B5EF4-FFF2-40B4-BE49-F238E27FC236}">
              <a16:creationId xmlns:a16="http://schemas.microsoft.com/office/drawing/2014/main" id="{4946FE7B-5077-44B3-B387-A045E4DA4715}"/>
            </a:ext>
            <a:ext uri="{147F2762-F138-4A5C-976F-8EAC2B608ADB}">
              <a16:predDERef xmlns:a16="http://schemas.microsoft.com/office/drawing/2014/main" pred="{CD89554D-BD76-42AD-819A-278AD445B86E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960" name="AutoShape 1">
          <a:extLst>
            <a:ext uri="{FF2B5EF4-FFF2-40B4-BE49-F238E27FC236}">
              <a16:creationId xmlns:a16="http://schemas.microsoft.com/office/drawing/2014/main" id="{1A304840-70B4-4610-AFF2-EBE5E9BC7D91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961" name="AutoShape 1">
          <a:extLst>
            <a:ext uri="{FF2B5EF4-FFF2-40B4-BE49-F238E27FC236}">
              <a16:creationId xmlns:a16="http://schemas.microsoft.com/office/drawing/2014/main" id="{513B3E55-6A0C-4460-B3F4-A9A1CA0B17F4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962" name="AutoShape 1">
          <a:extLst>
            <a:ext uri="{FF2B5EF4-FFF2-40B4-BE49-F238E27FC236}">
              <a16:creationId xmlns:a16="http://schemas.microsoft.com/office/drawing/2014/main" id="{B1451614-76D5-41E7-BE73-5FCA9C367E4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963" name="AutoShape 1">
          <a:extLst>
            <a:ext uri="{FF2B5EF4-FFF2-40B4-BE49-F238E27FC236}">
              <a16:creationId xmlns:a16="http://schemas.microsoft.com/office/drawing/2014/main" id="{FC498858-6B9C-48A6-A2BC-6E6E05B702DA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964" name="AutoShape 1">
          <a:extLst>
            <a:ext uri="{FF2B5EF4-FFF2-40B4-BE49-F238E27FC236}">
              <a16:creationId xmlns:a16="http://schemas.microsoft.com/office/drawing/2014/main" id="{EB4409FF-C0FA-44C7-B61D-1490C592BEE6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965" name="AutoShape 1">
          <a:extLst>
            <a:ext uri="{FF2B5EF4-FFF2-40B4-BE49-F238E27FC236}">
              <a16:creationId xmlns:a16="http://schemas.microsoft.com/office/drawing/2014/main" id="{00D9FFA8-3404-461B-B0ED-07EA2FB62DC6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966" name="AutoShape 1">
          <a:extLst>
            <a:ext uri="{FF2B5EF4-FFF2-40B4-BE49-F238E27FC236}">
              <a16:creationId xmlns:a16="http://schemas.microsoft.com/office/drawing/2014/main" id="{83D5D488-4342-4D34-BF5B-73B3621A67A7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967" name="AutoShape 1">
          <a:extLst>
            <a:ext uri="{FF2B5EF4-FFF2-40B4-BE49-F238E27FC236}">
              <a16:creationId xmlns:a16="http://schemas.microsoft.com/office/drawing/2014/main" id="{386EAA20-0FDF-4CF4-8038-E3740258E5D3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968" name="AutoShape 1">
          <a:extLst>
            <a:ext uri="{FF2B5EF4-FFF2-40B4-BE49-F238E27FC236}">
              <a16:creationId xmlns:a16="http://schemas.microsoft.com/office/drawing/2014/main" id="{31D51C47-436C-4A90-B04E-4B99CF14FD2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969" name="AutoShape 1">
          <a:extLst>
            <a:ext uri="{FF2B5EF4-FFF2-40B4-BE49-F238E27FC236}">
              <a16:creationId xmlns:a16="http://schemas.microsoft.com/office/drawing/2014/main" id="{BEF7BD51-D29F-4C28-BA1B-401DB92371D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970" name="AutoShape 1">
          <a:extLst>
            <a:ext uri="{FF2B5EF4-FFF2-40B4-BE49-F238E27FC236}">
              <a16:creationId xmlns:a16="http://schemas.microsoft.com/office/drawing/2014/main" id="{D797B866-B5FE-4AA6-B365-84221162174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971" name="AutoShape 1">
          <a:extLst>
            <a:ext uri="{FF2B5EF4-FFF2-40B4-BE49-F238E27FC236}">
              <a16:creationId xmlns:a16="http://schemas.microsoft.com/office/drawing/2014/main" id="{50E87FA0-238F-484E-A9DD-3B60D037BECC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972" name="AutoShape 1">
          <a:extLst>
            <a:ext uri="{FF2B5EF4-FFF2-40B4-BE49-F238E27FC236}">
              <a16:creationId xmlns:a16="http://schemas.microsoft.com/office/drawing/2014/main" id="{44516044-C6F7-42C1-862D-D6D2A8F0E49B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973" name="AutoShape 1">
          <a:extLst>
            <a:ext uri="{FF2B5EF4-FFF2-40B4-BE49-F238E27FC236}">
              <a16:creationId xmlns:a16="http://schemas.microsoft.com/office/drawing/2014/main" id="{DDD6E66C-CA0D-484A-A5E9-B6514DF5DB3F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974" name="AutoShape 1">
          <a:extLst>
            <a:ext uri="{FF2B5EF4-FFF2-40B4-BE49-F238E27FC236}">
              <a16:creationId xmlns:a16="http://schemas.microsoft.com/office/drawing/2014/main" id="{173C317E-1032-4713-8EDE-88901229BE24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975" name="AutoShape 1">
          <a:extLst>
            <a:ext uri="{FF2B5EF4-FFF2-40B4-BE49-F238E27FC236}">
              <a16:creationId xmlns:a16="http://schemas.microsoft.com/office/drawing/2014/main" id="{4B5E2CC1-A0C6-4C79-92D5-F666DF0C4967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976" name="AutoShape 1">
          <a:extLst>
            <a:ext uri="{FF2B5EF4-FFF2-40B4-BE49-F238E27FC236}">
              <a16:creationId xmlns:a16="http://schemas.microsoft.com/office/drawing/2014/main" id="{99746671-FFA6-427E-B99F-980F72A598C4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977" name="AutoShape 1">
          <a:extLst>
            <a:ext uri="{FF2B5EF4-FFF2-40B4-BE49-F238E27FC236}">
              <a16:creationId xmlns:a16="http://schemas.microsoft.com/office/drawing/2014/main" id="{E21C69D7-72A9-4997-8242-97DEDA6F4642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978" name="AutoShape 1">
          <a:extLst>
            <a:ext uri="{FF2B5EF4-FFF2-40B4-BE49-F238E27FC236}">
              <a16:creationId xmlns:a16="http://schemas.microsoft.com/office/drawing/2014/main" id="{21F9803A-AC64-4643-A6D0-CBD407F6C194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979" name="AutoShape 1">
          <a:extLst>
            <a:ext uri="{FF2B5EF4-FFF2-40B4-BE49-F238E27FC236}">
              <a16:creationId xmlns:a16="http://schemas.microsoft.com/office/drawing/2014/main" id="{BFEFDB8F-848C-44BD-BA91-4A4A1603DC14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980" name="AutoShape 1">
          <a:extLst>
            <a:ext uri="{FF2B5EF4-FFF2-40B4-BE49-F238E27FC236}">
              <a16:creationId xmlns:a16="http://schemas.microsoft.com/office/drawing/2014/main" id="{1B63C38D-9BE0-4CB3-8B9A-5A375624A631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981" name="AutoShape 1">
          <a:extLst>
            <a:ext uri="{FF2B5EF4-FFF2-40B4-BE49-F238E27FC236}">
              <a16:creationId xmlns:a16="http://schemas.microsoft.com/office/drawing/2014/main" id="{F3ABDC2F-4931-414A-B264-F92BC4F47342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982" name="AutoShape 1">
          <a:extLst>
            <a:ext uri="{FF2B5EF4-FFF2-40B4-BE49-F238E27FC236}">
              <a16:creationId xmlns:a16="http://schemas.microsoft.com/office/drawing/2014/main" id="{823F0A61-07C9-46A4-8A5D-CBBA1DA86A9F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983" name="AutoShape 1">
          <a:extLst>
            <a:ext uri="{FF2B5EF4-FFF2-40B4-BE49-F238E27FC236}">
              <a16:creationId xmlns:a16="http://schemas.microsoft.com/office/drawing/2014/main" id="{86E7D567-2A7B-43A2-8DA6-39B9CF896924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984" name="AutoShape 1">
          <a:extLst>
            <a:ext uri="{FF2B5EF4-FFF2-40B4-BE49-F238E27FC236}">
              <a16:creationId xmlns:a16="http://schemas.microsoft.com/office/drawing/2014/main" id="{7BBA34A7-5C46-44F4-9649-09DAD7A24885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985" name="AutoShape 1">
          <a:extLst>
            <a:ext uri="{FF2B5EF4-FFF2-40B4-BE49-F238E27FC236}">
              <a16:creationId xmlns:a16="http://schemas.microsoft.com/office/drawing/2014/main" id="{8A91B666-98EC-48BB-BE7D-CDC1821FCABB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986" name="AutoShape 1">
          <a:extLst>
            <a:ext uri="{FF2B5EF4-FFF2-40B4-BE49-F238E27FC236}">
              <a16:creationId xmlns:a16="http://schemas.microsoft.com/office/drawing/2014/main" id="{5E0DF8F7-2045-40F8-9C66-D2C17FAD030B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987" name="AutoShape 1">
          <a:extLst>
            <a:ext uri="{FF2B5EF4-FFF2-40B4-BE49-F238E27FC236}">
              <a16:creationId xmlns:a16="http://schemas.microsoft.com/office/drawing/2014/main" id="{796F323D-44B6-4782-BBA5-6BB9ABD8FD11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988" name="AutoShape 1">
          <a:extLst>
            <a:ext uri="{FF2B5EF4-FFF2-40B4-BE49-F238E27FC236}">
              <a16:creationId xmlns:a16="http://schemas.microsoft.com/office/drawing/2014/main" id="{387870DB-5855-4227-B65A-F196565FA5C1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989" name="AutoShape 1">
          <a:extLst>
            <a:ext uri="{FF2B5EF4-FFF2-40B4-BE49-F238E27FC236}">
              <a16:creationId xmlns:a16="http://schemas.microsoft.com/office/drawing/2014/main" id="{9DAF3D15-F959-4A9E-9C98-299CE1D3ECDB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990" name="AutoShape 1">
          <a:extLst>
            <a:ext uri="{FF2B5EF4-FFF2-40B4-BE49-F238E27FC236}">
              <a16:creationId xmlns:a16="http://schemas.microsoft.com/office/drawing/2014/main" id="{33E950A5-A658-470B-B897-7B7CAD1F7354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991" name="AutoShape 1">
          <a:extLst>
            <a:ext uri="{FF2B5EF4-FFF2-40B4-BE49-F238E27FC236}">
              <a16:creationId xmlns:a16="http://schemas.microsoft.com/office/drawing/2014/main" id="{45B1C766-5190-42C2-BAE5-F92D9D2B8002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992" name="AutoShape 1">
          <a:extLst>
            <a:ext uri="{FF2B5EF4-FFF2-40B4-BE49-F238E27FC236}">
              <a16:creationId xmlns:a16="http://schemas.microsoft.com/office/drawing/2014/main" id="{B2ECFF23-19EC-4B60-AB56-FC2236294565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993" name="AutoShape 1">
          <a:extLst>
            <a:ext uri="{FF2B5EF4-FFF2-40B4-BE49-F238E27FC236}">
              <a16:creationId xmlns:a16="http://schemas.microsoft.com/office/drawing/2014/main" id="{72F33502-63A6-49EF-B120-5F9ECCE027EA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994" name="AutoShape 1">
          <a:extLst>
            <a:ext uri="{FF2B5EF4-FFF2-40B4-BE49-F238E27FC236}">
              <a16:creationId xmlns:a16="http://schemas.microsoft.com/office/drawing/2014/main" id="{63B84380-1C16-46AF-BCDC-32040057EB5F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995" name="AutoShape 1">
          <a:extLst>
            <a:ext uri="{FF2B5EF4-FFF2-40B4-BE49-F238E27FC236}">
              <a16:creationId xmlns:a16="http://schemas.microsoft.com/office/drawing/2014/main" id="{351FF2CE-93B9-4679-9C45-1431E7D0526C}"/>
            </a:ext>
            <a:ext uri="{147F2762-F138-4A5C-976F-8EAC2B608ADB}">
              <a16:predDERef xmlns:a16="http://schemas.microsoft.com/office/drawing/2014/main" pred="{A9C9C4DB-4B97-447C-9099-E87BCB3C537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996" name="AutoShape 1">
          <a:extLst>
            <a:ext uri="{FF2B5EF4-FFF2-40B4-BE49-F238E27FC236}">
              <a16:creationId xmlns:a16="http://schemas.microsoft.com/office/drawing/2014/main" id="{919CE670-AD78-4874-8F11-D7289C5E4B9A}"/>
            </a:ext>
            <a:ext uri="{147F2762-F138-4A5C-976F-8EAC2B608ADB}">
              <a16:predDERef xmlns:a16="http://schemas.microsoft.com/office/drawing/2014/main" pred="{CD89554D-BD76-42AD-819A-278AD445B86E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997" name="AutoShape 1">
          <a:extLst>
            <a:ext uri="{FF2B5EF4-FFF2-40B4-BE49-F238E27FC236}">
              <a16:creationId xmlns:a16="http://schemas.microsoft.com/office/drawing/2014/main" id="{0630C32C-0665-46B5-B8ED-D336DD25B39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998" name="AutoShape 1">
          <a:extLst>
            <a:ext uri="{FF2B5EF4-FFF2-40B4-BE49-F238E27FC236}">
              <a16:creationId xmlns:a16="http://schemas.microsoft.com/office/drawing/2014/main" id="{53455A21-196E-425D-A475-F3E501E48EF3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1999" name="AutoShape 1">
          <a:extLst>
            <a:ext uri="{FF2B5EF4-FFF2-40B4-BE49-F238E27FC236}">
              <a16:creationId xmlns:a16="http://schemas.microsoft.com/office/drawing/2014/main" id="{C698ED52-8D47-474C-8828-8E70594DD8F4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000" name="AutoShape 1">
          <a:extLst>
            <a:ext uri="{FF2B5EF4-FFF2-40B4-BE49-F238E27FC236}">
              <a16:creationId xmlns:a16="http://schemas.microsoft.com/office/drawing/2014/main" id="{7C34B129-AF6E-4A93-9596-85BA1661F084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001" name="AutoShape 1">
          <a:extLst>
            <a:ext uri="{FF2B5EF4-FFF2-40B4-BE49-F238E27FC236}">
              <a16:creationId xmlns:a16="http://schemas.microsoft.com/office/drawing/2014/main" id="{215C69B2-C8B1-40E8-8D96-04588036670E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002" name="AutoShape 1">
          <a:extLst>
            <a:ext uri="{FF2B5EF4-FFF2-40B4-BE49-F238E27FC236}">
              <a16:creationId xmlns:a16="http://schemas.microsoft.com/office/drawing/2014/main" id="{E2DB8DEB-6608-4D98-9F12-AC770CB3D266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003" name="AutoShape 1">
          <a:extLst>
            <a:ext uri="{FF2B5EF4-FFF2-40B4-BE49-F238E27FC236}">
              <a16:creationId xmlns:a16="http://schemas.microsoft.com/office/drawing/2014/main" id="{169ADC14-254E-4962-AA71-8A2943FA53B7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004" name="AutoShape 1">
          <a:extLst>
            <a:ext uri="{FF2B5EF4-FFF2-40B4-BE49-F238E27FC236}">
              <a16:creationId xmlns:a16="http://schemas.microsoft.com/office/drawing/2014/main" id="{A86C6D62-57A3-48B3-98A0-94CD28FA7EB3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005" name="AutoShape 1">
          <a:extLst>
            <a:ext uri="{FF2B5EF4-FFF2-40B4-BE49-F238E27FC236}">
              <a16:creationId xmlns:a16="http://schemas.microsoft.com/office/drawing/2014/main" id="{F19C395B-1A79-4061-A450-9D0052641709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006" name="AutoShape 1">
          <a:extLst>
            <a:ext uri="{FF2B5EF4-FFF2-40B4-BE49-F238E27FC236}">
              <a16:creationId xmlns:a16="http://schemas.microsoft.com/office/drawing/2014/main" id="{5951752C-A4EE-4146-A7A4-2F78BF091B24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007" name="AutoShape 1">
          <a:extLst>
            <a:ext uri="{FF2B5EF4-FFF2-40B4-BE49-F238E27FC236}">
              <a16:creationId xmlns:a16="http://schemas.microsoft.com/office/drawing/2014/main" id="{3275F1CC-34E2-426F-B921-EC16A52866D3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008" name="AutoShape 1">
          <a:extLst>
            <a:ext uri="{FF2B5EF4-FFF2-40B4-BE49-F238E27FC236}">
              <a16:creationId xmlns:a16="http://schemas.microsoft.com/office/drawing/2014/main" id="{E5C5F58D-0939-4D6D-8F37-D8870B2B401A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009" name="AutoShape 1">
          <a:extLst>
            <a:ext uri="{FF2B5EF4-FFF2-40B4-BE49-F238E27FC236}">
              <a16:creationId xmlns:a16="http://schemas.microsoft.com/office/drawing/2014/main" id="{D92A1078-B904-40B9-A9C1-0CB708750CB6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010" name="AutoShape 1">
          <a:extLst>
            <a:ext uri="{FF2B5EF4-FFF2-40B4-BE49-F238E27FC236}">
              <a16:creationId xmlns:a16="http://schemas.microsoft.com/office/drawing/2014/main" id="{1250483C-DC7C-41D1-9DF8-198149AC85B3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011" name="AutoShape 1">
          <a:extLst>
            <a:ext uri="{FF2B5EF4-FFF2-40B4-BE49-F238E27FC236}">
              <a16:creationId xmlns:a16="http://schemas.microsoft.com/office/drawing/2014/main" id="{5A5B7CFC-96C6-46F2-A436-B93095D5EE61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012" name="AutoShape 1">
          <a:extLst>
            <a:ext uri="{FF2B5EF4-FFF2-40B4-BE49-F238E27FC236}">
              <a16:creationId xmlns:a16="http://schemas.microsoft.com/office/drawing/2014/main" id="{1F45CF1D-1313-4E1F-8FB8-241A2B810A5C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013" name="AutoShape 1">
          <a:extLst>
            <a:ext uri="{FF2B5EF4-FFF2-40B4-BE49-F238E27FC236}">
              <a16:creationId xmlns:a16="http://schemas.microsoft.com/office/drawing/2014/main" id="{B7D166A2-B475-41BA-B3A1-B81C05723DBA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014" name="AutoShape 1">
          <a:extLst>
            <a:ext uri="{FF2B5EF4-FFF2-40B4-BE49-F238E27FC236}">
              <a16:creationId xmlns:a16="http://schemas.microsoft.com/office/drawing/2014/main" id="{01A18D26-0E50-4A54-9CED-0D177F3866AC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015" name="AutoShape 1">
          <a:extLst>
            <a:ext uri="{FF2B5EF4-FFF2-40B4-BE49-F238E27FC236}">
              <a16:creationId xmlns:a16="http://schemas.microsoft.com/office/drawing/2014/main" id="{13003215-9890-42A2-9D90-4EB29DF35CB8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016" name="AutoShape 1">
          <a:extLst>
            <a:ext uri="{FF2B5EF4-FFF2-40B4-BE49-F238E27FC236}">
              <a16:creationId xmlns:a16="http://schemas.microsoft.com/office/drawing/2014/main" id="{AC241E12-E3A4-4DE6-AF07-BEBE5D8B5E7D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017" name="AutoShape 1">
          <a:extLst>
            <a:ext uri="{FF2B5EF4-FFF2-40B4-BE49-F238E27FC236}">
              <a16:creationId xmlns:a16="http://schemas.microsoft.com/office/drawing/2014/main" id="{6151073E-5365-4C37-8405-D922693FA8E8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018" name="AutoShape 1">
          <a:extLst>
            <a:ext uri="{FF2B5EF4-FFF2-40B4-BE49-F238E27FC236}">
              <a16:creationId xmlns:a16="http://schemas.microsoft.com/office/drawing/2014/main" id="{D7133337-77C0-41EA-913C-52AA53A3E83B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019" name="AutoShape 1">
          <a:extLst>
            <a:ext uri="{FF2B5EF4-FFF2-40B4-BE49-F238E27FC236}">
              <a16:creationId xmlns:a16="http://schemas.microsoft.com/office/drawing/2014/main" id="{E0E5F0C6-91C0-4163-82BB-45F7BFD50723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020" name="AutoShape 1">
          <a:extLst>
            <a:ext uri="{FF2B5EF4-FFF2-40B4-BE49-F238E27FC236}">
              <a16:creationId xmlns:a16="http://schemas.microsoft.com/office/drawing/2014/main" id="{3DE05CE8-342B-4EA7-8FC1-92CBA7A253DD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021" name="AutoShape 1">
          <a:extLst>
            <a:ext uri="{FF2B5EF4-FFF2-40B4-BE49-F238E27FC236}">
              <a16:creationId xmlns:a16="http://schemas.microsoft.com/office/drawing/2014/main" id="{41B1D615-5BD3-47FB-87E1-D9B9A4A03179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022" name="AutoShape 1">
          <a:extLst>
            <a:ext uri="{FF2B5EF4-FFF2-40B4-BE49-F238E27FC236}">
              <a16:creationId xmlns:a16="http://schemas.microsoft.com/office/drawing/2014/main" id="{D3589061-5C95-4EB5-8DD4-F74C0C351C29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023" name="AutoShape 1">
          <a:extLst>
            <a:ext uri="{FF2B5EF4-FFF2-40B4-BE49-F238E27FC236}">
              <a16:creationId xmlns:a16="http://schemas.microsoft.com/office/drawing/2014/main" id="{ABDA8846-4FDB-45D4-A4A3-658B24A4B321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024" name="AutoShape 1">
          <a:extLst>
            <a:ext uri="{FF2B5EF4-FFF2-40B4-BE49-F238E27FC236}">
              <a16:creationId xmlns:a16="http://schemas.microsoft.com/office/drawing/2014/main" id="{411303E9-957D-4DF8-8C35-83A56F5B0324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025" name="AutoShape 1">
          <a:extLst>
            <a:ext uri="{FF2B5EF4-FFF2-40B4-BE49-F238E27FC236}">
              <a16:creationId xmlns:a16="http://schemas.microsoft.com/office/drawing/2014/main" id="{1F00A61E-AC5B-4261-8631-EB6C4BFFD75F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026" name="AutoShape 1">
          <a:extLst>
            <a:ext uri="{FF2B5EF4-FFF2-40B4-BE49-F238E27FC236}">
              <a16:creationId xmlns:a16="http://schemas.microsoft.com/office/drawing/2014/main" id="{2386BC25-F9DF-4597-8159-76980BED3860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027" name="AutoShape 1">
          <a:extLst>
            <a:ext uri="{FF2B5EF4-FFF2-40B4-BE49-F238E27FC236}">
              <a16:creationId xmlns:a16="http://schemas.microsoft.com/office/drawing/2014/main" id="{E6CC2DDF-2A58-464E-9173-405B240B2585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028" name="AutoShape 1">
          <a:extLst>
            <a:ext uri="{FF2B5EF4-FFF2-40B4-BE49-F238E27FC236}">
              <a16:creationId xmlns:a16="http://schemas.microsoft.com/office/drawing/2014/main" id="{1E80BA2D-451A-4113-B356-513C427AF2FA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029" name="AutoShape 1">
          <a:extLst>
            <a:ext uri="{FF2B5EF4-FFF2-40B4-BE49-F238E27FC236}">
              <a16:creationId xmlns:a16="http://schemas.microsoft.com/office/drawing/2014/main" id="{72A3E46A-FD21-4BF2-8F8F-46FC14AB2F7A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030" name="AutoShape 1">
          <a:extLst>
            <a:ext uri="{FF2B5EF4-FFF2-40B4-BE49-F238E27FC236}">
              <a16:creationId xmlns:a16="http://schemas.microsoft.com/office/drawing/2014/main" id="{27D3DAA8-C96D-46CB-9617-FEDACC98D42B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031" name="AutoShape 1">
          <a:extLst>
            <a:ext uri="{FF2B5EF4-FFF2-40B4-BE49-F238E27FC236}">
              <a16:creationId xmlns:a16="http://schemas.microsoft.com/office/drawing/2014/main" id="{F9E4C78F-9D33-4C6B-BD96-1BA1243DC916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032" name="AutoShape 1">
          <a:extLst>
            <a:ext uri="{FF2B5EF4-FFF2-40B4-BE49-F238E27FC236}">
              <a16:creationId xmlns:a16="http://schemas.microsoft.com/office/drawing/2014/main" id="{6FBF94D7-E55D-4EFA-8F5B-52EBCC052BEA}"/>
            </a:ext>
            <a:ext uri="{147F2762-F138-4A5C-976F-8EAC2B608ADB}">
              <a16:predDERef xmlns:a16="http://schemas.microsoft.com/office/drawing/2014/main" pred="{A9C9C4DB-4B97-447C-9099-E87BCB3C537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033" name="AutoShape 1">
          <a:extLst>
            <a:ext uri="{FF2B5EF4-FFF2-40B4-BE49-F238E27FC236}">
              <a16:creationId xmlns:a16="http://schemas.microsoft.com/office/drawing/2014/main" id="{B22E137C-852B-497B-AE82-54DBE54DF7B4}"/>
            </a:ext>
            <a:ext uri="{147F2762-F138-4A5C-976F-8EAC2B608ADB}">
              <a16:predDERef xmlns:a16="http://schemas.microsoft.com/office/drawing/2014/main" pred="{CD89554D-BD76-42AD-819A-278AD445B86E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034" name="AutoShape 1">
          <a:extLst>
            <a:ext uri="{FF2B5EF4-FFF2-40B4-BE49-F238E27FC236}">
              <a16:creationId xmlns:a16="http://schemas.microsoft.com/office/drawing/2014/main" id="{2C8D7675-94E6-49C4-B288-C127CD76699E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035" name="AutoShape 1">
          <a:extLst>
            <a:ext uri="{FF2B5EF4-FFF2-40B4-BE49-F238E27FC236}">
              <a16:creationId xmlns:a16="http://schemas.microsoft.com/office/drawing/2014/main" id="{06519121-8369-41B6-9F30-1B12E6FEB7C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036" name="AutoShape 1">
          <a:extLst>
            <a:ext uri="{FF2B5EF4-FFF2-40B4-BE49-F238E27FC236}">
              <a16:creationId xmlns:a16="http://schemas.microsoft.com/office/drawing/2014/main" id="{71E35BDB-552C-455A-A622-E54938CE803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037" name="AutoShape 1">
          <a:extLst>
            <a:ext uri="{FF2B5EF4-FFF2-40B4-BE49-F238E27FC236}">
              <a16:creationId xmlns:a16="http://schemas.microsoft.com/office/drawing/2014/main" id="{4BA59C94-CBDD-4881-91E1-E5D045CC3819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038" name="AutoShape 1">
          <a:extLst>
            <a:ext uri="{FF2B5EF4-FFF2-40B4-BE49-F238E27FC236}">
              <a16:creationId xmlns:a16="http://schemas.microsoft.com/office/drawing/2014/main" id="{90DBB443-27C0-4A1F-94BA-DABF8CFE37A4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039" name="AutoShape 1">
          <a:extLst>
            <a:ext uri="{FF2B5EF4-FFF2-40B4-BE49-F238E27FC236}">
              <a16:creationId xmlns:a16="http://schemas.microsoft.com/office/drawing/2014/main" id="{0FDB60ED-3382-415A-A445-7B4FAF97DE0B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040" name="AutoShape 1">
          <a:extLst>
            <a:ext uri="{FF2B5EF4-FFF2-40B4-BE49-F238E27FC236}">
              <a16:creationId xmlns:a16="http://schemas.microsoft.com/office/drawing/2014/main" id="{8A916500-323D-4C96-ABBB-E88ECFA9588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041" name="AutoShape 1">
          <a:extLst>
            <a:ext uri="{FF2B5EF4-FFF2-40B4-BE49-F238E27FC236}">
              <a16:creationId xmlns:a16="http://schemas.microsoft.com/office/drawing/2014/main" id="{B06D94E4-83DC-4D15-865A-E1A0367FB70E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042" name="AutoShape 1">
          <a:extLst>
            <a:ext uri="{FF2B5EF4-FFF2-40B4-BE49-F238E27FC236}">
              <a16:creationId xmlns:a16="http://schemas.microsoft.com/office/drawing/2014/main" id="{5675A6DE-87B0-4012-ADF5-65771386C20A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043" name="AutoShape 1">
          <a:extLst>
            <a:ext uri="{FF2B5EF4-FFF2-40B4-BE49-F238E27FC236}">
              <a16:creationId xmlns:a16="http://schemas.microsoft.com/office/drawing/2014/main" id="{29D0E4AC-2B18-4316-A0F2-831F3049B17C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044" name="AutoShape 1">
          <a:extLst>
            <a:ext uri="{FF2B5EF4-FFF2-40B4-BE49-F238E27FC236}">
              <a16:creationId xmlns:a16="http://schemas.microsoft.com/office/drawing/2014/main" id="{A311BF23-50C5-4063-B3F5-4C6061F2BFED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045" name="AutoShape 1">
          <a:extLst>
            <a:ext uri="{FF2B5EF4-FFF2-40B4-BE49-F238E27FC236}">
              <a16:creationId xmlns:a16="http://schemas.microsoft.com/office/drawing/2014/main" id="{6DE19350-05FE-44EB-9838-FCCAD4B2009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046" name="AutoShape 1">
          <a:extLst>
            <a:ext uri="{FF2B5EF4-FFF2-40B4-BE49-F238E27FC236}">
              <a16:creationId xmlns:a16="http://schemas.microsoft.com/office/drawing/2014/main" id="{95D709D2-9C72-415F-8B21-9891C44C7874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047" name="AutoShape 1">
          <a:extLst>
            <a:ext uri="{FF2B5EF4-FFF2-40B4-BE49-F238E27FC236}">
              <a16:creationId xmlns:a16="http://schemas.microsoft.com/office/drawing/2014/main" id="{BC3AD52B-9917-481F-BBA3-558D7ED8E057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048" name="AutoShape 1">
          <a:extLst>
            <a:ext uri="{FF2B5EF4-FFF2-40B4-BE49-F238E27FC236}">
              <a16:creationId xmlns:a16="http://schemas.microsoft.com/office/drawing/2014/main" id="{03A199B5-3CD0-4E57-A982-9527ECB2A75C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049" name="AutoShape 1">
          <a:extLst>
            <a:ext uri="{FF2B5EF4-FFF2-40B4-BE49-F238E27FC236}">
              <a16:creationId xmlns:a16="http://schemas.microsoft.com/office/drawing/2014/main" id="{29216FF0-C866-4019-AD65-F23E754A2399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050" name="AutoShape 1">
          <a:extLst>
            <a:ext uri="{FF2B5EF4-FFF2-40B4-BE49-F238E27FC236}">
              <a16:creationId xmlns:a16="http://schemas.microsoft.com/office/drawing/2014/main" id="{CA7CA15F-2A5B-4053-937C-5E2D995D8744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051" name="AutoShape 1">
          <a:extLst>
            <a:ext uri="{FF2B5EF4-FFF2-40B4-BE49-F238E27FC236}">
              <a16:creationId xmlns:a16="http://schemas.microsoft.com/office/drawing/2014/main" id="{0A7A586B-2A2E-4045-B55A-5A9B8068D68E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052" name="AutoShape 1">
          <a:extLst>
            <a:ext uri="{FF2B5EF4-FFF2-40B4-BE49-F238E27FC236}">
              <a16:creationId xmlns:a16="http://schemas.microsoft.com/office/drawing/2014/main" id="{F4D02459-BD17-4D16-8B11-480902F7ACB3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053" name="AutoShape 1">
          <a:extLst>
            <a:ext uri="{FF2B5EF4-FFF2-40B4-BE49-F238E27FC236}">
              <a16:creationId xmlns:a16="http://schemas.microsoft.com/office/drawing/2014/main" id="{60A38B15-4F46-4AE3-B995-487A32FBEE23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054" name="AutoShape 1">
          <a:extLst>
            <a:ext uri="{FF2B5EF4-FFF2-40B4-BE49-F238E27FC236}">
              <a16:creationId xmlns:a16="http://schemas.microsoft.com/office/drawing/2014/main" id="{E1EA349D-E983-4EF7-86B7-1820A7E78E01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055" name="AutoShape 1">
          <a:extLst>
            <a:ext uri="{FF2B5EF4-FFF2-40B4-BE49-F238E27FC236}">
              <a16:creationId xmlns:a16="http://schemas.microsoft.com/office/drawing/2014/main" id="{E3C132F3-AFF3-4533-A0BF-38874453609F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056" name="AutoShape 1">
          <a:extLst>
            <a:ext uri="{FF2B5EF4-FFF2-40B4-BE49-F238E27FC236}">
              <a16:creationId xmlns:a16="http://schemas.microsoft.com/office/drawing/2014/main" id="{25D1BE8C-021D-4016-8E39-059BCC557E2A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057" name="AutoShape 1">
          <a:extLst>
            <a:ext uri="{FF2B5EF4-FFF2-40B4-BE49-F238E27FC236}">
              <a16:creationId xmlns:a16="http://schemas.microsoft.com/office/drawing/2014/main" id="{CF605FE4-56A7-4BEE-A7CF-80DB9CB1BA8F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058" name="AutoShape 1">
          <a:extLst>
            <a:ext uri="{FF2B5EF4-FFF2-40B4-BE49-F238E27FC236}">
              <a16:creationId xmlns:a16="http://schemas.microsoft.com/office/drawing/2014/main" id="{A45E19F8-24A9-45E6-9742-880A46316727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059" name="AutoShape 1">
          <a:extLst>
            <a:ext uri="{FF2B5EF4-FFF2-40B4-BE49-F238E27FC236}">
              <a16:creationId xmlns:a16="http://schemas.microsoft.com/office/drawing/2014/main" id="{943BD2BF-EF36-4ADB-9722-A22AFC1CAE18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060" name="AutoShape 1">
          <a:extLst>
            <a:ext uri="{FF2B5EF4-FFF2-40B4-BE49-F238E27FC236}">
              <a16:creationId xmlns:a16="http://schemas.microsoft.com/office/drawing/2014/main" id="{00A69CC0-A31F-43E7-825A-BF202E5BAF8B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061" name="AutoShape 1">
          <a:extLst>
            <a:ext uri="{FF2B5EF4-FFF2-40B4-BE49-F238E27FC236}">
              <a16:creationId xmlns:a16="http://schemas.microsoft.com/office/drawing/2014/main" id="{2CE7BB3E-5CD5-4503-939C-73F6CAE238D9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062" name="AutoShape 1">
          <a:extLst>
            <a:ext uri="{FF2B5EF4-FFF2-40B4-BE49-F238E27FC236}">
              <a16:creationId xmlns:a16="http://schemas.microsoft.com/office/drawing/2014/main" id="{639830DA-CD7E-4A74-B905-164EA188F4DB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063" name="AutoShape 1">
          <a:extLst>
            <a:ext uri="{FF2B5EF4-FFF2-40B4-BE49-F238E27FC236}">
              <a16:creationId xmlns:a16="http://schemas.microsoft.com/office/drawing/2014/main" id="{1D1D047E-D76B-4F29-B941-56A8B207CF9A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064" name="AutoShape 1">
          <a:extLst>
            <a:ext uri="{FF2B5EF4-FFF2-40B4-BE49-F238E27FC236}">
              <a16:creationId xmlns:a16="http://schemas.microsoft.com/office/drawing/2014/main" id="{68E378B0-0850-4FE7-BB6B-53F5CAAFEA50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065" name="AutoShape 1">
          <a:extLst>
            <a:ext uri="{FF2B5EF4-FFF2-40B4-BE49-F238E27FC236}">
              <a16:creationId xmlns:a16="http://schemas.microsoft.com/office/drawing/2014/main" id="{4D47821F-353B-4FBB-9273-30D695258591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066" name="AutoShape 1">
          <a:extLst>
            <a:ext uri="{FF2B5EF4-FFF2-40B4-BE49-F238E27FC236}">
              <a16:creationId xmlns:a16="http://schemas.microsoft.com/office/drawing/2014/main" id="{048FFDF5-7341-4D59-BC95-6207FF7131E3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067" name="AutoShape 1">
          <a:extLst>
            <a:ext uri="{FF2B5EF4-FFF2-40B4-BE49-F238E27FC236}">
              <a16:creationId xmlns:a16="http://schemas.microsoft.com/office/drawing/2014/main" id="{B8ADF556-FD7E-4ADC-8179-37245148F4A1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068" name="AutoShape 1">
          <a:extLst>
            <a:ext uri="{FF2B5EF4-FFF2-40B4-BE49-F238E27FC236}">
              <a16:creationId xmlns:a16="http://schemas.microsoft.com/office/drawing/2014/main" id="{FE612593-2997-48B7-BC69-CC9947DC1CA7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069" name="AutoShape 1">
          <a:extLst>
            <a:ext uri="{FF2B5EF4-FFF2-40B4-BE49-F238E27FC236}">
              <a16:creationId xmlns:a16="http://schemas.microsoft.com/office/drawing/2014/main" id="{0713DC8F-3F81-46D5-B8B4-704936115569}"/>
            </a:ext>
            <a:ext uri="{147F2762-F138-4A5C-976F-8EAC2B608ADB}">
              <a16:predDERef xmlns:a16="http://schemas.microsoft.com/office/drawing/2014/main" pred="{A9C9C4DB-4B97-447C-9099-E87BCB3C537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070" name="AutoShape 1">
          <a:extLst>
            <a:ext uri="{FF2B5EF4-FFF2-40B4-BE49-F238E27FC236}">
              <a16:creationId xmlns:a16="http://schemas.microsoft.com/office/drawing/2014/main" id="{53CB4DED-F8DC-4803-A6AA-80FA38EBEA3B}"/>
            </a:ext>
            <a:ext uri="{147F2762-F138-4A5C-976F-8EAC2B608ADB}">
              <a16:predDERef xmlns:a16="http://schemas.microsoft.com/office/drawing/2014/main" pred="{CD89554D-BD76-42AD-819A-278AD445B86E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071" name="AutoShape 1">
          <a:extLst>
            <a:ext uri="{FF2B5EF4-FFF2-40B4-BE49-F238E27FC236}">
              <a16:creationId xmlns:a16="http://schemas.microsoft.com/office/drawing/2014/main" id="{271D192C-E460-489C-9893-4F4962CC7249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072" name="AutoShape 1">
          <a:extLst>
            <a:ext uri="{FF2B5EF4-FFF2-40B4-BE49-F238E27FC236}">
              <a16:creationId xmlns:a16="http://schemas.microsoft.com/office/drawing/2014/main" id="{DCFDC3D1-F1B5-443C-B3D1-588E1ADF763D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073" name="AutoShape 1">
          <a:extLst>
            <a:ext uri="{FF2B5EF4-FFF2-40B4-BE49-F238E27FC236}">
              <a16:creationId xmlns:a16="http://schemas.microsoft.com/office/drawing/2014/main" id="{08D40933-C911-441F-AFED-C8944E06DA3C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074" name="AutoShape 1">
          <a:extLst>
            <a:ext uri="{FF2B5EF4-FFF2-40B4-BE49-F238E27FC236}">
              <a16:creationId xmlns:a16="http://schemas.microsoft.com/office/drawing/2014/main" id="{452A79DE-5528-4D15-9BD0-310E26EB821C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075" name="AutoShape 1">
          <a:extLst>
            <a:ext uri="{FF2B5EF4-FFF2-40B4-BE49-F238E27FC236}">
              <a16:creationId xmlns:a16="http://schemas.microsoft.com/office/drawing/2014/main" id="{971CFB00-3BC2-427B-9732-F3651EBCF6E3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076" name="AutoShape 1">
          <a:extLst>
            <a:ext uri="{FF2B5EF4-FFF2-40B4-BE49-F238E27FC236}">
              <a16:creationId xmlns:a16="http://schemas.microsoft.com/office/drawing/2014/main" id="{2B17E8E6-B12C-475D-A389-449BE2A60086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077" name="AutoShape 1">
          <a:extLst>
            <a:ext uri="{FF2B5EF4-FFF2-40B4-BE49-F238E27FC236}">
              <a16:creationId xmlns:a16="http://schemas.microsoft.com/office/drawing/2014/main" id="{FA9DEDBC-77E4-499A-BAF8-878FB566E126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078" name="AutoShape 1">
          <a:extLst>
            <a:ext uri="{FF2B5EF4-FFF2-40B4-BE49-F238E27FC236}">
              <a16:creationId xmlns:a16="http://schemas.microsoft.com/office/drawing/2014/main" id="{A253FA34-D070-4261-8E15-D64A325FCA7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079" name="AutoShape 1">
          <a:extLst>
            <a:ext uri="{FF2B5EF4-FFF2-40B4-BE49-F238E27FC236}">
              <a16:creationId xmlns:a16="http://schemas.microsoft.com/office/drawing/2014/main" id="{BA66011D-885D-4B28-B0DC-FBBFBF59CC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080" name="AutoShape 1">
          <a:extLst>
            <a:ext uri="{FF2B5EF4-FFF2-40B4-BE49-F238E27FC236}">
              <a16:creationId xmlns:a16="http://schemas.microsoft.com/office/drawing/2014/main" id="{D32E07F3-DDA3-4828-B10C-67746CB49A9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081" name="AutoShape 1">
          <a:extLst>
            <a:ext uri="{FF2B5EF4-FFF2-40B4-BE49-F238E27FC236}">
              <a16:creationId xmlns:a16="http://schemas.microsoft.com/office/drawing/2014/main" id="{CB545E37-4CA8-4FB6-9DC9-5437AAE4F50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082" name="AutoShape 1">
          <a:extLst>
            <a:ext uri="{FF2B5EF4-FFF2-40B4-BE49-F238E27FC236}">
              <a16:creationId xmlns:a16="http://schemas.microsoft.com/office/drawing/2014/main" id="{C2297F07-7B14-44BC-BFF6-D28A3ABD6C5A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083" name="AutoShape 1">
          <a:extLst>
            <a:ext uri="{FF2B5EF4-FFF2-40B4-BE49-F238E27FC236}">
              <a16:creationId xmlns:a16="http://schemas.microsoft.com/office/drawing/2014/main" id="{6C35FD23-62EF-4000-847F-BE1689654D0F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084" name="AutoShape 1">
          <a:extLst>
            <a:ext uri="{FF2B5EF4-FFF2-40B4-BE49-F238E27FC236}">
              <a16:creationId xmlns:a16="http://schemas.microsoft.com/office/drawing/2014/main" id="{0BEA7A27-98E4-4B48-B5FE-971877AF7F6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085" name="AutoShape 1">
          <a:extLst>
            <a:ext uri="{FF2B5EF4-FFF2-40B4-BE49-F238E27FC236}">
              <a16:creationId xmlns:a16="http://schemas.microsoft.com/office/drawing/2014/main" id="{08464EE5-55B8-4EF2-ABFD-49AB820301D6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086" name="AutoShape 1">
          <a:extLst>
            <a:ext uri="{FF2B5EF4-FFF2-40B4-BE49-F238E27FC236}">
              <a16:creationId xmlns:a16="http://schemas.microsoft.com/office/drawing/2014/main" id="{1A5C2D1E-C5E0-41AF-8A41-532E49B6A409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087" name="AutoShape 1">
          <a:extLst>
            <a:ext uri="{FF2B5EF4-FFF2-40B4-BE49-F238E27FC236}">
              <a16:creationId xmlns:a16="http://schemas.microsoft.com/office/drawing/2014/main" id="{56524D4B-F629-4EA4-B3B7-CB192413CB10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088" name="AutoShape 1">
          <a:extLst>
            <a:ext uri="{FF2B5EF4-FFF2-40B4-BE49-F238E27FC236}">
              <a16:creationId xmlns:a16="http://schemas.microsoft.com/office/drawing/2014/main" id="{C0C98E51-D11B-468F-91AC-A4B27F9E4308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089" name="AutoShape 1">
          <a:extLst>
            <a:ext uri="{FF2B5EF4-FFF2-40B4-BE49-F238E27FC236}">
              <a16:creationId xmlns:a16="http://schemas.microsoft.com/office/drawing/2014/main" id="{A4790037-5ED5-4E09-8CDB-7B7E57FA0CC7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090" name="AutoShape 1">
          <a:extLst>
            <a:ext uri="{FF2B5EF4-FFF2-40B4-BE49-F238E27FC236}">
              <a16:creationId xmlns:a16="http://schemas.microsoft.com/office/drawing/2014/main" id="{22B982C7-C6D9-49EE-9D3C-76AB655EE22A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091" name="AutoShape 1">
          <a:extLst>
            <a:ext uri="{FF2B5EF4-FFF2-40B4-BE49-F238E27FC236}">
              <a16:creationId xmlns:a16="http://schemas.microsoft.com/office/drawing/2014/main" id="{A1D0B06D-FE91-4BEF-8ABB-FA67C4C93D06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092" name="AutoShape 1">
          <a:extLst>
            <a:ext uri="{FF2B5EF4-FFF2-40B4-BE49-F238E27FC236}">
              <a16:creationId xmlns:a16="http://schemas.microsoft.com/office/drawing/2014/main" id="{1DCECB16-0BB4-4F84-B650-100E046853D1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093" name="AutoShape 1">
          <a:extLst>
            <a:ext uri="{FF2B5EF4-FFF2-40B4-BE49-F238E27FC236}">
              <a16:creationId xmlns:a16="http://schemas.microsoft.com/office/drawing/2014/main" id="{2D6E38DE-39FA-44AC-9344-63AA0EC4EFDA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094" name="AutoShape 1">
          <a:extLst>
            <a:ext uri="{FF2B5EF4-FFF2-40B4-BE49-F238E27FC236}">
              <a16:creationId xmlns:a16="http://schemas.microsoft.com/office/drawing/2014/main" id="{223948CE-7CC1-42CD-B098-07453F630A32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095" name="AutoShape 1">
          <a:extLst>
            <a:ext uri="{FF2B5EF4-FFF2-40B4-BE49-F238E27FC236}">
              <a16:creationId xmlns:a16="http://schemas.microsoft.com/office/drawing/2014/main" id="{B9DB082F-4347-4A1B-AE3A-13B2C7EE174D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096" name="AutoShape 1">
          <a:extLst>
            <a:ext uri="{FF2B5EF4-FFF2-40B4-BE49-F238E27FC236}">
              <a16:creationId xmlns:a16="http://schemas.microsoft.com/office/drawing/2014/main" id="{9E425617-A8EC-40B7-B043-6CC5919E9B5F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097" name="AutoShape 1">
          <a:extLst>
            <a:ext uri="{FF2B5EF4-FFF2-40B4-BE49-F238E27FC236}">
              <a16:creationId xmlns:a16="http://schemas.microsoft.com/office/drawing/2014/main" id="{D42880D2-1727-4D8F-8902-72CE34A5300B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098" name="AutoShape 1">
          <a:extLst>
            <a:ext uri="{FF2B5EF4-FFF2-40B4-BE49-F238E27FC236}">
              <a16:creationId xmlns:a16="http://schemas.microsoft.com/office/drawing/2014/main" id="{AEA76345-D769-44BD-8B3B-0FE2C539CD18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099" name="AutoShape 1">
          <a:extLst>
            <a:ext uri="{FF2B5EF4-FFF2-40B4-BE49-F238E27FC236}">
              <a16:creationId xmlns:a16="http://schemas.microsoft.com/office/drawing/2014/main" id="{E9B33C55-9658-4A7F-BD3C-4A39AF8AC24F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100" name="AutoShape 1">
          <a:extLst>
            <a:ext uri="{FF2B5EF4-FFF2-40B4-BE49-F238E27FC236}">
              <a16:creationId xmlns:a16="http://schemas.microsoft.com/office/drawing/2014/main" id="{326610F4-8319-4E90-8EAE-F07F90008113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101" name="AutoShape 1">
          <a:extLst>
            <a:ext uri="{FF2B5EF4-FFF2-40B4-BE49-F238E27FC236}">
              <a16:creationId xmlns:a16="http://schemas.microsoft.com/office/drawing/2014/main" id="{1CDD4C83-F739-4DA3-B07D-3FC1E4CE847C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102" name="AutoShape 1">
          <a:extLst>
            <a:ext uri="{FF2B5EF4-FFF2-40B4-BE49-F238E27FC236}">
              <a16:creationId xmlns:a16="http://schemas.microsoft.com/office/drawing/2014/main" id="{A913190C-8C52-4D5C-9D9F-9D6E22D7E9F5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103" name="AutoShape 1">
          <a:extLst>
            <a:ext uri="{FF2B5EF4-FFF2-40B4-BE49-F238E27FC236}">
              <a16:creationId xmlns:a16="http://schemas.microsoft.com/office/drawing/2014/main" id="{CA90DFC3-E003-4255-B26A-591933CC8455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104" name="AutoShape 1">
          <a:extLst>
            <a:ext uri="{FF2B5EF4-FFF2-40B4-BE49-F238E27FC236}">
              <a16:creationId xmlns:a16="http://schemas.microsoft.com/office/drawing/2014/main" id="{2A001B26-5B63-48D2-A084-7A761C7DEEC4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105" name="AutoShape 1">
          <a:extLst>
            <a:ext uri="{FF2B5EF4-FFF2-40B4-BE49-F238E27FC236}">
              <a16:creationId xmlns:a16="http://schemas.microsoft.com/office/drawing/2014/main" id="{E93B9537-A5BC-4D1E-B334-FC4C65DDD569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106" name="AutoShape 1">
          <a:extLst>
            <a:ext uri="{FF2B5EF4-FFF2-40B4-BE49-F238E27FC236}">
              <a16:creationId xmlns:a16="http://schemas.microsoft.com/office/drawing/2014/main" id="{63729D16-BA2A-4FE9-8D9F-A70849C72AC0}"/>
            </a:ext>
            <a:ext uri="{147F2762-F138-4A5C-976F-8EAC2B608ADB}">
              <a16:predDERef xmlns:a16="http://schemas.microsoft.com/office/drawing/2014/main" pred="{A9C9C4DB-4B97-447C-9099-E87BCB3C537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107" name="AutoShape 1">
          <a:extLst>
            <a:ext uri="{FF2B5EF4-FFF2-40B4-BE49-F238E27FC236}">
              <a16:creationId xmlns:a16="http://schemas.microsoft.com/office/drawing/2014/main" id="{D7ABDB12-47C2-476F-BC15-68D286990467}"/>
            </a:ext>
            <a:ext uri="{147F2762-F138-4A5C-976F-8EAC2B608ADB}">
              <a16:predDERef xmlns:a16="http://schemas.microsoft.com/office/drawing/2014/main" pred="{CD89554D-BD76-42AD-819A-278AD445B86E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108" name="AutoShape 1">
          <a:extLst>
            <a:ext uri="{FF2B5EF4-FFF2-40B4-BE49-F238E27FC236}">
              <a16:creationId xmlns:a16="http://schemas.microsoft.com/office/drawing/2014/main" id="{2510D383-EA86-4BEF-9F4F-8AC5E3BB92A7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109" name="AutoShape 1">
          <a:extLst>
            <a:ext uri="{FF2B5EF4-FFF2-40B4-BE49-F238E27FC236}">
              <a16:creationId xmlns:a16="http://schemas.microsoft.com/office/drawing/2014/main" id="{CC6AE8EF-4521-4FD1-AAD2-C664D2BA37BD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110" name="AutoShape 1">
          <a:extLst>
            <a:ext uri="{FF2B5EF4-FFF2-40B4-BE49-F238E27FC236}">
              <a16:creationId xmlns:a16="http://schemas.microsoft.com/office/drawing/2014/main" id="{22AEB6B9-A6F5-44C0-9899-DBFC9C4DBB6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111" name="AutoShape 1">
          <a:extLst>
            <a:ext uri="{FF2B5EF4-FFF2-40B4-BE49-F238E27FC236}">
              <a16:creationId xmlns:a16="http://schemas.microsoft.com/office/drawing/2014/main" id="{2446DB45-61E1-4DE7-B1BD-100A9064735B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112" name="AutoShape 1">
          <a:extLst>
            <a:ext uri="{FF2B5EF4-FFF2-40B4-BE49-F238E27FC236}">
              <a16:creationId xmlns:a16="http://schemas.microsoft.com/office/drawing/2014/main" id="{5E3463CB-5788-4B0D-A545-AF3AF8D3E2FD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113" name="AutoShape 1">
          <a:extLst>
            <a:ext uri="{FF2B5EF4-FFF2-40B4-BE49-F238E27FC236}">
              <a16:creationId xmlns:a16="http://schemas.microsoft.com/office/drawing/2014/main" id="{3C7B1BBD-7C25-44F4-B78C-6E71529F29B6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114" name="AutoShape 1">
          <a:extLst>
            <a:ext uri="{FF2B5EF4-FFF2-40B4-BE49-F238E27FC236}">
              <a16:creationId xmlns:a16="http://schemas.microsoft.com/office/drawing/2014/main" id="{F091D17C-56C5-4EA4-B00C-C0A221B6024E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115" name="AutoShape 1">
          <a:extLst>
            <a:ext uri="{FF2B5EF4-FFF2-40B4-BE49-F238E27FC236}">
              <a16:creationId xmlns:a16="http://schemas.microsoft.com/office/drawing/2014/main" id="{83AB5033-8CAC-4D67-8750-2EB1CC0EEF3E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116" name="AutoShape 1">
          <a:extLst>
            <a:ext uri="{FF2B5EF4-FFF2-40B4-BE49-F238E27FC236}">
              <a16:creationId xmlns:a16="http://schemas.microsoft.com/office/drawing/2014/main" id="{7E2CDB3C-50F5-4141-8CC6-32D859C46EB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117" name="AutoShape 1">
          <a:extLst>
            <a:ext uri="{FF2B5EF4-FFF2-40B4-BE49-F238E27FC236}">
              <a16:creationId xmlns:a16="http://schemas.microsoft.com/office/drawing/2014/main" id="{CAE8FF0C-83DD-4E01-B495-D014409CD4B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118" name="AutoShape 1">
          <a:extLst>
            <a:ext uri="{FF2B5EF4-FFF2-40B4-BE49-F238E27FC236}">
              <a16:creationId xmlns:a16="http://schemas.microsoft.com/office/drawing/2014/main" id="{5A620899-47B1-41F1-83D5-5706A9F500EB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119" name="AutoShape 1">
          <a:extLst>
            <a:ext uri="{FF2B5EF4-FFF2-40B4-BE49-F238E27FC236}">
              <a16:creationId xmlns:a16="http://schemas.microsoft.com/office/drawing/2014/main" id="{8A7ABCC6-A811-4086-99EB-EFFD57C6A449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120" name="AutoShape 1">
          <a:extLst>
            <a:ext uri="{FF2B5EF4-FFF2-40B4-BE49-F238E27FC236}">
              <a16:creationId xmlns:a16="http://schemas.microsoft.com/office/drawing/2014/main" id="{103DA60A-1D56-47B3-9128-2DCAC9EF4393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121" name="AutoShape 1">
          <a:extLst>
            <a:ext uri="{FF2B5EF4-FFF2-40B4-BE49-F238E27FC236}">
              <a16:creationId xmlns:a16="http://schemas.microsoft.com/office/drawing/2014/main" id="{808A3807-2F30-4F17-8350-07E5D72544FB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122" name="AutoShape 1">
          <a:extLst>
            <a:ext uri="{FF2B5EF4-FFF2-40B4-BE49-F238E27FC236}">
              <a16:creationId xmlns:a16="http://schemas.microsoft.com/office/drawing/2014/main" id="{97F60E1C-AF1F-4D27-BC89-358D29312D77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123" name="AutoShape 1">
          <a:extLst>
            <a:ext uri="{FF2B5EF4-FFF2-40B4-BE49-F238E27FC236}">
              <a16:creationId xmlns:a16="http://schemas.microsoft.com/office/drawing/2014/main" id="{761123AB-C5CB-4AEA-A731-814E58BF486F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124" name="AutoShape 1">
          <a:extLst>
            <a:ext uri="{FF2B5EF4-FFF2-40B4-BE49-F238E27FC236}">
              <a16:creationId xmlns:a16="http://schemas.microsoft.com/office/drawing/2014/main" id="{D500E7CE-2F18-48DF-9005-1CC44DCC4719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125" name="AutoShape 1">
          <a:extLst>
            <a:ext uri="{FF2B5EF4-FFF2-40B4-BE49-F238E27FC236}">
              <a16:creationId xmlns:a16="http://schemas.microsoft.com/office/drawing/2014/main" id="{CAA2B5E2-6B8E-4FF3-AA34-520585ED9995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126" name="AutoShape 1">
          <a:extLst>
            <a:ext uri="{FF2B5EF4-FFF2-40B4-BE49-F238E27FC236}">
              <a16:creationId xmlns:a16="http://schemas.microsoft.com/office/drawing/2014/main" id="{869A77A4-8D0C-4673-B9ED-94683E2AE4A5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127" name="AutoShape 1">
          <a:extLst>
            <a:ext uri="{FF2B5EF4-FFF2-40B4-BE49-F238E27FC236}">
              <a16:creationId xmlns:a16="http://schemas.microsoft.com/office/drawing/2014/main" id="{3231C174-CEA8-4187-B0D2-2144804B5CCC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128" name="AutoShape 1">
          <a:extLst>
            <a:ext uri="{FF2B5EF4-FFF2-40B4-BE49-F238E27FC236}">
              <a16:creationId xmlns:a16="http://schemas.microsoft.com/office/drawing/2014/main" id="{8A6C2297-6BD9-4F3D-8357-F4ABCF9BE7DA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129" name="AutoShape 1">
          <a:extLst>
            <a:ext uri="{FF2B5EF4-FFF2-40B4-BE49-F238E27FC236}">
              <a16:creationId xmlns:a16="http://schemas.microsoft.com/office/drawing/2014/main" id="{E1907FE2-37C5-4B34-9825-618AF0E22B25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130" name="AutoShape 1">
          <a:extLst>
            <a:ext uri="{FF2B5EF4-FFF2-40B4-BE49-F238E27FC236}">
              <a16:creationId xmlns:a16="http://schemas.microsoft.com/office/drawing/2014/main" id="{B99B25AA-6F4E-46A5-B7ED-8D09650B3E0D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131" name="AutoShape 1">
          <a:extLst>
            <a:ext uri="{FF2B5EF4-FFF2-40B4-BE49-F238E27FC236}">
              <a16:creationId xmlns:a16="http://schemas.microsoft.com/office/drawing/2014/main" id="{4455CF7C-2035-41FC-BB0F-25FFEBE53BC0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132" name="AutoShape 1">
          <a:extLst>
            <a:ext uri="{FF2B5EF4-FFF2-40B4-BE49-F238E27FC236}">
              <a16:creationId xmlns:a16="http://schemas.microsoft.com/office/drawing/2014/main" id="{284215A6-DA01-4E25-A4BA-B232CFAB9B5D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133" name="AutoShape 1">
          <a:extLst>
            <a:ext uri="{FF2B5EF4-FFF2-40B4-BE49-F238E27FC236}">
              <a16:creationId xmlns:a16="http://schemas.microsoft.com/office/drawing/2014/main" id="{D0D53F6B-D0CE-483D-87D1-5A36D82D9895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134" name="AutoShape 1">
          <a:extLst>
            <a:ext uri="{FF2B5EF4-FFF2-40B4-BE49-F238E27FC236}">
              <a16:creationId xmlns:a16="http://schemas.microsoft.com/office/drawing/2014/main" id="{AD06A365-811C-42BA-9B12-DC1D31E11100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135" name="AutoShape 1">
          <a:extLst>
            <a:ext uri="{FF2B5EF4-FFF2-40B4-BE49-F238E27FC236}">
              <a16:creationId xmlns:a16="http://schemas.microsoft.com/office/drawing/2014/main" id="{2964F21B-98BA-4D0F-91E1-14791B014BE3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136" name="AutoShape 1">
          <a:extLst>
            <a:ext uri="{FF2B5EF4-FFF2-40B4-BE49-F238E27FC236}">
              <a16:creationId xmlns:a16="http://schemas.microsoft.com/office/drawing/2014/main" id="{FE019BF6-C979-4145-9D6B-0FF6BF6CDD10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137" name="AutoShape 1">
          <a:extLst>
            <a:ext uri="{FF2B5EF4-FFF2-40B4-BE49-F238E27FC236}">
              <a16:creationId xmlns:a16="http://schemas.microsoft.com/office/drawing/2014/main" id="{A0B9F162-FD64-4F4C-9EB3-EF3165139C5A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138" name="AutoShape 1">
          <a:extLst>
            <a:ext uri="{FF2B5EF4-FFF2-40B4-BE49-F238E27FC236}">
              <a16:creationId xmlns:a16="http://schemas.microsoft.com/office/drawing/2014/main" id="{81C86B1D-C2F8-4173-AE02-51550812F674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139" name="AutoShape 1">
          <a:extLst>
            <a:ext uri="{FF2B5EF4-FFF2-40B4-BE49-F238E27FC236}">
              <a16:creationId xmlns:a16="http://schemas.microsoft.com/office/drawing/2014/main" id="{1E7A3AB5-9246-4E5B-9195-BBBCF23B23D1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140" name="AutoShape 1">
          <a:extLst>
            <a:ext uri="{FF2B5EF4-FFF2-40B4-BE49-F238E27FC236}">
              <a16:creationId xmlns:a16="http://schemas.microsoft.com/office/drawing/2014/main" id="{39884558-B2B6-417A-873A-8946FFCFDB80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141" name="AutoShape 1">
          <a:extLst>
            <a:ext uri="{FF2B5EF4-FFF2-40B4-BE49-F238E27FC236}">
              <a16:creationId xmlns:a16="http://schemas.microsoft.com/office/drawing/2014/main" id="{AE25EB17-CE1F-4DE6-868D-E32ED928B4C3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142" name="AutoShape 1">
          <a:extLst>
            <a:ext uri="{FF2B5EF4-FFF2-40B4-BE49-F238E27FC236}">
              <a16:creationId xmlns:a16="http://schemas.microsoft.com/office/drawing/2014/main" id="{BA6726A8-AF33-401D-903B-3A5B904524E3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143" name="AutoShape 1">
          <a:extLst>
            <a:ext uri="{FF2B5EF4-FFF2-40B4-BE49-F238E27FC236}">
              <a16:creationId xmlns:a16="http://schemas.microsoft.com/office/drawing/2014/main" id="{5825B059-CC1C-493D-938C-FA3EC01EB7DA}"/>
            </a:ext>
            <a:ext uri="{147F2762-F138-4A5C-976F-8EAC2B608ADB}">
              <a16:predDERef xmlns:a16="http://schemas.microsoft.com/office/drawing/2014/main" pred="{A9C9C4DB-4B97-447C-9099-E87BCB3C537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144" name="AutoShape 1">
          <a:extLst>
            <a:ext uri="{FF2B5EF4-FFF2-40B4-BE49-F238E27FC236}">
              <a16:creationId xmlns:a16="http://schemas.microsoft.com/office/drawing/2014/main" id="{B377466F-6612-45FA-9B4B-4E8495383917}"/>
            </a:ext>
            <a:ext uri="{147F2762-F138-4A5C-976F-8EAC2B608ADB}">
              <a16:predDERef xmlns:a16="http://schemas.microsoft.com/office/drawing/2014/main" pred="{CD89554D-BD76-42AD-819A-278AD445B86E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145" name="AutoShape 1">
          <a:extLst>
            <a:ext uri="{FF2B5EF4-FFF2-40B4-BE49-F238E27FC236}">
              <a16:creationId xmlns:a16="http://schemas.microsoft.com/office/drawing/2014/main" id="{CF60FE5C-848A-4FEC-ACBC-A959C53A91D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146" name="AutoShape 1">
          <a:extLst>
            <a:ext uri="{FF2B5EF4-FFF2-40B4-BE49-F238E27FC236}">
              <a16:creationId xmlns:a16="http://schemas.microsoft.com/office/drawing/2014/main" id="{D0359BA3-3EAD-49D1-9307-A8DB0F53360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147" name="AutoShape 1">
          <a:extLst>
            <a:ext uri="{FF2B5EF4-FFF2-40B4-BE49-F238E27FC236}">
              <a16:creationId xmlns:a16="http://schemas.microsoft.com/office/drawing/2014/main" id="{ED6E36D7-ADF0-4A49-ACC1-4D6E2E96DC54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148" name="AutoShape 1">
          <a:extLst>
            <a:ext uri="{FF2B5EF4-FFF2-40B4-BE49-F238E27FC236}">
              <a16:creationId xmlns:a16="http://schemas.microsoft.com/office/drawing/2014/main" id="{67B9FEBE-80A5-4CCE-9A6C-3AD96E0E937A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149" name="AutoShape 1">
          <a:extLst>
            <a:ext uri="{FF2B5EF4-FFF2-40B4-BE49-F238E27FC236}">
              <a16:creationId xmlns:a16="http://schemas.microsoft.com/office/drawing/2014/main" id="{723DDC5A-64AB-4EBB-8688-12D99908337F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150" name="AutoShape 1">
          <a:extLst>
            <a:ext uri="{FF2B5EF4-FFF2-40B4-BE49-F238E27FC236}">
              <a16:creationId xmlns:a16="http://schemas.microsoft.com/office/drawing/2014/main" id="{25FB33B0-2ADE-4369-BBE1-502EBF929414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151" name="AutoShape 1">
          <a:extLst>
            <a:ext uri="{FF2B5EF4-FFF2-40B4-BE49-F238E27FC236}">
              <a16:creationId xmlns:a16="http://schemas.microsoft.com/office/drawing/2014/main" id="{F9947774-2660-4588-AEA4-7D0099C07809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152" name="AutoShape 1">
          <a:extLst>
            <a:ext uri="{FF2B5EF4-FFF2-40B4-BE49-F238E27FC236}">
              <a16:creationId xmlns:a16="http://schemas.microsoft.com/office/drawing/2014/main" id="{A2B6C898-6D8D-4DE3-B63E-3A8FC8180A4F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153" name="AutoShape 1">
          <a:extLst>
            <a:ext uri="{FF2B5EF4-FFF2-40B4-BE49-F238E27FC236}">
              <a16:creationId xmlns:a16="http://schemas.microsoft.com/office/drawing/2014/main" id="{DB74D640-798C-4CC5-9D0F-A1B19203353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154" name="AutoShape 1">
          <a:extLst>
            <a:ext uri="{FF2B5EF4-FFF2-40B4-BE49-F238E27FC236}">
              <a16:creationId xmlns:a16="http://schemas.microsoft.com/office/drawing/2014/main" id="{3AC851B4-FC15-49E8-8469-8B53F1DA7E9D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155" name="AutoShape 1">
          <a:extLst>
            <a:ext uri="{FF2B5EF4-FFF2-40B4-BE49-F238E27FC236}">
              <a16:creationId xmlns:a16="http://schemas.microsoft.com/office/drawing/2014/main" id="{E5363CFF-5988-46CE-BA98-20E06B4F6CBF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156" name="AutoShape 1">
          <a:extLst>
            <a:ext uri="{FF2B5EF4-FFF2-40B4-BE49-F238E27FC236}">
              <a16:creationId xmlns:a16="http://schemas.microsoft.com/office/drawing/2014/main" id="{AF7E1E8B-44B4-4961-86D1-23427CF032A4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157" name="AutoShape 1">
          <a:extLst>
            <a:ext uri="{FF2B5EF4-FFF2-40B4-BE49-F238E27FC236}">
              <a16:creationId xmlns:a16="http://schemas.microsoft.com/office/drawing/2014/main" id="{0262DB4D-8A48-4791-92BC-2173438B08D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158" name="AutoShape 1">
          <a:extLst>
            <a:ext uri="{FF2B5EF4-FFF2-40B4-BE49-F238E27FC236}">
              <a16:creationId xmlns:a16="http://schemas.microsoft.com/office/drawing/2014/main" id="{F609EDEC-0370-4E70-92FE-8E5D66AC6A8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159" name="AutoShape 1">
          <a:extLst>
            <a:ext uri="{FF2B5EF4-FFF2-40B4-BE49-F238E27FC236}">
              <a16:creationId xmlns:a16="http://schemas.microsoft.com/office/drawing/2014/main" id="{96783B75-3A64-43B5-AC74-65D7C6C21964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160" name="AutoShape 1">
          <a:extLst>
            <a:ext uri="{FF2B5EF4-FFF2-40B4-BE49-F238E27FC236}">
              <a16:creationId xmlns:a16="http://schemas.microsoft.com/office/drawing/2014/main" id="{3019588D-6115-4240-9135-E42E2C37AF06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161" name="AutoShape 1">
          <a:extLst>
            <a:ext uri="{FF2B5EF4-FFF2-40B4-BE49-F238E27FC236}">
              <a16:creationId xmlns:a16="http://schemas.microsoft.com/office/drawing/2014/main" id="{AF294D5C-1B1A-4284-B057-0A61022EE0AF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162" name="AutoShape 1">
          <a:extLst>
            <a:ext uri="{FF2B5EF4-FFF2-40B4-BE49-F238E27FC236}">
              <a16:creationId xmlns:a16="http://schemas.microsoft.com/office/drawing/2014/main" id="{A946157A-9F28-4028-A775-AE0E62A0B1A1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163" name="AutoShape 1">
          <a:extLst>
            <a:ext uri="{FF2B5EF4-FFF2-40B4-BE49-F238E27FC236}">
              <a16:creationId xmlns:a16="http://schemas.microsoft.com/office/drawing/2014/main" id="{93245016-01AE-4E40-BDD7-B51A225AB9E4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164" name="AutoShape 1">
          <a:extLst>
            <a:ext uri="{FF2B5EF4-FFF2-40B4-BE49-F238E27FC236}">
              <a16:creationId xmlns:a16="http://schemas.microsoft.com/office/drawing/2014/main" id="{59C18D8E-292A-4721-9946-9D150DB98298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165" name="AutoShape 1">
          <a:extLst>
            <a:ext uri="{FF2B5EF4-FFF2-40B4-BE49-F238E27FC236}">
              <a16:creationId xmlns:a16="http://schemas.microsoft.com/office/drawing/2014/main" id="{3EFAC4CE-6038-4C2B-A3C7-AF63E7A8D6A4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166" name="AutoShape 1">
          <a:extLst>
            <a:ext uri="{FF2B5EF4-FFF2-40B4-BE49-F238E27FC236}">
              <a16:creationId xmlns:a16="http://schemas.microsoft.com/office/drawing/2014/main" id="{14CA7DD9-FA99-4C18-A047-658C293E2478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167" name="AutoShape 1">
          <a:extLst>
            <a:ext uri="{FF2B5EF4-FFF2-40B4-BE49-F238E27FC236}">
              <a16:creationId xmlns:a16="http://schemas.microsoft.com/office/drawing/2014/main" id="{4C583BCD-EF5D-430A-81D9-54A705F721A3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168" name="AutoShape 1">
          <a:extLst>
            <a:ext uri="{FF2B5EF4-FFF2-40B4-BE49-F238E27FC236}">
              <a16:creationId xmlns:a16="http://schemas.microsoft.com/office/drawing/2014/main" id="{CDB42C20-1D6F-4AE1-99E9-14C557111886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169" name="AutoShape 1">
          <a:extLst>
            <a:ext uri="{FF2B5EF4-FFF2-40B4-BE49-F238E27FC236}">
              <a16:creationId xmlns:a16="http://schemas.microsoft.com/office/drawing/2014/main" id="{8E1C046D-3DC9-485A-B2E0-8219FE448162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170" name="AutoShape 1">
          <a:extLst>
            <a:ext uri="{FF2B5EF4-FFF2-40B4-BE49-F238E27FC236}">
              <a16:creationId xmlns:a16="http://schemas.microsoft.com/office/drawing/2014/main" id="{12C8713F-8260-46F3-8F0A-CEE1919DCF94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171" name="AutoShape 1">
          <a:extLst>
            <a:ext uri="{FF2B5EF4-FFF2-40B4-BE49-F238E27FC236}">
              <a16:creationId xmlns:a16="http://schemas.microsoft.com/office/drawing/2014/main" id="{6A8415A5-EA64-44FE-9D13-F0075A178CCC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172" name="AutoShape 1">
          <a:extLst>
            <a:ext uri="{FF2B5EF4-FFF2-40B4-BE49-F238E27FC236}">
              <a16:creationId xmlns:a16="http://schemas.microsoft.com/office/drawing/2014/main" id="{52750956-0F75-40BD-AD1C-5B4EACB18C94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173" name="AutoShape 1">
          <a:extLst>
            <a:ext uri="{FF2B5EF4-FFF2-40B4-BE49-F238E27FC236}">
              <a16:creationId xmlns:a16="http://schemas.microsoft.com/office/drawing/2014/main" id="{559279D8-02D0-4940-8593-C7B60569E721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174" name="AutoShape 1">
          <a:extLst>
            <a:ext uri="{FF2B5EF4-FFF2-40B4-BE49-F238E27FC236}">
              <a16:creationId xmlns:a16="http://schemas.microsoft.com/office/drawing/2014/main" id="{85EAB9E2-5DBE-4E47-94E5-819124F80534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175" name="AutoShape 1">
          <a:extLst>
            <a:ext uri="{FF2B5EF4-FFF2-40B4-BE49-F238E27FC236}">
              <a16:creationId xmlns:a16="http://schemas.microsoft.com/office/drawing/2014/main" id="{B0D0C09A-FECF-483C-9542-74F3C69898AB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176" name="AutoShape 1">
          <a:extLst>
            <a:ext uri="{FF2B5EF4-FFF2-40B4-BE49-F238E27FC236}">
              <a16:creationId xmlns:a16="http://schemas.microsoft.com/office/drawing/2014/main" id="{CD7CC861-087C-40FC-8CCB-259E4D1B7338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177" name="AutoShape 1">
          <a:extLst>
            <a:ext uri="{FF2B5EF4-FFF2-40B4-BE49-F238E27FC236}">
              <a16:creationId xmlns:a16="http://schemas.microsoft.com/office/drawing/2014/main" id="{7AB4C05D-4D9B-4D6B-A102-7061ECBBD997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178" name="AutoShape 1">
          <a:extLst>
            <a:ext uri="{FF2B5EF4-FFF2-40B4-BE49-F238E27FC236}">
              <a16:creationId xmlns:a16="http://schemas.microsoft.com/office/drawing/2014/main" id="{4AADACF2-34C2-44EC-A2A2-1E3DEEC2E10F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179" name="AutoShape 1">
          <a:extLst>
            <a:ext uri="{FF2B5EF4-FFF2-40B4-BE49-F238E27FC236}">
              <a16:creationId xmlns:a16="http://schemas.microsoft.com/office/drawing/2014/main" id="{DC337EAF-FEF2-4694-8662-C796EB036387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180" name="AutoShape 1">
          <a:extLst>
            <a:ext uri="{FF2B5EF4-FFF2-40B4-BE49-F238E27FC236}">
              <a16:creationId xmlns:a16="http://schemas.microsoft.com/office/drawing/2014/main" id="{FD5D7DDB-6FB5-4A93-8D29-1EBFD7F2A889}"/>
            </a:ext>
            <a:ext uri="{147F2762-F138-4A5C-976F-8EAC2B608ADB}">
              <a16:predDERef xmlns:a16="http://schemas.microsoft.com/office/drawing/2014/main" pred="{A9C9C4DB-4B97-447C-9099-E87BCB3C537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181" name="AutoShape 1">
          <a:extLst>
            <a:ext uri="{FF2B5EF4-FFF2-40B4-BE49-F238E27FC236}">
              <a16:creationId xmlns:a16="http://schemas.microsoft.com/office/drawing/2014/main" id="{4FB1608C-D017-457C-9AD0-FC46832F818C}"/>
            </a:ext>
            <a:ext uri="{147F2762-F138-4A5C-976F-8EAC2B608ADB}">
              <a16:predDERef xmlns:a16="http://schemas.microsoft.com/office/drawing/2014/main" pred="{CD89554D-BD76-42AD-819A-278AD445B86E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182" name="AutoShape 1">
          <a:extLst>
            <a:ext uri="{FF2B5EF4-FFF2-40B4-BE49-F238E27FC236}">
              <a16:creationId xmlns:a16="http://schemas.microsoft.com/office/drawing/2014/main" id="{1077BFF6-4ED1-44C8-96FA-B92EA3EEB0B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183" name="AutoShape 1">
          <a:extLst>
            <a:ext uri="{FF2B5EF4-FFF2-40B4-BE49-F238E27FC236}">
              <a16:creationId xmlns:a16="http://schemas.microsoft.com/office/drawing/2014/main" id="{34F3A165-89AF-48F0-BAFD-1316A59D1207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184" name="AutoShape 1">
          <a:extLst>
            <a:ext uri="{FF2B5EF4-FFF2-40B4-BE49-F238E27FC236}">
              <a16:creationId xmlns:a16="http://schemas.microsoft.com/office/drawing/2014/main" id="{1655D29F-00AB-4811-8539-2E0C917622D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185" name="AutoShape 1">
          <a:extLst>
            <a:ext uri="{FF2B5EF4-FFF2-40B4-BE49-F238E27FC236}">
              <a16:creationId xmlns:a16="http://schemas.microsoft.com/office/drawing/2014/main" id="{5219F41C-3E6C-4AB8-8489-D322CDC6C33B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186" name="AutoShape 1">
          <a:extLst>
            <a:ext uri="{FF2B5EF4-FFF2-40B4-BE49-F238E27FC236}">
              <a16:creationId xmlns:a16="http://schemas.microsoft.com/office/drawing/2014/main" id="{B890D39C-B236-4FCD-82C7-5AD117971FE7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187" name="AutoShape 1">
          <a:extLst>
            <a:ext uri="{FF2B5EF4-FFF2-40B4-BE49-F238E27FC236}">
              <a16:creationId xmlns:a16="http://schemas.microsoft.com/office/drawing/2014/main" id="{3CA71BF8-75FE-45FC-AC00-FA5E3A89A35C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188" name="AutoShape 1">
          <a:extLst>
            <a:ext uri="{FF2B5EF4-FFF2-40B4-BE49-F238E27FC236}">
              <a16:creationId xmlns:a16="http://schemas.microsoft.com/office/drawing/2014/main" id="{DFDF8135-9629-453E-B084-78A3E7AB1A61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189" name="AutoShape 1">
          <a:extLst>
            <a:ext uri="{FF2B5EF4-FFF2-40B4-BE49-F238E27FC236}">
              <a16:creationId xmlns:a16="http://schemas.microsoft.com/office/drawing/2014/main" id="{86B47633-E792-4666-87B3-5AAEDD0A517D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190" name="AutoShape 1">
          <a:extLst>
            <a:ext uri="{FF2B5EF4-FFF2-40B4-BE49-F238E27FC236}">
              <a16:creationId xmlns:a16="http://schemas.microsoft.com/office/drawing/2014/main" id="{FF829F7B-F2FE-4C60-B319-C1E015F61CD7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191" name="AutoShape 1">
          <a:extLst>
            <a:ext uri="{FF2B5EF4-FFF2-40B4-BE49-F238E27FC236}">
              <a16:creationId xmlns:a16="http://schemas.microsoft.com/office/drawing/2014/main" id="{C5EE6485-6B0B-408A-B21E-B407C5EFCAD4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192" name="AutoShape 1">
          <a:extLst>
            <a:ext uri="{FF2B5EF4-FFF2-40B4-BE49-F238E27FC236}">
              <a16:creationId xmlns:a16="http://schemas.microsoft.com/office/drawing/2014/main" id="{EB1F0D84-7BC8-4282-861E-9E47ABED276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193" name="AutoShape 1">
          <a:extLst>
            <a:ext uri="{FF2B5EF4-FFF2-40B4-BE49-F238E27FC236}">
              <a16:creationId xmlns:a16="http://schemas.microsoft.com/office/drawing/2014/main" id="{13A37036-8D42-4282-93B3-EDB9C13D4D53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194" name="AutoShape 1">
          <a:extLst>
            <a:ext uri="{FF2B5EF4-FFF2-40B4-BE49-F238E27FC236}">
              <a16:creationId xmlns:a16="http://schemas.microsoft.com/office/drawing/2014/main" id="{7077DACB-9836-4973-8249-F734CBC6F3B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195" name="AutoShape 1">
          <a:extLst>
            <a:ext uri="{FF2B5EF4-FFF2-40B4-BE49-F238E27FC236}">
              <a16:creationId xmlns:a16="http://schemas.microsoft.com/office/drawing/2014/main" id="{49AA8293-B386-429B-99EA-FD2D4C1A9223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196" name="AutoShape 1">
          <a:extLst>
            <a:ext uri="{FF2B5EF4-FFF2-40B4-BE49-F238E27FC236}">
              <a16:creationId xmlns:a16="http://schemas.microsoft.com/office/drawing/2014/main" id="{40CB92FD-A1CF-4A45-99EA-6B887BC7D48E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197" name="AutoShape 1">
          <a:extLst>
            <a:ext uri="{FF2B5EF4-FFF2-40B4-BE49-F238E27FC236}">
              <a16:creationId xmlns:a16="http://schemas.microsoft.com/office/drawing/2014/main" id="{FEA7A1AD-5F17-4407-BA39-964985D9B96F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198" name="AutoShape 1">
          <a:extLst>
            <a:ext uri="{FF2B5EF4-FFF2-40B4-BE49-F238E27FC236}">
              <a16:creationId xmlns:a16="http://schemas.microsoft.com/office/drawing/2014/main" id="{6E3BB544-7B3C-42B5-AB2D-36479BD2700F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199" name="AutoShape 1">
          <a:extLst>
            <a:ext uri="{FF2B5EF4-FFF2-40B4-BE49-F238E27FC236}">
              <a16:creationId xmlns:a16="http://schemas.microsoft.com/office/drawing/2014/main" id="{59BDFAD6-D9EC-4731-97AE-16CA8FE2891D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200" name="AutoShape 1">
          <a:extLst>
            <a:ext uri="{FF2B5EF4-FFF2-40B4-BE49-F238E27FC236}">
              <a16:creationId xmlns:a16="http://schemas.microsoft.com/office/drawing/2014/main" id="{082BD2D6-FB0D-4E3C-858B-63E5F19ED272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201" name="AutoShape 1">
          <a:extLst>
            <a:ext uri="{FF2B5EF4-FFF2-40B4-BE49-F238E27FC236}">
              <a16:creationId xmlns:a16="http://schemas.microsoft.com/office/drawing/2014/main" id="{B038BCE2-6804-4A1B-9FDD-3BDDCF3189F1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202" name="AutoShape 1">
          <a:extLst>
            <a:ext uri="{FF2B5EF4-FFF2-40B4-BE49-F238E27FC236}">
              <a16:creationId xmlns:a16="http://schemas.microsoft.com/office/drawing/2014/main" id="{B0EDF385-10C2-440A-8BFE-07947D19FC11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203" name="AutoShape 1">
          <a:extLst>
            <a:ext uri="{FF2B5EF4-FFF2-40B4-BE49-F238E27FC236}">
              <a16:creationId xmlns:a16="http://schemas.microsoft.com/office/drawing/2014/main" id="{132B83DC-0761-4E9C-9A89-FD114D4AD18D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204" name="AutoShape 1">
          <a:extLst>
            <a:ext uri="{FF2B5EF4-FFF2-40B4-BE49-F238E27FC236}">
              <a16:creationId xmlns:a16="http://schemas.microsoft.com/office/drawing/2014/main" id="{C22A03AE-5100-4A74-A5B2-992E9C47214C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205" name="AutoShape 1">
          <a:extLst>
            <a:ext uri="{FF2B5EF4-FFF2-40B4-BE49-F238E27FC236}">
              <a16:creationId xmlns:a16="http://schemas.microsoft.com/office/drawing/2014/main" id="{7585B14C-BE2A-46F8-AB81-BCA19752BC06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206" name="AutoShape 1">
          <a:extLst>
            <a:ext uri="{FF2B5EF4-FFF2-40B4-BE49-F238E27FC236}">
              <a16:creationId xmlns:a16="http://schemas.microsoft.com/office/drawing/2014/main" id="{CEF5E989-71B9-4A58-98FB-AE04D33157C3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207" name="AutoShape 1">
          <a:extLst>
            <a:ext uri="{FF2B5EF4-FFF2-40B4-BE49-F238E27FC236}">
              <a16:creationId xmlns:a16="http://schemas.microsoft.com/office/drawing/2014/main" id="{7A00E8AF-8B84-4B60-A7AD-B33C11A33326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208" name="AutoShape 1">
          <a:extLst>
            <a:ext uri="{FF2B5EF4-FFF2-40B4-BE49-F238E27FC236}">
              <a16:creationId xmlns:a16="http://schemas.microsoft.com/office/drawing/2014/main" id="{23BD649E-487D-415D-AB5F-37C3BEBABEBB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209" name="AutoShape 1">
          <a:extLst>
            <a:ext uri="{FF2B5EF4-FFF2-40B4-BE49-F238E27FC236}">
              <a16:creationId xmlns:a16="http://schemas.microsoft.com/office/drawing/2014/main" id="{FB994613-0014-48F5-AF66-F40D09DBD978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210" name="AutoShape 1">
          <a:extLst>
            <a:ext uri="{FF2B5EF4-FFF2-40B4-BE49-F238E27FC236}">
              <a16:creationId xmlns:a16="http://schemas.microsoft.com/office/drawing/2014/main" id="{A66E1F83-3B83-49F5-BDDB-7A2819405119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211" name="AutoShape 1">
          <a:extLst>
            <a:ext uri="{FF2B5EF4-FFF2-40B4-BE49-F238E27FC236}">
              <a16:creationId xmlns:a16="http://schemas.microsoft.com/office/drawing/2014/main" id="{4A94852D-1521-441F-8568-EE55758D04BE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212" name="AutoShape 1">
          <a:extLst>
            <a:ext uri="{FF2B5EF4-FFF2-40B4-BE49-F238E27FC236}">
              <a16:creationId xmlns:a16="http://schemas.microsoft.com/office/drawing/2014/main" id="{21B2357E-8B96-4FBB-A454-F6CA84DD51E8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213" name="AutoShape 1">
          <a:extLst>
            <a:ext uri="{FF2B5EF4-FFF2-40B4-BE49-F238E27FC236}">
              <a16:creationId xmlns:a16="http://schemas.microsoft.com/office/drawing/2014/main" id="{8C7C3BB3-9D1B-4A4C-BFC6-6FA854B35839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214" name="AutoShape 1">
          <a:extLst>
            <a:ext uri="{FF2B5EF4-FFF2-40B4-BE49-F238E27FC236}">
              <a16:creationId xmlns:a16="http://schemas.microsoft.com/office/drawing/2014/main" id="{91EA0534-8A38-40C5-8F2C-6FAEDCD785B5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215" name="AutoShape 1">
          <a:extLst>
            <a:ext uri="{FF2B5EF4-FFF2-40B4-BE49-F238E27FC236}">
              <a16:creationId xmlns:a16="http://schemas.microsoft.com/office/drawing/2014/main" id="{7601F24A-25C1-4D71-A893-6CB39F4A6CAD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216" name="AutoShape 1">
          <a:extLst>
            <a:ext uri="{FF2B5EF4-FFF2-40B4-BE49-F238E27FC236}">
              <a16:creationId xmlns:a16="http://schemas.microsoft.com/office/drawing/2014/main" id="{38337D9B-5773-478C-BB88-6D0E44B56DA2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217" name="AutoShape 1">
          <a:extLst>
            <a:ext uri="{FF2B5EF4-FFF2-40B4-BE49-F238E27FC236}">
              <a16:creationId xmlns:a16="http://schemas.microsoft.com/office/drawing/2014/main" id="{0B557BC8-7472-4841-A876-95953E65E854}"/>
            </a:ext>
            <a:ext uri="{147F2762-F138-4A5C-976F-8EAC2B608ADB}">
              <a16:predDERef xmlns:a16="http://schemas.microsoft.com/office/drawing/2014/main" pred="{A9C9C4DB-4B97-447C-9099-E87BCB3C537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444</xdr:row>
      <xdr:rowOff>0</xdr:rowOff>
    </xdr:from>
    <xdr:ext cx="304800" cy="304800"/>
    <xdr:sp macro="" textlink="">
      <xdr:nvSpPr>
        <xdr:cNvPr id="2218" name="AutoShape 1">
          <a:extLst>
            <a:ext uri="{FF2B5EF4-FFF2-40B4-BE49-F238E27FC236}">
              <a16:creationId xmlns:a16="http://schemas.microsoft.com/office/drawing/2014/main" id="{8A688B3D-50C5-44F0-A39E-17819A675496}"/>
            </a:ext>
            <a:ext uri="{147F2762-F138-4A5C-976F-8EAC2B608ADB}">
              <a16:predDERef xmlns:a16="http://schemas.microsoft.com/office/drawing/2014/main" pred="{CD89554D-BD76-42AD-819A-278AD445B86E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471</xdr:row>
      <xdr:rowOff>0</xdr:rowOff>
    </xdr:from>
    <xdr:ext cx="304800" cy="304800"/>
    <xdr:sp macro="" textlink="">
      <xdr:nvSpPr>
        <xdr:cNvPr id="2219" name="AutoShape 1">
          <a:extLst>
            <a:ext uri="{FF2B5EF4-FFF2-40B4-BE49-F238E27FC236}">
              <a16:creationId xmlns:a16="http://schemas.microsoft.com/office/drawing/2014/main" id="{DA8D01EA-A9D8-4F64-9E3A-7041D2F6122A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69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471</xdr:row>
      <xdr:rowOff>0</xdr:rowOff>
    </xdr:from>
    <xdr:ext cx="304800" cy="304800"/>
    <xdr:sp macro="" textlink="">
      <xdr:nvSpPr>
        <xdr:cNvPr id="2220" name="AutoShape 1">
          <a:extLst>
            <a:ext uri="{FF2B5EF4-FFF2-40B4-BE49-F238E27FC236}">
              <a16:creationId xmlns:a16="http://schemas.microsoft.com/office/drawing/2014/main" id="{978253F9-9D6A-44EA-978B-24D753D3568E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69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471</xdr:row>
      <xdr:rowOff>0</xdr:rowOff>
    </xdr:from>
    <xdr:ext cx="304800" cy="304800"/>
    <xdr:sp macro="" textlink="">
      <xdr:nvSpPr>
        <xdr:cNvPr id="2221" name="AutoShape 1">
          <a:extLst>
            <a:ext uri="{FF2B5EF4-FFF2-40B4-BE49-F238E27FC236}">
              <a16:creationId xmlns:a16="http://schemas.microsoft.com/office/drawing/2014/main" id="{6EA7F9B7-1FF5-42E5-A028-3CDEEAB0F87E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69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471</xdr:row>
      <xdr:rowOff>0</xdr:rowOff>
    </xdr:from>
    <xdr:ext cx="304800" cy="304800"/>
    <xdr:sp macro="" textlink="">
      <xdr:nvSpPr>
        <xdr:cNvPr id="2222" name="AutoShape 1">
          <a:extLst>
            <a:ext uri="{FF2B5EF4-FFF2-40B4-BE49-F238E27FC236}">
              <a16:creationId xmlns:a16="http://schemas.microsoft.com/office/drawing/2014/main" id="{2902A2D3-C322-40E1-8E97-3259EAECFA61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69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471</xdr:row>
      <xdr:rowOff>0</xdr:rowOff>
    </xdr:from>
    <xdr:ext cx="304800" cy="304800"/>
    <xdr:sp macro="" textlink="">
      <xdr:nvSpPr>
        <xdr:cNvPr id="2223" name="AutoShape 1">
          <a:extLst>
            <a:ext uri="{FF2B5EF4-FFF2-40B4-BE49-F238E27FC236}">
              <a16:creationId xmlns:a16="http://schemas.microsoft.com/office/drawing/2014/main" id="{5BC7F38B-F2B8-4963-9136-1AE2CB07DD7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69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471</xdr:row>
      <xdr:rowOff>0</xdr:rowOff>
    </xdr:from>
    <xdr:ext cx="304800" cy="304800"/>
    <xdr:sp macro="" textlink="">
      <xdr:nvSpPr>
        <xdr:cNvPr id="2224" name="AutoShape 1">
          <a:extLst>
            <a:ext uri="{FF2B5EF4-FFF2-40B4-BE49-F238E27FC236}">
              <a16:creationId xmlns:a16="http://schemas.microsoft.com/office/drawing/2014/main" id="{34809F2A-7B5D-4A0E-B699-5EA5574D71A1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69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471</xdr:row>
      <xdr:rowOff>0</xdr:rowOff>
    </xdr:from>
    <xdr:ext cx="304800" cy="304800"/>
    <xdr:sp macro="" textlink="">
      <xdr:nvSpPr>
        <xdr:cNvPr id="2225" name="AutoShape 1">
          <a:extLst>
            <a:ext uri="{FF2B5EF4-FFF2-40B4-BE49-F238E27FC236}">
              <a16:creationId xmlns:a16="http://schemas.microsoft.com/office/drawing/2014/main" id="{2D4DC9BC-69DF-4044-9DCE-C9695E60821E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69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471</xdr:row>
      <xdr:rowOff>0</xdr:rowOff>
    </xdr:from>
    <xdr:ext cx="304800" cy="304800"/>
    <xdr:sp macro="" textlink="">
      <xdr:nvSpPr>
        <xdr:cNvPr id="2226" name="AutoShape 1">
          <a:extLst>
            <a:ext uri="{FF2B5EF4-FFF2-40B4-BE49-F238E27FC236}">
              <a16:creationId xmlns:a16="http://schemas.microsoft.com/office/drawing/2014/main" id="{750F81C4-F476-4D18-8258-DAFE87670DB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69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471</xdr:row>
      <xdr:rowOff>0</xdr:rowOff>
    </xdr:from>
    <xdr:ext cx="304800" cy="304800"/>
    <xdr:sp macro="" textlink="">
      <xdr:nvSpPr>
        <xdr:cNvPr id="2227" name="AutoShape 1">
          <a:extLst>
            <a:ext uri="{FF2B5EF4-FFF2-40B4-BE49-F238E27FC236}">
              <a16:creationId xmlns:a16="http://schemas.microsoft.com/office/drawing/2014/main" id="{EC9C7615-9EEC-4B36-9993-D035E91AF411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69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471</xdr:row>
      <xdr:rowOff>0</xdr:rowOff>
    </xdr:from>
    <xdr:ext cx="304800" cy="304800"/>
    <xdr:sp macro="" textlink="">
      <xdr:nvSpPr>
        <xdr:cNvPr id="2228" name="AutoShape 1">
          <a:extLst>
            <a:ext uri="{FF2B5EF4-FFF2-40B4-BE49-F238E27FC236}">
              <a16:creationId xmlns:a16="http://schemas.microsoft.com/office/drawing/2014/main" id="{B5F2419F-E746-4BD3-B82F-9F97A21331DF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69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471</xdr:row>
      <xdr:rowOff>0</xdr:rowOff>
    </xdr:from>
    <xdr:ext cx="304800" cy="304800"/>
    <xdr:sp macro="" textlink="">
      <xdr:nvSpPr>
        <xdr:cNvPr id="2229" name="AutoShape 1">
          <a:extLst>
            <a:ext uri="{FF2B5EF4-FFF2-40B4-BE49-F238E27FC236}">
              <a16:creationId xmlns:a16="http://schemas.microsoft.com/office/drawing/2014/main" id="{3921F28A-21D0-4CD2-A3A3-C088075D05AB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69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471</xdr:row>
      <xdr:rowOff>0</xdr:rowOff>
    </xdr:from>
    <xdr:ext cx="304800" cy="304800"/>
    <xdr:sp macro="" textlink="">
      <xdr:nvSpPr>
        <xdr:cNvPr id="2230" name="AutoShape 1">
          <a:extLst>
            <a:ext uri="{FF2B5EF4-FFF2-40B4-BE49-F238E27FC236}">
              <a16:creationId xmlns:a16="http://schemas.microsoft.com/office/drawing/2014/main" id="{30C7DE21-D8D4-4C21-908A-A46D12D6ED0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69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471</xdr:row>
      <xdr:rowOff>0</xdr:rowOff>
    </xdr:from>
    <xdr:ext cx="304800" cy="304800"/>
    <xdr:sp macro="" textlink="">
      <xdr:nvSpPr>
        <xdr:cNvPr id="2231" name="AutoShape 1">
          <a:extLst>
            <a:ext uri="{FF2B5EF4-FFF2-40B4-BE49-F238E27FC236}">
              <a16:creationId xmlns:a16="http://schemas.microsoft.com/office/drawing/2014/main" id="{D4230282-CD61-4BBF-8988-28E3A5D5C3D9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69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471</xdr:row>
      <xdr:rowOff>0</xdr:rowOff>
    </xdr:from>
    <xdr:ext cx="304800" cy="304800"/>
    <xdr:sp macro="" textlink="">
      <xdr:nvSpPr>
        <xdr:cNvPr id="2232" name="AutoShape 1">
          <a:extLst>
            <a:ext uri="{FF2B5EF4-FFF2-40B4-BE49-F238E27FC236}">
              <a16:creationId xmlns:a16="http://schemas.microsoft.com/office/drawing/2014/main" id="{3E01BC19-CEF5-48D5-8D01-702061C83C0E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69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471</xdr:row>
      <xdr:rowOff>0</xdr:rowOff>
    </xdr:from>
    <xdr:ext cx="304800" cy="304800"/>
    <xdr:sp macro="" textlink="">
      <xdr:nvSpPr>
        <xdr:cNvPr id="2233" name="AutoShape 1">
          <a:extLst>
            <a:ext uri="{FF2B5EF4-FFF2-40B4-BE49-F238E27FC236}">
              <a16:creationId xmlns:a16="http://schemas.microsoft.com/office/drawing/2014/main" id="{B53E8F9B-EF1C-4D19-BFCD-72D3095DBAA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69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471</xdr:row>
      <xdr:rowOff>0</xdr:rowOff>
    </xdr:from>
    <xdr:ext cx="304800" cy="304800"/>
    <xdr:sp macro="" textlink="">
      <xdr:nvSpPr>
        <xdr:cNvPr id="2234" name="AutoShape 1">
          <a:extLst>
            <a:ext uri="{FF2B5EF4-FFF2-40B4-BE49-F238E27FC236}">
              <a16:creationId xmlns:a16="http://schemas.microsoft.com/office/drawing/2014/main" id="{DCBA14C0-D143-4772-9C72-65A39792F933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69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471</xdr:row>
      <xdr:rowOff>0</xdr:rowOff>
    </xdr:from>
    <xdr:ext cx="304800" cy="304800"/>
    <xdr:sp macro="" textlink="">
      <xdr:nvSpPr>
        <xdr:cNvPr id="2235" name="AutoShape 1">
          <a:extLst>
            <a:ext uri="{FF2B5EF4-FFF2-40B4-BE49-F238E27FC236}">
              <a16:creationId xmlns:a16="http://schemas.microsoft.com/office/drawing/2014/main" id="{06AE43F5-8303-46A5-94A3-99D4DE2891DA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69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471</xdr:row>
      <xdr:rowOff>0</xdr:rowOff>
    </xdr:from>
    <xdr:ext cx="304800" cy="304800"/>
    <xdr:sp macro="" textlink="">
      <xdr:nvSpPr>
        <xdr:cNvPr id="2236" name="AutoShape 1">
          <a:extLst>
            <a:ext uri="{FF2B5EF4-FFF2-40B4-BE49-F238E27FC236}">
              <a16:creationId xmlns:a16="http://schemas.microsoft.com/office/drawing/2014/main" id="{CA98D45C-E916-4462-9A55-21B5417D795D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69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471</xdr:row>
      <xdr:rowOff>0</xdr:rowOff>
    </xdr:from>
    <xdr:ext cx="304800" cy="304800"/>
    <xdr:sp macro="" textlink="">
      <xdr:nvSpPr>
        <xdr:cNvPr id="2237" name="AutoShape 1">
          <a:extLst>
            <a:ext uri="{FF2B5EF4-FFF2-40B4-BE49-F238E27FC236}">
              <a16:creationId xmlns:a16="http://schemas.microsoft.com/office/drawing/2014/main" id="{017E5626-A215-4F22-ACF2-E44FBD6B512D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69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471</xdr:row>
      <xdr:rowOff>0</xdr:rowOff>
    </xdr:from>
    <xdr:ext cx="304800" cy="304800"/>
    <xdr:sp macro="" textlink="">
      <xdr:nvSpPr>
        <xdr:cNvPr id="2238" name="AutoShape 1">
          <a:extLst>
            <a:ext uri="{FF2B5EF4-FFF2-40B4-BE49-F238E27FC236}">
              <a16:creationId xmlns:a16="http://schemas.microsoft.com/office/drawing/2014/main" id="{B3300F10-5C5B-4CE6-8BA0-A1373FED8555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69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471</xdr:row>
      <xdr:rowOff>0</xdr:rowOff>
    </xdr:from>
    <xdr:ext cx="304800" cy="304800"/>
    <xdr:sp macro="" textlink="">
      <xdr:nvSpPr>
        <xdr:cNvPr id="2239" name="AutoShape 1">
          <a:extLst>
            <a:ext uri="{FF2B5EF4-FFF2-40B4-BE49-F238E27FC236}">
              <a16:creationId xmlns:a16="http://schemas.microsoft.com/office/drawing/2014/main" id="{8B5D2A0D-46C3-4270-9629-92C078F16237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69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471</xdr:row>
      <xdr:rowOff>0</xdr:rowOff>
    </xdr:from>
    <xdr:ext cx="304800" cy="304800"/>
    <xdr:sp macro="" textlink="">
      <xdr:nvSpPr>
        <xdr:cNvPr id="2240" name="AutoShape 1">
          <a:extLst>
            <a:ext uri="{FF2B5EF4-FFF2-40B4-BE49-F238E27FC236}">
              <a16:creationId xmlns:a16="http://schemas.microsoft.com/office/drawing/2014/main" id="{2B940B39-AC1D-49CC-B2C6-2B5B0B722FB7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69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471</xdr:row>
      <xdr:rowOff>0</xdr:rowOff>
    </xdr:from>
    <xdr:ext cx="304800" cy="304800"/>
    <xdr:sp macro="" textlink="">
      <xdr:nvSpPr>
        <xdr:cNvPr id="2241" name="AutoShape 1">
          <a:extLst>
            <a:ext uri="{FF2B5EF4-FFF2-40B4-BE49-F238E27FC236}">
              <a16:creationId xmlns:a16="http://schemas.microsoft.com/office/drawing/2014/main" id="{B321E8DE-B361-41FC-A40D-BC06B8F343AF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69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471</xdr:row>
      <xdr:rowOff>0</xdr:rowOff>
    </xdr:from>
    <xdr:ext cx="304800" cy="304800"/>
    <xdr:sp macro="" textlink="">
      <xdr:nvSpPr>
        <xdr:cNvPr id="2242" name="AutoShape 1">
          <a:extLst>
            <a:ext uri="{FF2B5EF4-FFF2-40B4-BE49-F238E27FC236}">
              <a16:creationId xmlns:a16="http://schemas.microsoft.com/office/drawing/2014/main" id="{A39A7A91-7539-4917-B583-C84D8D5C8426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69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471</xdr:row>
      <xdr:rowOff>0</xdr:rowOff>
    </xdr:from>
    <xdr:ext cx="304800" cy="304800"/>
    <xdr:sp macro="" textlink="">
      <xdr:nvSpPr>
        <xdr:cNvPr id="2243" name="AutoShape 1">
          <a:extLst>
            <a:ext uri="{FF2B5EF4-FFF2-40B4-BE49-F238E27FC236}">
              <a16:creationId xmlns:a16="http://schemas.microsoft.com/office/drawing/2014/main" id="{00E14745-3148-4A21-919A-2EA864B8F260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69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471</xdr:row>
      <xdr:rowOff>0</xdr:rowOff>
    </xdr:from>
    <xdr:ext cx="304800" cy="304800"/>
    <xdr:sp macro="" textlink="">
      <xdr:nvSpPr>
        <xdr:cNvPr id="2244" name="AutoShape 1">
          <a:extLst>
            <a:ext uri="{FF2B5EF4-FFF2-40B4-BE49-F238E27FC236}">
              <a16:creationId xmlns:a16="http://schemas.microsoft.com/office/drawing/2014/main" id="{AADE4B5F-D29A-4782-B33B-635D1FAC27D8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69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471</xdr:row>
      <xdr:rowOff>0</xdr:rowOff>
    </xdr:from>
    <xdr:ext cx="304800" cy="304800"/>
    <xdr:sp macro="" textlink="">
      <xdr:nvSpPr>
        <xdr:cNvPr id="2245" name="AutoShape 1">
          <a:extLst>
            <a:ext uri="{FF2B5EF4-FFF2-40B4-BE49-F238E27FC236}">
              <a16:creationId xmlns:a16="http://schemas.microsoft.com/office/drawing/2014/main" id="{F58734B1-2603-4259-8F87-8A814E8057A0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69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471</xdr:row>
      <xdr:rowOff>0</xdr:rowOff>
    </xdr:from>
    <xdr:ext cx="304800" cy="304800"/>
    <xdr:sp macro="" textlink="">
      <xdr:nvSpPr>
        <xdr:cNvPr id="2246" name="AutoShape 1">
          <a:extLst>
            <a:ext uri="{FF2B5EF4-FFF2-40B4-BE49-F238E27FC236}">
              <a16:creationId xmlns:a16="http://schemas.microsoft.com/office/drawing/2014/main" id="{6BBD3335-75EE-4B21-A702-BFD9299A806B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69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471</xdr:row>
      <xdr:rowOff>0</xdr:rowOff>
    </xdr:from>
    <xdr:ext cx="304800" cy="304800"/>
    <xdr:sp macro="" textlink="">
      <xdr:nvSpPr>
        <xdr:cNvPr id="2247" name="AutoShape 1">
          <a:extLst>
            <a:ext uri="{FF2B5EF4-FFF2-40B4-BE49-F238E27FC236}">
              <a16:creationId xmlns:a16="http://schemas.microsoft.com/office/drawing/2014/main" id="{8D1CA89D-0EB3-4C4C-8E5C-D51D7B2275EB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69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471</xdr:row>
      <xdr:rowOff>0</xdr:rowOff>
    </xdr:from>
    <xdr:ext cx="304800" cy="304800"/>
    <xdr:sp macro="" textlink="">
      <xdr:nvSpPr>
        <xdr:cNvPr id="2248" name="AutoShape 1">
          <a:extLst>
            <a:ext uri="{FF2B5EF4-FFF2-40B4-BE49-F238E27FC236}">
              <a16:creationId xmlns:a16="http://schemas.microsoft.com/office/drawing/2014/main" id="{78907829-037F-4D34-88DD-40AA5CB458EE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69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471</xdr:row>
      <xdr:rowOff>0</xdr:rowOff>
    </xdr:from>
    <xdr:ext cx="304800" cy="304800"/>
    <xdr:sp macro="" textlink="">
      <xdr:nvSpPr>
        <xdr:cNvPr id="2249" name="AutoShape 1">
          <a:extLst>
            <a:ext uri="{FF2B5EF4-FFF2-40B4-BE49-F238E27FC236}">
              <a16:creationId xmlns:a16="http://schemas.microsoft.com/office/drawing/2014/main" id="{E36268EA-DF7A-4A9B-A611-FA31D50ABA98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69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471</xdr:row>
      <xdr:rowOff>0</xdr:rowOff>
    </xdr:from>
    <xdr:ext cx="304800" cy="304800"/>
    <xdr:sp macro="" textlink="">
      <xdr:nvSpPr>
        <xdr:cNvPr id="2250" name="AutoShape 1">
          <a:extLst>
            <a:ext uri="{FF2B5EF4-FFF2-40B4-BE49-F238E27FC236}">
              <a16:creationId xmlns:a16="http://schemas.microsoft.com/office/drawing/2014/main" id="{D514028D-F393-46C9-8110-10B028BDAD9D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69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471</xdr:row>
      <xdr:rowOff>0</xdr:rowOff>
    </xdr:from>
    <xdr:ext cx="304800" cy="304800"/>
    <xdr:sp macro="" textlink="">
      <xdr:nvSpPr>
        <xdr:cNvPr id="2251" name="AutoShape 1">
          <a:extLst>
            <a:ext uri="{FF2B5EF4-FFF2-40B4-BE49-F238E27FC236}">
              <a16:creationId xmlns:a16="http://schemas.microsoft.com/office/drawing/2014/main" id="{B6725AE3-12F0-4747-A0CB-07A8EF08842C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69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471</xdr:row>
      <xdr:rowOff>0</xdr:rowOff>
    </xdr:from>
    <xdr:ext cx="304800" cy="304800"/>
    <xdr:sp macro="" textlink="">
      <xdr:nvSpPr>
        <xdr:cNvPr id="2252" name="AutoShape 1">
          <a:extLst>
            <a:ext uri="{FF2B5EF4-FFF2-40B4-BE49-F238E27FC236}">
              <a16:creationId xmlns:a16="http://schemas.microsoft.com/office/drawing/2014/main" id="{4235F98F-9030-4C40-BB32-D0BA7E79F0DB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69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471</xdr:row>
      <xdr:rowOff>0</xdr:rowOff>
    </xdr:from>
    <xdr:ext cx="304800" cy="304800"/>
    <xdr:sp macro="" textlink="">
      <xdr:nvSpPr>
        <xdr:cNvPr id="2253" name="AutoShape 1">
          <a:extLst>
            <a:ext uri="{FF2B5EF4-FFF2-40B4-BE49-F238E27FC236}">
              <a16:creationId xmlns:a16="http://schemas.microsoft.com/office/drawing/2014/main" id="{6137FB12-05A3-4EB4-A8B2-FC36F97ACC8E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69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471</xdr:row>
      <xdr:rowOff>0</xdr:rowOff>
    </xdr:from>
    <xdr:ext cx="304800" cy="304800"/>
    <xdr:sp macro="" textlink="">
      <xdr:nvSpPr>
        <xdr:cNvPr id="2254" name="AutoShape 1">
          <a:extLst>
            <a:ext uri="{FF2B5EF4-FFF2-40B4-BE49-F238E27FC236}">
              <a16:creationId xmlns:a16="http://schemas.microsoft.com/office/drawing/2014/main" id="{2106EB4E-D637-4979-B2B1-901C8F728F0F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69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471</xdr:row>
      <xdr:rowOff>0</xdr:rowOff>
    </xdr:from>
    <xdr:ext cx="304800" cy="304800"/>
    <xdr:sp macro="" textlink="">
      <xdr:nvSpPr>
        <xdr:cNvPr id="2255" name="AutoShape 1">
          <a:extLst>
            <a:ext uri="{FF2B5EF4-FFF2-40B4-BE49-F238E27FC236}">
              <a16:creationId xmlns:a16="http://schemas.microsoft.com/office/drawing/2014/main" id="{AC5C67F8-910F-459E-A8EA-B41DEF297DA5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69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471</xdr:row>
      <xdr:rowOff>0</xdr:rowOff>
    </xdr:from>
    <xdr:ext cx="304800" cy="304800"/>
    <xdr:sp macro="" textlink="">
      <xdr:nvSpPr>
        <xdr:cNvPr id="2256" name="AutoShape 1">
          <a:extLst>
            <a:ext uri="{FF2B5EF4-FFF2-40B4-BE49-F238E27FC236}">
              <a16:creationId xmlns:a16="http://schemas.microsoft.com/office/drawing/2014/main" id="{3E0CE6BA-2A58-4D7E-98DD-52087939D8C0}"/>
            </a:ext>
            <a:ext uri="{147F2762-F138-4A5C-976F-8EAC2B608ADB}">
              <a16:predDERef xmlns:a16="http://schemas.microsoft.com/office/drawing/2014/main" pred="{A9C9C4DB-4B97-447C-9099-E87BCB3C537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69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471</xdr:row>
      <xdr:rowOff>0</xdr:rowOff>
    </xdr:from>
    <xdr:ext cx="304800" cy="304800"/>
    <xdr:sp macro="" textlink="">
      <xdr:nvSpPr>
        <xdr:cNvPr id="2257" name="AutoShape 1">
          <a:extLst>
            <a:ext uri="{FF2B5EF4-FFF2-40B4-BE49-F238E27FC236}">
              <a16:creationId xmlns:a16="http://schemas.microsoft.com/office/drawing/2014/main" id="{AF06439D-31CD-4EC2-B3B8-D081BECDEF90}"/>
            </a:ext>
            <a:ext uri="{147F2762-F138-4A5C-976F-8EAC2B608ADB}">
              <a16:predDERef xmlns:a16="http://schemas.microsoft.com/office/drawing/2014/main" pred="{CD89554D-BD76-42AD-819A-278AD445B86E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69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471</xdr:row>
      <xdr:rowOff>0</xdr:rowOff>
    </xdr:from>
    <xdr:ext cx="304800" cy="304800"/>
    <xdr:sp macro="" textlink="">
      <xdr:nvSpPr>
        <xdr:cNvPr id="2258" name="AutoShape 1">
          <a:extLst>
            <a:ext uri="{FF2B5EF4-FFF2-40B4-BE49-F238E27FC236}">
              <a16:creationId xmlns:a16="http://schemas.microsoft.com/office/drawing/2014/main" id="{1C19BF06-535C-408E-9C69-255578D881CA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69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471</xdr:row>
      <xdr:rowOff>0</xdr:rowOff>
    </xdr:from>
    <xdr:ext cx="304800" cy="304800"/>
    <xdr:sp macro="" textlink="">
      <xdr:nvSpPr>
        <xdr:cNvPr id="2259" name="AutoShape 1">
          <a:extLst>
            <a:ext uri="{FF2B5EF4-FFF2-40B4-BE49-F238E27FC236}">
              <a16:creationId xmlns:a16="http://schemas.microsoft.com/office/drawing/2014/main" id="{E5DDF1FC-F7CA-4063-B299-1DD37E9607F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69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471</xdr:row>
      <xdr:rowOff>0</xdr:rowOff>
    </xdr:from>
    <xdr:ext cx="304800" cy="304800"/>
    <xdr:sp macro="" textlink="">
      <xdr:nvSpPr>
        <xdr:cNvPr id="2260" name="AutoShape 1">
          <a:extLst>
            <a:ext uri="{FF2B5EF4-FFF2-40B4-BE49-F238E27FC236}">
              <a16:creationId xmlns:a16="http://schemas.microsoft.com/office/drawing/2014/main" id="{0503C231-45EC-468A-8162-DD2E6B3F8DDE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69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471</xdr:row>
      <xdr:rowOff>0</xdr:rowOff>
    </xdr:from>
    <xdr:ext cx="304800" cy="304800"/>
    <xdr:sp macro="" textlink="">
      <xdr:nvSpPr>
        <xdr:cNvPr id="2261" name="AutoShape 1">
          <a:extLst>
            <a:ext uri="{FF2B5EF4-FFF2-40B4-BE49-F238E27FC236}">
              <a16:creationId xmlns:a16="http://schemas.microsoft.com/office/drawing/2014/main" id="{A8BD802C-AA7E-49C4-B484-043984D76817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69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471</xdr:row>
      <xdr:rowOff>0</xdr:rowOff>
    </xdr:from>
    <xdr:ext cx="304800" cy="304800"/>
    <xdr:sp macro="" textlink="">
      <xdr:nvSpPr>
        <xdr:cNvPr id="2262" name="AutoShape 1">
          <a:extLst>
            <a:ext uri="{FF2B5EF4-FFF2-40B4-BE49-F238E27FC236}">
              <a16:creationId xmlns:a16="http://schemas.microsoft.com/office/drawing/2014/main" id="{875B7152-9A49-4820-818F-47849A4BE164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69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471</xdr:row>
      <xdr:rowOff>0</xdr:rowOff>
    </xdr:from>
    <xdr:ext cx="304800" cy="304800"/>
    <xdr:sp macro="" textlink="">
      <xdr:nvSpPr>
        <xdr:cNvPr id="2263" name="AutoShape 1">
          <a:extLst>
            <a:ext uri="{FF2B5EF4-FFF2-40B4-BE49-F238E27FC236}">
              <a16:creationId xmlns:a16="http://schemas.microsoft.com/office/drawing/2014/main" id="{923DEABB-295D-469B-A40E-1D303B56440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69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471</xdr:row>
      <xdr:rowOff>0</xdr:rowOff>
    </xdr:from>
    <xdr:ext cx="304800" cy="304800"/>
    <xdr:sp macro="" textlink="">
      <xdr:nvSpPr>
        <xdr:cNvPr id="2264" name="AutoShape 1">
          <a:extLst>
            <a:ext uri="{FF2B5EF4-FFF2-40B4-BE49-F238E27FC236}">
              <a16:creationId xmlns:a16="http://schemas.microsoft.com/office/drawing/2014/main" id="{F9C6F8D2-1231-45FD-8A86-44541CC1723F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69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471</xdr:row>
      <xdr:rowOff>0</xdr:rowOff>
    </xdr:from>
    <xdr:ext cx="304800" cy="304800"/>
    <xdr:sp macro="" textlink="">
      <xdr:nvSpPr>
        <xdr:cNvPr id="2265" name="AutoShape 1">
          <a:extLst>
            <a:ext uri="{FF2B5EF4-FFF2-40B4-BE49-F238E27FC236}">
              <a16:creationId xmlns:a16="http://schemas.microsoft.com/office/drawing/2014/main" id="{BEF46FE9-C0A5-4B97-B1E5-2FAB749EDBE3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69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471</xdr:row>
      <xdr:rowOff>0</xdr:rowOff>
    </xdr:from>
    <xdr:ext cx="304800" cy="304800"/>
    <xdr:sp macro="" textlink="">
      <xdr:nvSpPr>
        <xdr:cNvPr id="2266" name="AutoShape 1">
          <a:extLst>
            <a:ext uri="{FF2B5EF4-FFF2-40B4-BE49-F238E27FC236}">
              <a16:creationId xmlns:a16="http://schemas.microsoft.com/office/drawing/2014/main" id="{166EAD84-CAE6-402C-909D-B9220D68DCD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69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471</xdr:row>
      <xdr:rowOff>0</xdr:rowOff>
    </xdr:from>
    <xdr:ext cx="304800" cy="304800"/>
    <xdr:sp macro="" textlink="">
      <xdr:nvSpPr>
        <xdr:cNvPr id="2267" name="AutoShape 1">
          <a:extLst>
            <a:ext uri="{FF2B5EF4-FFF2-40B4-BE49-F238E27FC236}">
              <a16:creationId xmlns:a16="http://schemas.microsoft.com/office/drawing/2014/main" id="{D0816184-6CDF-4F5C-A035-B20AFBC746B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69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471</xdr:row>
      <xdr:rowOff>0</xdr:rowOff>
    </xdr:from>
    <xdr:ext cx="304800" cy="304800"/>
    <xdr:sp macro="" textlink="">
      <xdr:nvSpPr>
        <xdr:cNvPr id="2268" name="AutoShape 1">
          <a:extLst>
            <a:ext uri="{FF2B5EF4-FFF2-40B4-BE49-F238E27FC236}">
              <a16:creationId xmlns:a16="http://schemas.microsoft.com/office/drawing/2014/main" id="{A79B4B52-06D2-4D56-9A48-9916040CA76C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69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471</xdr:row>
      <xdr:rowOff>0</xdr:rowOff>
    </xdr:from>
    <xdr:ext cx="304800" cy="304800"/>
    <xdr:sp macro="" textlink="">
      <xdr:nvSpPr>
        <xdr:cNvPr id="2269" name="AutoShape 1">
          <a:extLst>
            <a:ext uri="{FF2B5EF4-FFF2-40B4-BE49-F238E27FC236}">
              <a16:creationId xmlns:a16="http://schemas.microsoft.com/office/drawing/2014/main" id="{3D0860F3-59CF-41D9-9109-91287A009796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69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471</xdr:row>
      <xdr:rowOff>0</xdr:rowOff>
    </xdr:from>
    <xdr:ext cx="304800" cy="304800"/>
    <xdr:sp macro="" textlink="">
      <xdr:nvSpPr>
        <xdr:cNvPr id="2270" name="AutoShape 1">
          <a:extLst>
            <a:ext uri="{FF2B5EF4-FFF2-40B4-BE49-F238E27FC236}">
              <a16:creationId xmlns:a16="http://schemas.microsoft.com/office/drawing/2014/main" id="{16240755-2CBA-4FA1-BE5D-224B6CD340A3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69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471</xdr:row>
      <xdr:rowOff>0</xdr:rowOff>
    </xdr:from>
    <xdr:ext cx="304800" cy="304800"/>
    <xdr:sp macro="" textlink="">
      <xdr:nvSpPr>
        <xdr:cNvPr id="2271" name="AutoShape 1">
          <a:extLst>
            <a:ext uri="{FF2B5EF4-FFF2-40B4-BE49-F238E27FC236}">
              <a16:creationId xmlns:a16="http://schemas.microsoft.com/office/drawing/2014/main" id="{D8161B0C-C94B-48C3-8157-018E14363A9F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69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471</xdr:row>
      <xdr:rowOff>0</xdr:rowOff>
    </xdr:from>
    <xdr:ext cx="304800" cy="304800"/>
    <xdr:sp macro="" textlink="">
      <xdr:nvSpPr>
        <xdr:cNvPr id="2272" name="AutoShape 1">
          <a:extLst>
            <a:ext uri="{FF2B5EF4-FFF2-40B4-BE49-F238E27FC236}">
              <a16:creationId xmlns:a16="http://schemas.microsoft.com/office/drawing/2014/main" id="{13B3E480-7D18-47E5-BAA1-2747D52BEC5B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69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471</xdr:row>
      <xdr:rowOff>0</xdr:rowOff>
    </xdr:from>
    <xdr:ext cx="304800" cy="304800"/>
    <xdr:sp macro="" textlink="">
      <xdr:nvSpPr>
        <xdr:cNvPr id="2273" name="AutoShape 1">
          <a:extLst>
            <a:ext uri="{FF2B5EF4-FFF2-40B4-BE49-F238E27FC236}">
              <a16:creationId xmlns:a16="http://schemas.microsoft.com/office/drawing/2014/main" id="{EBDAA0D7-BC0D-4FAF-B564-9535713BFFE1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69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471</xdr:row>
      <xdr:rowOff>0</xdr:rowOff>
    </xdr:from>
    <xdr:ext cx="304800" cy="304800"/>
    <xdr:sp macro="" textlink="">
      <xdr:nvSpPr>
        <xdr:cNvPr id="2274" name="AutoShape 1">
          <a:extLst>
            <a:ext uri="{FF2B5EF4-FFF2-40B4-BE49-F238E27FC236}">
              <a16:creationId xmlns:a16="http://schemas.microsoft.com/office/drawing/2014/main" id="{8BF5479C-2C61-40F2-A260-8E6A3C908A61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69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471</xdr:row>
      <xdr:rowOff>0</xdr:rowOff>
    </xdr:from>
    <xdr:ext cx="304800" cy="304800"/>
    <xdr:sp macro="" textlink="">
      <xdr:nvSpPr>
        <xdr:cNvPr id="2275" name="AutoShape 1">
          <a:extLst>
            <a:ext uri="{FF2B5EF4-FFF2-40B4-BE49-F238E27FC236}">
              <a16:creationId xmlns:a16="http://schemas.microsoft.com/office/drawing/2014/main" id="{8410B94F-E41A-4C28-905C-9F9C0D909680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69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471</xdr:row>
      <xdr:rowOff>0</xdr:rowOff>
    </xdr:from>
    <xdr:ext cx="304800" cy="304800"/>
    <xdr:sp macro="" textlink="">
      <xdr:nvSpPr>
        <xdr:cNvPr id="2276" name="AutoShape 1">
          <a:extLst>
            <a:ext uri="{FF2B5EF4-FFF2-40B4-BE49-F238E27FC236}">
              <a16:creationId xmlns:a16="http://schemas.microsoft.com/office/drawing/2014/main" id="{CDC0642E-BEBA-4B5A-8F8B-7681C742545E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69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471</xdr:row>
      <xdr:rowOff>0</xdr:rowOff>
    </xdr:from>
    <xdr:ext cx="304800" cy="304800"/>
    <xdr:sp macro="" textlink="">
      <xdr:nvSpPr>
        <xdr:cNvPr id="2277" name="AutoShape 1">
          <a:extLst>
            <a:ext uri="{FF2B5EF4-FFF2-40B4-BE49-F238E27FC236}">
              <a16:creationId xmlns:a16="http://schemas.microsoft.com/office/drawing/2014/main" id="{213CA7D3-06CA-42FF-AA69-908B16E87DBB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69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471</xdr:row>
      <xdr:rowOff>0</xdr:rowOff>
    </xdr:from>
    <xdr:ext cx="304800" cy="304800"/>
    <xdr:sp macro="" textlink="">
      <xdr:nvSpPr>
        <xdr:cNvPr id="2278" name="AutoShape 1">
          <a:extLst>
            <a:ext uri="{FF2B5EF4-FFF2-40B4-BE49-F238E27FC236}">
              <a16:creationId xmlns:a16="http://schemas.microsoft.com/office/drawing/2014/main" id="{5B504E31-A76E-41A8-828E-C69B50E7B678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69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471</xdr:row>
      <xdr:rowOff>0</xdr:rowOff>
    </xdr:from>
    <xdr:ext cx="304800" cy="304800"/>
    <xdr:sp macro="" textlink="">
      <xdr:nvSpPr>
        <xdr:cNvPr id="2279" name="AutoShape 1">
          <a:extLst>
            <a:ext uri="{FF2B5EF4-FFF2-40B4-BE49-F238E27FC236}">
              <a16:creationId xmlns:a16="http://schemas.microsoft.com/office/drawing/2014/main" id="{8FA8C52B-C52B-4376-9146-9E9CA8FD2B9C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69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471</xdr:row>
      <xdr:rowOff>0</xdr:rowOff>
    </xdr:from>
    <xdr:ext cx="304800" cy="304800"/>
    <xdr:sp macro="" textlink="">
      <xdr:nvSpPr>
        <xdr:cNvPr id="2280" name="AutoShape 1">
          <a:extLst>
            <a:ext uri="{FF2B5EF4-FFF2-40B4-BE49-F238E27FC236}">
              <a16:creationId xmlns:a16="http://schemas.microsoft.com/office/drawing/2014/main" id="{48AD6AF1-15C3-4CAF-9C38-3279034E2C9B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69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471</xdr:row>
      <xdr:rowOff>0</xdr:rowOff>
    </xdr:from>
    <xdr:ext cx="304800" cy="304800"/>
    <xdr:sp macro="" textlink="">
      <xdr:nvSpPr>
        <xdr:cNvPr id="2281" name="AutoShape 1">
          <a:extLst>
            <a:ext uri="{FF2B5EF4-FFF2-40B4-BE49-F238E27FC236}">
              <a16:creationId xmlns:a16="http://schemas.microsoft.com/office/drawing/2014/main" id="{6376A32A-6B80-4F34-9684-1D8F95E321C6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69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471</xdr:row>
      <xdr:rowOff>0</xdr:rowOff>
    </xdr:from>
    <xdr:ext cx="304800" cy="304800"/>
    <xdr:sp macro="" textlink="">
      <xdr:nvSpPr>
        <xdr:cNvPr id="2282" name="AutoShape 1">
          <a:extLst>
            <a:ext uri="{FF2B5EF4-FFF2-40B4-BE49-F238E27FC236}">
              <a16:creationId xmlns:a16="http://schemas.microsoft.com/office/drawing/2014/main" id="{62F8DE91-98C7-4094-B1F0-ABA2AB49367D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69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471</xdr:row>
      <xdr:rowOff>0</xdr:rowOff>
    </xdr:from>
    <xdr:ext cx="304800" cy="304800"/>
    <xdr:sp macro="" textlink="">
      <xdr:nvSpPr>
        <xdr:cNvPr id="2283" name="AutoShape 1">
          <a:extLst>
            <a:ext uri="{FF2B5EF4-FFF2-40B4-BE49-F238E27FC236}">
              <a16:creationId xmlns:a16="http://schemas.microsoft.com/office/drawing/2014/main" id="{D9FB1107-4B23-4503-9171-23D294FC77C6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69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471</xdr:row>
      <xdr:rowOff>0</xdr:rowOff>
    </xdr:from>
    <xdr:ext cx="304800" cy="304800"/>
    <xdr:sp macro="" textlink="">
      <xdr:nvSpPr>
        <xdr:cNvPr id="2284" name="AutoShape 1">
          <a:extLst>
            <a:ext uri="{FF2B5EF4-FFF2-40B4-BE49-F238E27FC236}">
              <a16:creationId xmlns:a16="http://schemas.microsoft.com/office/drawing/2014/main" id="{F47FC381-49C1-44A0-B4F7-056559A38E3D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69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471</xdr:row>
      <xdr:rowOff>0</xdr:rowOff>
    </xdr:from>
    <xdr:ext cx="304800" cy="304800"/>
    <xdr:sp macro="" textlink="">
      <xdr:nvSpPr>
        <xdr:cNvPr id="2285" name="AutoShape 1">
          <a:extLst>
            <a:ext uri="{FF2B5EF4-FFF2-40B4-BE49-F238E27FC236}">
              <a16:creationId xmlns:a16="http://schemas.microsoft.com/office/drawing/2014/main" id="{C1D6D1AF-1A20-4EE2-B22B-296C232327A6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69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471</xdr:row>
      <xdr:rowOff>0</xdr:rowOff>
    </xdr:from>
    <xdr:ext cx="304800" cy="304800"/>
    <xdr:sp macro="" textlink="">
      <xdr:nvSpPr>
        <xdr:cNvPr id="2286" name="AutoShape 1">
          <a:extLst>
            <a:ext uri="{FF2B5EF4-FFF2-40B4-BE49-F238E27FC236}">
              <a16:creationId xmlns:a16="http://schemas.microsoft.com/office/drawing/2014/main" id="{F9F20EF2-E210-4750-9827-A08177A90D98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69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471</xdr:row>
      <xdr:rowOff>0</xdr:rowOff>
    </xdr:from>
    <xdr:ext cx="304800" cy="304800"/>
    <xdr:sp macro="" textlink="">
      <xdr:nvSpPr>
        <xdr:cNvPr id="2287" name="AutoShape 1">
          <a:extLst>
            <a:ext uri="{FF2B5EF4-FFF2-40B4-BE49-F238E27FC236}">
              <a16:creationId xmlns:a16="http://schemas.microsoft.com/office/drawing/2014/main" id="{0469FC12-99BD-4626-A65A-D58CAB7D2ADF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69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471</xdr:row>
      <xdr:rowOff>0</xdr:rowOff>
    </xdr:from>
    <xdr:ext cx="304800" cy="304800"/>
    <xdr:sp macro="" textlink="">
      <xdr:nvSpPr>
        <xdr:cNvPr id="2288" name="AutoShape 1">
          <a:extLst>
            <a:ext uri="{FF2B5EF4-FFF2-40B4-BE49-F238E27FC236}">
              <a16:creationId xmlns:a16="http://schemas.microsoft.com/office/drawing/2014/main" id="{C595E0BC-3E6E-4D98-BA5D-1346D61182BE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69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471</xdr:row>
      <xdr:rowOff>0</xdr:rowOff>
    </xdr:from>
    <xdr:ext cx="304800" cy="304800"/>
    <xdr:sp macro="" textlink="">
      <xdr:nvSpPr>
        <xdr:cNvPr id="2289" name="AutoShape 1">
          <a:extLst>
            <a:ext uri="{FF2B5EF4-FFF2-40B4-BE49-F238E27FC236}">
              <a16:creationId xmlns:a16="http://schemas.microsoft.com/office/drawing/2014/main" id="{539A1F73-D1C7-419A-A675-C39A85119505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69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471</xdr:row>
      <xdr:rowOff>0</xdr:rowOff>
    </xdr:from>
    <xdr:ext cx="304800" cy="304800"/>
    <xdr:sp macro="" textlink="">
      <xdr:nvSpPr>
        <xdr:cNvPr id="2290" name="AutoShape 1">
          <a:extLst>
            <a:ext uri="{FF2B5EF4-FFF2-40B4-BE49-F238E27FC236}">
              <a16:creationId xmlns:a16="http://schemas.microsoft.com/office/drawing/2014/main" id="{BAD5E54B-5467-4196-984B-7667277B1379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69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471</xdr:row>
      <xdr:rowOff>0</xdr:rowOff>
    </xdr:from>
    <xdr:ext cx="304800" cy="304800"/>
    <xdr:sp macro="" textlink="">
      <xdr:nvSpPr>
        <xdr:cNvPr id="2291" name="AutoShape 1">
          <a:extLst>
            <a:ext uri="{FF2B5EF4-FFF2-40B4-BE49-F238E27FC236}">
              <a16:creationId xmlns:a16="http://schemas.microsoft.com/office/drawing/2014/main" id="{20AC1A77-E0E0-4579-8334-10C4FFF21F63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69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471</xdr:row>
      <xdr:rowOff>0</xdr:rowOff>
    </xdr:from>
    <xdr:ext cx="304800" cy="304800"/>
    <xdr:sp macro="" textlink="">
      <xdr:nvSpPr>
        <xdr:cNvPr id="2292" name="AutoShape 1">
          <a:extLst>
            <a:ext uri="{FF2B5EF4-FFF2-40B4-BE49-F238E27FC236}">
              <a16:creationId xmlns:a16="http://schemas.microsoft.com/office/drawing/2014/main" id="{3DD2EDAB-6454-4BD0-AFB4-0C0E64439B90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69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471</xdr:row>
      <xdr:rowOff>0</xdr:rowOff>
    </xdr:from>
    <xdr:ext cx="304800" cy="304800"/>
    <xdr:sp macro="" textlink="">
      <xdr:nvSpPr>
        <xdr:cNvPr id="2293" name="AutoShape 1">
          <a:extLst>
            <a:ext uri="{FF2B5EF4-FFF2-40B4-BE49-F238E27FC236}">
              <a16:creationId xmlns:a16="http://schemas.microsoft.com/office/drawing/2014/main" id="{8F8F2247-762D-43B7-9178-C6CD037C6344}"/>
            </a:ext>
            <a:ext uri="{147F2762-F138-4A5C-976F-8EAC2B608ADB}">
              <a16:predDERef xmlns:a16="http://schemas.microsoft.com/office/drawing/2014/main" pred="{A9C9C4DB-4B97-447C-9099-E87BCB3C537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69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471</xdr:row>
      <xdr:rowOff>0</xdr:rowOff>
    </xdr:from>
    <xdr:ext cx="304800" cy="304800"/>
    <xdr:sp macro="" textlink="">
      <xdr:nvSpPr>
        <xdr:cNvPr id="2294" name="AutoShape 1">
          <a:extLst>
            <a:ext uri="{FF2B5EF4-FFF2-40B4-BE49-F238E27FC236}">
              <a16:creationId xmlns:a16="http://schemas.microsoft.com/office/drawing/2014/main" id="{9B09913E-E428-47E8-8C2F-3A2DE7A61CD5}"/>
            </a:ext>
            <a:ext uri="{147F2762-F138-4A5C-976F-8EAC2B608ADB}">
              <a16:predDERef xmlns:a16="http://schemas.microsoft.com/office/drawing/2014/main" pred="{CD89554D-BD76-42AD-819A-278AD445B86E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69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471</xdr:row>
      <xdr:rowOff>0</xdr:rowOff>
    </xdr:from>
    <xdr:ext cx="304800" cy="304800"/>
    <xdr:sp macro="" textlink="">
      <xdr:nvSpPr>
        <xdr:cNvPr id="2295" name="AutoShape 1">
          <a:extLst>
            <a:ext uri="{FF2B5EF4-FFF2-40B4-BE49-F238E27FC236}">
              <a16:creationId xmlns:a16="http://schemas.microsoft.com/office/drawing/2014/main" id="{3466EBA6-684B-49D4-BB9F-B4786A18475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69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471</xdr:row>
      <xdr:rowOff>0</xdr:rowOff>
    </xdr:from>
    <xdr:ext cx="304800" cy="304800"/>
    <xdr:sp macro="" textlink="">
      <xdr:nvSpPr>
        <xdr:cNvPr id="2296" name="AutoShape 1">
          <a:extLst>
            <a:ext uri="{FF2B5EF4-FFF2-40B4-BE49-F238E27FC236}">
              <a16:creationId xmlns:a16="http://schemas.microsoft.com/office/drawing/2014/main" id="{38217110-00EE-4BC0-B49B-118EC4AF4B5D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69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471</xdr:row>
      <xdr:rowOff>0</xdr:rowOff>
    </xdr:from>
    <xdr:ext cx="304800" cy="304800"/>
    <xdr:sp macro="" textlink="">
      <xdr:nvSpPr>
        <xdr:cNvPr id="2297" name="AutoShape 1">
          <a:extLst>
            <a:ext uri="{FF2B5EF4-FFF2-40B4-BE49-F238E27FC236}">
              <a16:creationId xmlns:a16="http://schemas.microsoft.com/office/drawing/2014/main" id="{0C6689E3-26F0-4B59-8FE6-543BACD1D65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69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471</xdr:row>
      <xdr:rowOff>0</xdr:rowOff>
    </xdr:from>
    <xdr:ext cx="304800" cy="304800"/>
    <xdr:sp macro="" textlink="">
      <xdr:nvSpPr>
        <xdr:cNvPr id="2298" name="AutoShape 1">
          <a:extLst>
            <a:ext uri="{FF2B5EF4-FFF2-40B4-BE49-F238E27FC236}">
              <a16:creationId xmlns:a16="http://schemas.microsoft.com/office/drawing/2014/main" id="{454F87B0-6A22-4919-866A-51DDD9D59651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69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471</xdr:row>
      <xdr:rowOff>0</xdr:rowOff>
    </xdr:from>
    <xdr:ext cx="304800" cy="304800"/>
    <xdr:sp macro="" textlink="">
      <xdr:nvSpPr>
        <xdr:cNvPr id="2299" name="AutoShape 1">
          <a:extLst>
            <a:ext uri="{FF2B5EF4-FFF2-40B4-BE49-F238E27FC236}">
              <a16:creationId xmlns:a16="http://schemas.microsoft.com/office/drawing/2014/main" id="{E10E3D9A-2CAC-4F94-B0AE-36E28FE2909C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69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471</xdr:row>
      <xdr:rowOff>0</xdr:rowOff>
    </xdr:from>
    <xdr:ext cx="304800" cy="304800"/>
    <xdr:sp macro="" textlink="">
      <xdr:nvSpPr>
        <xdr:cNvPr id="2300" name="AutoShape 1">
          <a:extLst>
            <a:ext uri="{FF2B5EF4-FFF2-40B4-BE49-F238E27FC236}">
              <a16:creationId xmlns:a16="http://schemas.microsoft.com/office/drawing/2014/main" id="{E62FEE40-1F02-4D85-BA4D-086E1B9FD66B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69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471</xdr:row>
      <xdr:rowOff>0</xdr:rowOff>
    </xdr:from>
    <xdr:ext cx="304800" cy="304800"/>
    <xdr:sp macro="" textlink="">
      <xdr:nvSpPr>
        <xdr:cNvPr id="2301" name="AutoShape 1">
          <a:extLst>
            <a:ext uri="{FF2B5EF4-FFF2-40B4-BE49-F238E27FC236}">
              <a16:creationId xmlns:a16="http://schemas.microsoft.com/office/drawing/2014/main" id="{7E4692E4-EFA5-42CF-83D2-999D31C9A461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69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471</xdr:row>
      <xdr:rowOff>0</xdr:rowOff>
    </xdr:from>
    <xdr:ext cx="304800" cy="304800"/>
    <xdr:sp macro="" textlink="">
      <xdr:nvSpPr>
        <xdr:cNvPr id="2302" name="AutoShape 1">
          <a:extLst>
            <a:ext uri="{FF2B5EF4-FFF2-40B4-BE49-F238E27FC236}">
              <a16:creationId xmlns:a16="http://schemas.microsoft.com/office/drawing/2014/main" id="{CFD7E034-D3CB-4F2E-BD2D-6776CE9F3167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69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471</xdr:row>
      <xdr:rowOff>0</xdr:rowOff>
    </xdr:from>
    <xdr:ext cx="304800" cy="304800"/>
    <xdr:sp macro="" textlink="">
      <xdr:nvSpPr>
        <xdr:cNvPr id="2303" name="AutoShape 1">
          <a:extLst>
            <a:ext uri="{FF2B5EF4-FFF2-40B4-BE49-F238E27FC236}">
              <a16:creationId xmlns:a16="http://schemas.microsoft.com/office/drawing/2014/main" id="{3DC0659D-4F63-44A7-B256-C35E33DBC56E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69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471</xdr:row>
      <xdr:rowOff>0</xdr:rowOff>
    </xdr:from>
    <xdr:ext cx="304800" cy="304800"/>
    <xdr:sp macro="" textlink="">
      <xdr:nvSpPr>
        <xdr:cNvPr id="2304" name="AutoShape 1">
          <a:extLst>
            <a:ext uri="{FF2B5EF4-FFF2-40B4-BE49-F238E27FC236}">
              <a16:creationId xmlns:a16="http://schemas.microsoft.com/office/drawing/2014/main" id="{E20082C9-F602-40CE-99E7-AF68B16F254A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69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471</xdr:row>
      <xdr:rowOff>0</xdr:rowOff>
    </xdr:from>
    <xdr:ext cx="304800" cy="304800"/>
    <xdr:sp macro="" textlink="">
      <xdr:nvSpPr>
        <xdr:cNvPr id="2305" name="AutoShape 1">
          <a:extLst>
            <a:ext uri="{FF2B5EF4-FFF2-40B4-BE49-F238E27FC236}">
              <a16:creationId xmlns:a16="http://schemas.microsoft.com/office/drawing/2014/main" id="{6D141A9B-889A-4A14-8DC5-147598ABF5D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69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471</xdr:row>
      <xdr:rowOff>0</xdr:rowOff>
    </xdr:from>
    <xdr:ext cx="304800" cy="304800"/>
    <xdr:sp macro="" textlink="">
      <xdr:nvSpPr>
        <xdr:cNvPr id="2306" name="AutoShape 1">
          <a:extLst>
            <a:ext uri="{FF2B5EF4-FFF2-40B4-BE49-F238E27FC236}">
              <a16:creationId xmlns:a16="http://schemas.microsoft.com/office/drawing/2014/main" id="{A2A2D09A-8148-4523-B57D-7E07EE0F07C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69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471</xdr:row>
      <xdr:rowOff>0</xdr:rowOff>
    </xdr:from>
    <xdr:ext cx="304800" cy="304800"/>
    <xdr:sp macro="" textlink="">
      <xdr:nvSpPr>
        <xdr:cNvPr id="2307" name="AutoShape 1">
          <a:extLst>
            <a:ext uri="{FF2B5EF4-FFF2-40B4-BE49-F238E27FC236}">
              <a16:creationId xmlns:a16="http://schemas.microsoft.com/office/drawing/2014/main" id="{28933A08-EAB0-4E59-B057-22B29751666D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69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471</xdr:row>
      <xdr:rowOff>0</xdr:rowOff>
    </xdr:from>
    <xdr:ext cx="304800" cy="304800"/>
    <xdr:sp macro="" textlink="">
      <xdr:nvSpPr>
        <xdr:cNvPr id="2308" name="AutoShape 1">
          <a:extLst>
            <a:ext uri="{FF2B5EF4-FFF2-40B4-BE49-F238E27FC236}">
              <a16:creationId xmlns:a16="http://schemas.microsoft.com/office/drawing/2014/main" id="{1F1193E7-BBC1-470F-8EF7-8CFA04545579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69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471</xdr:row>
      <xdr:rowOff>0</xdr:rowOff>
    </xdr:from>
    <xdr:ext cx="304800" cy="304800"/>
    <xdr:sp macro="" textlink="">
      <xdr:nvSpPr>
        <xdr:cNvPr id="2309" name="AutoShape 1">
          <a:extLst>
            <a:ext uri="{FF2B5EF4-FFF2-40B4-BE49-F238E27FC236}">
              <a16:creationId xmlns:a16="http://schemas.microsoft.com/office/drawing/2014/main" id="{2D7A34A7-B520-49A4-93DE-3FB55D948A31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69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471</xdr:row>
      <xdr:rowOff>0</xdr:rowOff>
    </xdr:from>
    <xdr:ext cx="304800" cy="304800"/>
    <xdr:sp macro="" textlink="">
      <xdr:nvSpPr>
        <xdr:cNvPr id="2310" name="AutoShape 1">
          <a:extLst>
            <a:ext uri="{FF2B5EF4-FFF2-40B4-BE49-F238E27FC236}">
              <a16:creationId xmlns:a16="http://schemas.microsoft.com/office/drawing/2014/main" id="{891919AA-66C5-4F2A-83A5-16BC9A26B49F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69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471</xdr:row>
      <xdr:rowOff>0</xdr:rowOff>
    </xdr:from>
    <xdr:ext cx="304800" cy="304800"/>
    <xdr:sp macro="" textlink="">
      <xdr:nvSpPr>
        <xdr:cNvPr id="2311" name="AutoShape 1">
          <a:extLst>
            <a:ext uri="{FF2B5EF4-FFF2-40B4-BE49-F238E27FC236}">
              <a16:creationId xmlns:a16="http://schemas.microsoft.com/office/drawing/2014/main" id="{1DB4848B-3F41-40B7-8909-867871C4BD52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69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471</xdr:row>
      <xdr:rowOff>0</xdr:rowOff>
    </xdr:from>
    <xdr:ext cx="304800" cy="304800"/>
    <xdr:sp macro="" textlink="">
      <xdr:nvSpPr>
        <xdr:cNvPr id="2312" name="AutoShape 1">
          <a:extLst>
            <a:ext uri="{FF2B5EF4-FFF2-40B4-BE49-F238E27FC236}">
              <a16:creationId xmlns:a16="http://schemas.microsoft.com/office/drawing/2014/main" id="{2063012A-408A-4C55-8E39-139C67209675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69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471</xdr:row>
      <xdr:rowOff>0</xdr:rowOff>
    </xdr:from>
    <xdr:ext cx="304800" cy="304800"/>
    <xdr:sp macro="" textlink="">
      <xdr:nvSpPr>
        <xdr:cNvPr id="2313" name="AutoShape 1">
          <a:extLst>
            <a:ext uri="{FF2B5EF4-FFF2-40B4-BE49-F238E27FC236}">
              <a16:creationId xmlns:a16="http://schemas.microsoft.com/office/drawing/2014/main" id="{5395D269-FC35-4D79-9941-44340B084E9E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69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471</xdr:row>
      <xdr:rowOff>0</xdr:rowOff>
    </xdr:from>
    <xdr:ext cx="304800" cy="304800"/>
    <xdr:sp macro="" textlink="">
      <xdr:nvSpPr>
        <xdr:cNvPr id="2314" name="AutoShape 1">
          <a:extLst>
            <a:ext uri="{FF2B5EF4-FFF2-40B4-BE49-F238E27FC236}">
              <a16:creationId xmlns:a16="http://schemas.microsoft.com/office/drawing/2014/main" id="{8CB6B086-A6B1-4B17-8E22-B755D10C38FF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69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471</xdr:row>
      <xdr:rowOff>0</xdr:rowOff>
    </xdr:from>
    <xdr:ext cx="304800" cy="304800"/>
    <xdr:sp macro="" textlink="">
      <xdr:nvSpPr>
        <xdr:cNvPr id="2315" name="AutoShape 1">
          <a:extLst>
            <a:ext uri="{FF2B5EF4-FFF2-40B4-BE49-F238E27FC236}">
              <a16:creationId xmlns:a16="http://schemas.microsoft.com/office/drawing/2014/main" id="{D0810946-CD00-4F82-92DD-29BAB7A9B62E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69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471</xdr:row>
      <xdr:rowOff>0</xdr:rowOff>
    </xdr:from>
    <xdr:ext cx="304800" cy="304800"/>
    <xdr:sp macro="" textlink="">
      <xdr:nvSpPr>
        <xdr:cNvPr id="2316" name="AutoShape 1">
          <a:extLst>
            <a:ext uri="{FF2B5EF4-FFF2-40B4-BE49-F238E27FC236}">
              <a16:creationId xmlns:a16="http://schemas.microsoft.com/office/drawing/2014/main" id="{8228B755-5428-4611-A402-75A3CF6606DB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69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471</xdr:row>
      <xdr:rowOff>0</xdr:rowOff>
    </xdr:from>
    <xdr:ext cx="304800" cy="304800"/>
    <xdr:sp macro="" textlink="">
      <xdr:nvSpPr>
        <xdr:cNvPr id="2317" name="AutoShape 1">
          <a:extLst>
            <a:ext uri="{FF2B5EF4-FFF2-40B4-BE49-F238E27FC236}">
              <a16:creationId xmlns:a16="http://schemas.microsoft.com/office/drawing/2014/main" id="{208BDA86-CCD0-4C2B-9A06-CEB3AAE03917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69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471</xdr:row>
      <xdr:rowOff>0</xdr:rowOff>
    </xdr:from>
    <xdr:ext cx="304800" cy="304800"/>
    <xdr:sp macro="" textlink="">
      <xdr:nvSpPr>
        <xdr:cNvPr id="2318" name="AutoShape 1">
          <a:extLst>
            <a:ext uri="{FF2B5EF4-FFF2-40B4-BE49-F238E27FC236}">
              <a16:creationId xmlns:a16="http://schemas.microsoft.com/office/drawing/2014/main" id="{895CDC44-8A96-49FD-B57E-F666F4EB395C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69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471</xdr:row>
      <xdr:rowOff>0</xdr:rowOff>
    </xdr:from>
    <xdr:ext cx="304800" cy="304800"/>
    <xdr:sp macro="" textlink="">
      <xdr:nvSpPr>
        <xdr:cNvPr id="2319" name="AutoShape 1">
          <a:extLst>
            <a:ext uri="{FF2B5EF4-FFF2-40B4-BE49-F238E27FC236}">
              <a16:creationId xmlns:a16="http://schemas.microsoft.com/office/drawing/2014/main" id="{7D85C69F-A729-4C18-AE12-A589C34A13F9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69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471</xdr:row>
      <xdr:rowOff>0</xdr:rowOff>
    </xdr:from>
    <xdr:ext cx="304800" cy="304800"/>
    <xdr:sp macro="" textlink="">
      <xdr:nvSpPr>
        <xdr:cNvPr id="2320" name="AutoShape 1">
          <a:extLst>
            <a:ext uri="{FF2B5EF4-FFF2-40B4-BE49-F238E27FC236}">
              <a16:creationId xmlns:a16="http://schemas.microsoft.com/office/drawing/2014/main" id="{EB20212E-A0CA-4A02-8812-C16E5B6B3BD2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69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471</xdr:row>
      <xdr:rowOff>0</xdr:rowOff>
    </xdr:from>
    <xdr:ext cx="304800" cy="304800"/>
    <xdr:sp macro="" textlink="">
      <xdr:nvSpPr>
        <xdr:cNvPr id="2321" name="AutoShape 1">
          <a:extLst>
            <a:ext uri="{FF2B5EF4-FFF2-40B4-BE49-F238E27FC236}">
              <a16:creationId xmlns:a16="http://schemas.microsoft.com/office/drawing/2014/main" id="{672DF60C-147A-4DD5-92E1-E9424A1BDDD4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69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471</xdr:row>
      <xdr:rowOff>0</xdr:rowOff>
    </xdr:from>
    <xdr:ext cx="304800" cy="304800"/>
    <xdr:sp macro="" textlink="">
      <xdr:nvSpPr>
        <xdr:cNvPr id="2322" name="AutoShape 1">
          <a:extLst>
            <a:ext uri="{FF2B5EF4-FFF2-40B4-BE49-F238E27FC236}">
              <a16:creationId xmlns:a16="http://schemas.microsoft.com/office/drawing/2014/main" id="{D28A05D7-CAE1-4A94-ABFE-441F10657832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69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471</xdr:row>
      <xdr:rowOff>0</xdr:rowOff>
    </xdr:from>
    <xdr:ext cx="304800" cy="304800"/>
    <xdr:sp macro="" textlink="">
      <xdr:nvSpPr>
        <xdr:cNvPr id="2323" name="AutoShape 1">
          <a:extLst>
            <a:ext uri="{FF2B5EF4-FFF2-40B4-BE49-F238E27FC236}">
              <a16:creationId xmlns:a16="http://schemas.microsoft.com/office/drawing/2014/main" id="{74AB84C8-320F-443C-B598-7CAA0BFE5E5F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69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471</xdr:row>
      <xdr:rowOff>0</xdr:rowOff>
    </xdr:from>
    <xdr:ext cx="304800" cy="304800"/>
    <xdr:sp macro="" textlink="">
      <xdr:nvSpPr>
        <xdr:cNvPr id="2324" name="AutoShape 1">
          <a:extLst>
            <a:ext uri="{FF2B5EF4-FFF2-40B4-BE49-F238E27FC236}">
              <a16:creationId xmlns:a16="http://schemas.microsoft.com/office/drawing/2014/main" id="{6842E442-58DF-4880-968A-E90C01EF97F5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69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471</xdr:row>
      <xdr:rowOff>0</xdr:rowOff>
    </xdr:from>
    <xdr:ext cx="304800" cy="304800"/>
    <xdr:sp macro="" textlink="">
      <xdr:nvSpPr>
        <xdr:cNvPr id="2325" name="AutoShape 1">
          <a:extLst>
            <a:ext uri="{FF2B5EF4-FFF2-40B4-BE49-F238E27FC236}">
              <a16:creationId xmlns:a16="http://schemas.microsoft.com/office/drawing/2014/main" id="{FC206F12-AC63-4AE5-A691-BFE6EFA5B7B5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69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471</xdr:row>
      <xdr:rowOff>0</xdr:rowOff>
    </xdr:from>
    <xdr:ext cx="304800" cy="304800"/>
    <xdr:sp macro="" textlink="">
      <xdr:nvSpPr>
        <xdr:cNvPr id="2326" name="AutoShape 1">
          <a:extLst>
            <a:ext uri="{FF2B5EF4-FFF2-40B4-BE49-F238E27FC236}">
              <a16:creationId xmlns:a16="http://schemas.microsoft.com/office/drawing/2014/main" id="{AFF3961D-D9D0-4C52-AE3A-DF9A0307D2C1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69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471</xdr:row>
      <xdr:rowOff>0</xdr:rowOff>
    </xdr:from>
    <xdr:ext cx="304800" cy="304800"/>
    <xdr:sp macro="" textlink="">
      <xdr:nvSpPr>
        <xdr:cNvPr id="2327" name="AutoShape 1">
          <a:extLst>
            <a:ext uri="{FF2B5EF4-FFF2-40B4-BE49-F238E27FC236}">
              <a16:creationId xmlns:a16="http://schemas.microsoft.com/office/drawing/2014/main" id="{003A7073-26B9-4C9E-ACE6-BDC9164549D1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69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471</xdr:row>
      <xdr:rowOff>0</xdr:rowOff>
    </xdr:from>
    <xdr:ext cx="304800" cy="304800"/>
    <xdr:sp macro="" textlink="">
      <xdr:nvSpPr>
        <xdr:cNvPr id="2328" name="AutoShape 1">
          <a:extLst>
            <a:ext uri="{FF2B5EF4-FFF2-40B4-BE49-F238E27FC236}">
              <a16:creationId xmlns:a16="http://schemas.microsoft.com/office/drawing/2014/main" id="{C7A168A1-EFDB-4307-A881-B60E4C90566F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69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471</xdr:row>
      <xdr:rowOff>0</xdr:rowOff>
    </xdr:from>
    <xdr:ext cx="304800" cy="304800"/>
    <xdr:sp macro="" textlink="">
      <xdr:nvSpPr>
        <xdr:cNvPr id="2329" name="AutoShape 1">
          <a:extLst>
            <a:ext uri="{FF2B5EF4-FFF2-40B4-BE49-F238E27FC236}">
              <a16:creationId xmlns:a16="http://schemas.microsoft.com/office/drawing/2014/main" id="{B1B17012-7397-4E9F-96D6-583990AF52A6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69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471</xdr:row>
      <xdr:rowOff>0</xdr:rowOff>
    </xdr:from>
    <xdr:ext cx="304800" cy="304800"/>
    <xdr:sp macro="" textlink="">
      <xdr:nvSpPr>
        <xdr:cNvPr id="2330" name="AutoShape 1">
          <a:extLst>
            <a:ext uri="{FF2B5EF4-FFF2-40B4-BE49-F238E27FC236}">
              <a16:creationId xmlns:a16="http://schemas.microsoft.com/office/drawing/2014/main" id="{7FB9419F-E6FB-4D63-A0BC-9C7089A7A7B8}"/>
            </a:ext>
            <a:ext uri="{147F2762-F138-4A5C-976F-8EAC2B608ADB}">
              <a16:predDERef xmlns:a16="http://schemas.microsoft.com/office/drawing/2014/main" pred="{A9C9C4DB-4B97-447C-9099-E87BCB3C537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69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471</xdr:row>
      <xdr:rowOff>0</xdr:rowOff>
    </xdr:from>
    <xdr:ext cx="304800" cy="304800"/>
    <xdr:sp macro="" textlink="">
      <xdr:nvSpPr>
        <xdr:cNvPr id="2331" name="AutoShape 1">
          <a:extLst>
            <a:ext uri="{FF2B5EF4-FFF2-40B4-BE49-F238E27FC236}">
              <a16:creationId xmlns:a16="http://schemas.microsoft.com/office/drawing/2014/main" id="{599CBC23-9F28-4E24-94B9-84E023DB94B1}"/>
            </a:ext>
            <a:ext uri="{147F2762-F138-4A5C-976F-8EAC2B608ADB}">
              <a16:predDERef xmlns:a16="http://schemas.microsoft.com/office/drawing/2014/main" pred="{CD89554D-BD76-42AD-819A-278AD445B86E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69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471</xdr:row>
      <xdr:rowOff>0</xdr:rowOff>
    </xdr:from>
    <xdr:ext cx="304800" cy="304800"/>
    <xdr:sp macro="" textlink="">
      <xdr:nvSpPr>
        <xdr:cNvPr id="2332" name="AutoShape 1">
          <a:extLst>
            <a:ext uri="{FF2B5EF4-FFF2-40B4-BE49-F238E27FC236}">
              <a16:creationId xmlns:a16="http://schemas.microsoft.com/office/drawing/2014/main" id="{1EF1285D-05D7-4B76-AD05-B5D6F20AADCB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69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471</xdr:row>
      <xdr:rowOff>0</xdr:rowOff>
    </xdr:from>
    <xdr:ext cx="304800" cy="304800"/>
    <xdr:sp macro="" textlink="">
      <xdr:nvSpPr>
        <xdr:cNvPr id="2333" name="AutoShape 1">
          <a:extLst>
            <a:ext uri="{FF2B5EF4-FFF2-40B4-BE49-F238E27FC236}">
              <a16:creationId xmlns:a16="http://schemas.microsoft.com/office/drawing/2014/main" id="{F3AFD247-AC5D-46A5-8245-A3691D3C8AF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69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471</xdr:row>
      <xdr:rowOff>0</xdr:rowOff>
    </xdr:from>
    <xdr:ext cx="304800" cy="304800"/>
    <xdr:sp macro="" textlink="">
      <xdr:nvSpPr>
        <xdr:cNvPr id="2334" name="AutoShape 1">
          <a:extLst>
            <a:ext uri="{FF2B5EF4-FFF2-40B4-BE49-F238E27FC236}">
              <a16:creationId xmlns:a16="http://schemas.microsoft.com/office/drawing/2014/main" id="{898E7E0B-9743-4A2F-9135-AE2744C2264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69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471</xdr:row>
      <xdr:rowOff>0</xdr:rowOff>
    </xdr:from>
    <xdr:ext cx="304800" cy="304800"/>
    <xdr:sp macro="" textlink="">
      <xdr:nvSpPr>
        <xdr:cNvPr id="2335" name="AutoShape 1">
          <a:extLst>
            <a:ext uri="{FF2B5EF4-FFF2-40B4-BE49-F238E27FC236}">
              <a16:creationId xmlns:a16="http://schemas.microsoft.com/office/drawing/2014/main" id="{D438CD52-1B87-44D3-9B69-E2C7C0A72DAC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69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471</xdr:row>
      <xdr:rowOff>0</xdr:rowOff>
    </xdr:from>
    <xdr:ext cx="304800" cy="304800"/>
    <xdr:sp macro="" textlink="">
      <xdr:nvSpPr>
        <xdr:cNvPr id="2336" name="AutoShape 1">
          <a:extLst>
            <a:ext uri="{FF2B5EF4-FFF2-40B4-BE49-F238E27FC236}">
              <a16:creationId xmlns:a16="http://schemas.microsoft.com/office/drawing/2014/main" id="{B2A69248-3957-46F1-AF23-47E44C3A062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69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471</xdr:row>
      <xdr:rowOff>0</xdr:rowOff>
    </xdr:from>
    <xdr:ext cx="304800" cy="304800"/>
    <xdr:sp macro="" textlink="">
      <xdr:nvSpPr>
        <xdr:cNvPr id="2337" name="AutoShape 1">
          <a:extLst>
            <a:ext uri="{FF2B5EF4-FFF2-40B4-BE49-F238E27FC236}">
              <a16:creationId xmlns:a16="http://schemas.microsoft.com/office/drawing/2014/main" id="{7C5327CB-71AF-4D33-B398-A4CA628CAC19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69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471</xdr:row>
      <xdr:rowOff>0</xdr:rowOff>
    </xdr:from>
    <xdr:ext cx="304800" cy="304800"/>
    <xdr:sp macro="" textlink="">
      <xdr:nvSpPr>
        <xdr:cNvPr id="2338" name="AutoShape 1">
          <a:extLst>
            <a:ext uri="{FF2B5EF4-FFF2-40B4-BE49-F238E27FC236}">
              <a16:creationId xmlns:a16="http://schemas.microsoft.com/office/drawing/2014/main" id="{C30A1A41-5E71-4378-886D-41FE4960F89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69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471</xdr:row>
      <xdr:rowOff>0</xdr:rowOff>
    </xdr:from>
    <xdr:ext cx="304800" cy="304800"/>
    <xdr:sp macro="" textlink="">
      <xdr:nvSpPr>
        <xdr:cNvPr id="2339" name="AutoShape 1">
          <a:extLst>
            <a:ext uri="{FF2B5EF4-FFF2-40B4-BE49-F238E27FC236}">
              <a16:creationId xmlns:a16="http://schemas.microsoft.com/office/drawing/2014/main" id="{75632E51-24CC-4B9B-8B0E-EB36D525E1C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69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471</xdr:row>
      <xdr:rowOff>0</xdr:rowOff>
    </xdr:from>
    <xdr:ext cx="304800" cy="304800"/>
    <xdr:sp macro="" textlink="">
      <xdr:nvSpPr>
        <xdr:cNvPr id="2340" name="AutoShape 1">
          <a:extLst>
            <a:ext uri="{FF2B5EF4-FFF2-40B4-BE49-F238E27FC236}">
              <a16:creationId xmlns:a16="http://schemas.microsoft.com/office/drawing/2014/main" id="{C34763FF-1EC4-4B78-BAC0-AB4881A4B281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69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471</xdr:row>
      <xdr:rowOff>0</xdr:rowOff>
    </xdr:from>
    <xdr:ext cx="304800" cy="304800"/>
    <xdr:sp macro="" textlink="">
      <xdr:nvSpPr>
        <xdr:cNvPr id="2341" name="AutoShape 1">
          <a:extLst>
            <a:ext uri="{FF2B5EF4-FFF2-40B4-BE49-F238E27FC236}">
              <a16:creationId xmlns:a16="http://schemas.microsoft.com/office/drawing/2014/main" id="{5966C0D0-ADEB-4CAE-8E83-6175944CA8EE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69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471</xdr:row>
      <xdr:rowOff>0</xdr:rowOff>
    </xdr:from>
    <xdr:ext cx="304800" cy="304800"/>
    <xdr:sp macro="" textlink="">
      <xdr:nvSpPr>
        <xdr:cNvPr id="2342" name="AutoShape 1">
          <a:extLst>
            <a:ext uri="{FF2B5EF4-FFF2-40B4-BE49-F238E27FC236}">
              <a16:creationId xmlns:a16="http://schemas.microsoft.com/office/drawing/2014/main" id="{4068BC74-B5CE-4B31-A025-B5F57C7C0DA7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69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471</xdr:row>
      <xdr:rowOff>0</xdr:rowOff>
    </xdr:from>
    <xdr:ext cx="304800" cy="304800"/>
    <xdr:sp macro="" textlink="">
      <xdr:nvSpPr>
        <xdr:cNvPr id="2343" name="AutoShape 1">
          <a:extLst>
            <a:ext uri="{FF2B5EF4-FFF2-40B4-BE49-F238E27FC236}">
              <a16:creationId xmlns:a16="http://schemas.microsoft.com/office/drawing/2014/main" id="{FCEAEDD2-7BF9-4AEF-B85D-EAFE51A1980B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69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471</xdr:row>
      <xdr:rowOff>0</xdr:rowOff>
    </xdr:from>
    <xdr:ext cx="304800" cy="304800"/>
    <xdr:sp macro="" textlink="">
      <xdr:nvSpPr>
        <xdr:cNvPr id="2344" name="AutoShape 1">
          <a:extLst>
            <a:ext uri="{FF2B5EF4-FFF2-40B4-BE49-F238E27FC236}">
              <a16:creationId xmlns:a16="http://schemas.microsoft.com/office/drawing/2014/main" id="{56DED500-20B7-4C43-9F30-3E1C271C6771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69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471</xdr:row>
      <xdr:rowOff>0</xdr:rowOff>
    </xdr:from>
    <xdr:ext cx="304800" cy="304800"/>
    <xdr:sp macro="" textlink="">
      <xdr:nvSpPr>
        <xdr:cNvPr id="2345" name="AutoShape 1">
          <a:extLst>
            <a:ext uri="{FF2B5EF4-FFF2-40B4-BE49-F238E27FC236}">
              <a16:creationId xmlns:a16="http://schemas.microsoft.com/office/drawing/2014/main" id="{A4FAE3F0-A8E9-430C-99AB-0D71701716B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69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471</xdr:row>
      <xdr:rowOff>0</xdr:rowOff>
    </xdr:from>
    <xdr:ext cx="304800" cy="304800"/>
    <xdr:sp macro="" textlink="">
      <xdr:nvSpPr>
        <xdr:cNvPr id="2346" name="AutoShape 1">
          <a:extLst>
            <a:ext uri="{FF2B5EF4-FFF2-40B4-BE49-F238E27FC236}">
              <a16:creationId xmlns:a16="http://schemas.microsoft.com/office/drawing/2014/main" id="{4694E933-3BA0-4213-9735-FCD1AEF9232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69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471</xdr:row>
      <xdr:rowOff>0</xdr:rowOff>
    </xdr:from>
    <xdr:ext cx="304800" cy="304800"/>
    <xdr:sp macro="" textlink="">
      <xdr:nvSpPr>
        <xdr:cNvPr id="2347" name="AutoShape 1">
          <a:extLst>
            <a:ext uri="{FF2B5EF4-FFF2-40B4-BE49-F238E27FC236}">
              <a16:creationId xmlns:a16="http://schemas.microsoft.com/office/drawing/2014/main" id="{2189DCEA-DDB7-4B9A-A193-057358C8ABCF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69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471</xdr:row>
      <xdr:rowOff>0</xdr:rowOff>
    </xdr:from>
    <xdr:ext cx="304800" cy="304800"/>
    <xdr:sp macro="" textlink="">
      <xdr:nvSpPr>
        <xdr:cNvPr id="2348" name="AutoShape 1">
          <a:extLst>
            <a:ext uri="{FF2B5EF4-FFF2-40B4-BE49-F238E27FC236}">
              <a16:creationId xmlns:a16="http://schemas.microsoft.com/office/drawing/2014/main" id="{07F2CD5D-FB4C-4217-87EB-A006950E5416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69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471</xdr:row>
      <xdr:rowOff>0</xdr:rowOff>
    </xdr:from>
    <xdr:ext cx="304800" cy="304800"/>
    <xdr:sp macro="" textlink="">
      <xdr:nvSpPr>
        <xdr:cNvPr id="2349" name="AutoShape 1">
          <a:extLst>
            <a:ext uri="{FF2B5EF4-FFF2-40B4-BE49-F238E27FC236}">
              <a16:creationId xmlns:a16="http://schemas.microsoft.com/office/drawing/2014/main" id="{11E5051C-D4CE-452A-AA6E-7ED7BAAEBBAB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69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471</xdr:row>
      <xdr:rowOff>0</xdr:rowOff>
    </xdr:from>
    <xdr:ext cx="304800" cy="304800"/>
    <xdr:sp macro="" textlink="">
      <xdr:nvSpPr>
        <xdr:cNvPr id="2350" name="AutoShape 1">
          <a:extLst>
            <a:ext uri="{FF2B5EF4-FFF2-40B4-BE49-F238E27FC236}">
              <a16:creationId xmlns:a16="http://schemas.microsoft.com/office/drawing/2014/main" id="{F8AEA982-38E0-4514-A9F0-56CECA138622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69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471</xdr:row>
      <xdr:rowOff>0</xdr:rowOff>
    </xdr:from>
    <xdr:ext cx="304800" cy="304800"/>
    <xdr:sp macro="" textlink="">
      <xdr:nvSpPr>
        <xdr:cNvPr id="2351" name="AutoShape 1">
          <a:extLst>
            <a:ext uri="{FF2B5EF4-FFF2-40B4-BE49-F238E27FC236}">
              <a16:creationId xmlns:a16="http://schemas.microsoft.com/office/drawing/2014/main" id="{45E3D7BC-0193-4D69-A0E2-D348C1630448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69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471</xdr:row>
      <xdr:rowOff>0</xdr:rowOff>
    </xdr:from>
    <xdr:ext cx="304800" cy="304800"/>
    <xdr:sp macro="" textlink="">
      <xdr:nvSpPr>
        <xdr:cNvPr id="2352" name="AutoShape 1">
          <a:extLst>
            <a:ext uri="{FF2B5EF4-FFF2-40B4-BE49-F238E27FC236}">
              <a16:creationId xmlns:a16="http://schemas.microsoft.com/office/drawing/2014/main" id="{2C3AAE13-61D4-4685-AD7C-CD59137EBF80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69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471</xdr:row>
      <xdr:rowOff>0</xdr:rowOff>
    </xdr:from>
    <xdr:ext cx="304800" cy="304800"/>
    <xdr:sp macro="" textlink="">
      <xdr:nvSpPr>
        <xdr:cNvPr id="2353" name="AutoShape 1">
          <a:extLst>
            <a:ext uri="{FF2B5EF4-FFF2-40B4-BE49-F238E27FC236}">
              <a16:creationId xmlns:a16="http://schemas.microsoft.com/office/drawing/2014/main" id="{E5D4CBD9-1688-42F8-B4F3-B85E68BC5B6C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69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471</xdr:row>
      <xdr:rowOff>0</xdr:rowOff>
    </xdr:from>
    <xdr:ext cx="304800" cy="304800"/>
    <xdr:sp macro="" textlink="">
      <xdr:nvSpPr>
        <xdr:cNvPr id="2354" name="AutoShape 1">
          <a:extLst>
            <a:ext uri="{FF2B5EF4-FFF2-40B4-BE49-F238E27FC236}">
              <a16:creationId xmlns:a16="http://schemas.microsoft.com/office/drawing/2014/main" id="{9595FD81-217F-4568-9FC9-83C32B26C983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69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471</xdr:row>
      <xdr:rowOff>0</xdr:rowOff>
    </xdr:from>
    <xdr:ext cx="304800" cy="304800"/>
    <xdr:sp macro="" textlink="">
      <xdr:nvSpPr>
        <xdr:cNvPr id="2355" name="AutoShape 1">
          <a:extLst>
            <a:ext uri="{FF2B5EF4-FFF2-40B4-BE49-F238E27FC236}">
              <a16:creationId xmlns:a16="http://schemas.microsoft.com/office/drawing/2014/main" id="{FB56EC7B-95FF-43C3-8A0F-FCC160A774E6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69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471</xdr:row>
      <xdr:rowOff>0</xdr:rowOff>
    </xdr:from>
    <xdr:ext cx="304800" cy="304800"/>
    <xdr:sp macro="" textlink="">
      <xdr:nvSpPr>
        <xdr:cNvPr id="2356" name="AutoShape 1">
          <a:extLst>
            <a:ext uri="{FF2B5EF4-FFF2-40B4-BE49-F238E27FC236}">
              <a16:creationId xmlns:a16="http://schemas.microsoft.com/office/drawing/2014/main" id="{5EE1FB42-1B24-47E9-B431-2E3B83595B10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69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471</xdr:row>
      <xdr:rowOff>0</xdr:rowOff>
    </xdr:from>
    <xdr:ext cx="304800" cy="304800"/>
    <xdr:sp macro="" textlink="">
      <xdr:nvSpPr>
        <xdr:cNvPr id="2357" name="AutoShape 1">
          <a:extLst>
            <a:ext uri="{FF2B5EF4-FFF2-40B4-BE49-F238E27FC236}">
              <a16:creationId xmlns:a16="http://schemas.microsoft.com/office/drawing/2014/main" id="{05B39021-9F14-4250-9FA3-E9D6A63B825B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69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471</xdr:row>
      <xdr:rowOff>0</xdr:rowOff>
    </xdr:from>
    <xdr:ext cx="304800" cy="304800"/>
    <xdr:sp macro="" textlink="">
      <xdr:nvSpPr>
        <xdr:cNvPr id="2358" name="AutoShape 1">
          <a:extLst>
            <a:ext uri="{FF2B5EF4-FFF2-40B4-BE49-F238E27FC236}">
              <a16:creationId xmlns:a16="http://schemas.microsoft.com/office/drawing/2014/main" id="{77630297-4BA6-46C6-8CFE-0139917A081C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69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471</xdr:row>
      <xdr:rowOff>0</xdr:rowOff>
    </xdr:from>
    <xdr:ext cx="304800" cy="304800"/>
    <xdr:sp macro="" textlink="">
      <xdr:nvSpPr>
        <xdr:cNvPr id="2359" name="AutoShape 1">
          <a:extLst>
            <a:ext uri="{FF2B5EF4-FFF2-40B4-BE49-F238E27FC236}">
              <a16:creationId xmlns:a16="http://schemas.microsoft.com/office/drawing/2014/main" id="{2E2060F1-B624-4934-BEC5-7D694196278E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69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471</xdr:row>
      <xdr:rowOff>0</xdr:rowOff>
    </xdr:from>
    <xdr:ext cx="304800" cy="304800"/>
    <xdr:sp macro="" textlink="">
      <xdr:nvSpPr>
        <xdr:cNvPr id="2360" name="AutoShape 1">
          <a:extLst>
            <a:ext uri="{FF2B5EF4-FFF2-40B4-BE49-F238E27FC236}">
              <a16:creationId xmlns:a16="http://schemas.microsoft.com/office/drawing/2014/main" id="{67E55326-74F1-43AE-9FA7-F21C32DA08A1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69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471</xdr:row>
      <xdr:rowOff>0</xdr:rowOff>
    </xdr:from>
    <xdr:ext cx="304800" cy="304800"/>
    <xdr:sp macro="" textlink="">
      <xdr:nvSpPr>
        <xdr:cNvPr id="2361" name="AutoShape 1">
          <a:extLst>
            <a:ext uri="{FF2B5EF4-FFF2-40B4-BE49-F238E27FC236}">
              <a16:creationId xmlns:a16="http://schemas.microsoft.com/office/drawing/2014/main" id="{68315292-DA7C-4EC9-9A8A-58216785EB1F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69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471</xdr:row>
      <xdr:rowOff>0</xdr:rowOff>
    </xdr:from>
    <xdr:ext cx="304800" cy="304800"/>
    <xdr:sp macro="" textlink="">
      <xdr:nvSpPr>
        <xdr:cNvPr id="2362" name="AutoShape 1">
          <a:extLst>
            <a:ext uri="{FF2B5EF4-FFF2-40B4-BE49-F238E27FC236}">
              <a16:creationId xmlns:a16="http://schemas.microsoft.com/office/drawing/2014/main" id="{58641216-5000-46B9-B13D-63DD00820028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69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471</xdr:row>
      <xdr:rowOff>0</xdr:rowOff>
    </xdr:from>
    <xdr:ext cx="304800" cy="304800"/>
    <xdr:sp macro="" textlink="">
      <xdr:nvSpPr>
        <xdr:cNvPr id="2363" name="AutoShape 1">
          <a:extLst>
            <a:ext uri="{FF2B5EF4-FFF2-40B4-BE49-F238E27FC236}">
              <a16:creationId xmlns:a16="http://schemas.microsoft.com/office/drawing/2014/main" id="{9DD94A62-466B-422F-929B-ED26A234BBEE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69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471</xdr:row>
      <xdr:rowOff>0</xdr:rowOff>
    </xdr:from>
    <xdr:ext cx="304800" cy="304800"/>
    <xdr:sp macro="" textlink="">
      <xdr:nvSpPr>
        <xdr:cNvPr id="2364" name="AutoShape 1">
          <a:extLst>
            <a:ext uri="{FF2B5EF4-FFF2-40B4-BE49-F238E27FC236}">
              <a16:creationId xmlns:a16="http://schemas.microsoft.com/office/drawing/2014/main" id="{599AC46B-2E51-437F-AD05-C47F8D3BF13A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69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471</xdr:row>
      <xdr:rowOff>0</xdr:rowOff>
    </xdr:from>
    <xdr:ext cx="304800" cy="304800"/>
    <xdr:sp macro="" textlink="">
      <xdr:nvSpPr>
        <xdr:cNvPr id="2365" name="AutoShape 1">
          <a:extLst>
            <a:ext uri="{FF2B5EF4-FFF2-40B4-BE49-F238E27FC236}">
              <a16:creationId xmlns:a16="http://schemas.microsoft.com/office/drawing/2014/main" id="{66748641-44E7-4E0B-8C52-D02E74573C42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69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471</xdr:row>
      <xdr:rowOff>0</xdr:rowOff>
    </xdr:from>
    <xdr:ext cx="304800" cy="304800"/>
    <xdr:sp macro="" textlink="">
      <xdr:nvSpPr>
        <xdr:cNvPr id="2366" name="AutoShape 1">
          <a:extLst>
            <a:ext uri="{FF2B5EF4-FFF2-40B4-BE49-F238E27FC236}">
              <a16:creationId xmlns:a16="http://schemas.microsoft.com/office/drawing/2014/main" id="{176F1238-604B-4635-A00A-580890B8A73B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69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471</xdr:row>
      <xdr:rowOff>0</xdr:rowOff>
    </xdr:from>
    <xdr:ext cx="304800" cy="304800"/>
    <xdr:sp macro="" textlink="">
      <xdr:nvSpPr>
        <xdr:cNvPr id="2367" name="AutoShape 1">
          <a:extLst>
            <a:ext uri="{FF2B5EF4-FFF2-40B4-BE49-F238E27FC236}">
              <a16:creationId xmlns:a16="http://schemas.microsoft.com/office/drawing/2014/main" id="{5A2C3D46-1720-4123-8E1A-D7C10F656E7D}"/>
            </a:ext>
            <a:ext uri="{147F2762-F138-4A5C-976F-8EAC2B608ADB}">
              <a16:predDERef xmlns:a16="http://schemas.microsoft.com/office/drawing/2014/main" pred="{A9C9C4DB-4B97-447C-9099-E87BCB3C537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69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471</xdr:row>
      <xdr:rowOff>0</xdr:rowOff>
    </xdr:from>
    <xdr:ext cx="304800" cy="304800"/>
    <xdr:sp macro="" textlink="">
      <xdr:nvSpPr>
        <xdr:cNvPr id="2368" name="AutoShape 1">
          <a:extLst>
            <a:ext uri="{FF2B5EF4-FFF2-40B4-BE49-F238E27FC236}">
              <a16:creationId xmlns:a16="http://schemas.microsoft.com/office/drawing/2014/main" id="{78266739-3964-4AA2-866E-49AC1C79C167}"/>
            </a:ext>
            <a:ext uri="{147F2762-F138-4A5C-976F-8EAC2B608ADB}">
              <a16:predDERef xmlns:a16="http://schemas.microsoft.com/office/drawing/2014/main" pred="{CD89554D-BD76-42AD-819A-278AD445B86E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69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369" name="AutoShape 1">
          <a:extLst>
            <a:ext uri="{FF2B5EF4-FFF2-40B4-BE49-F238E27FC236}">
              <a16:creationId xmlns:a16="http://schemas.microsoft.com/office/drawing/2014/main" id="{805BB94F-215B-48A2-B70B-B19E4A525E8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370" name="AutoShape 1">
          <a:extLst>
            <a:ext uri="{FF2B5EF4-FFF2-40B4-BE49-F238E27FC236}">
              <a16:creationId xmlns:a16="http://schemas.microsoft.com/office/drawing/2014/main" id="{7F298D1E-8F07-460D-97D9-5B48AAD9F5FF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371" name="AutoShape 1">
          <a:extLst>
            <a:ext uri="{FF2B5EF4-FFF2-40B4-BE49-F238E27FC236}">
              <a16:creationId xmlns:a16="http://schemas.microsoft.com/office/drawing/2014/main" id="{6D61E75F-7956-4BA6-9497-23F399CE364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372" name="AutoShape 1">
          <a:extLst>
            <a:ext uri="{FF2B5EF4-FFF2-40B4-BE49-F238E27FC236}">
              <a16:creationId xmlns:a16="http://schemas.microsoft.com/office/drawing/2014/main" id="{A5889A79-B0CF-4781-9CC5-D2A03C1EE1FF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373" name="AutoShape 1">
          <a:extLst>
            <a:ext uri="{FF2B5EF4-FFF2-40B4-BE49-F238E27FC236}">
              <a16:creationId xmlns:a16="http://schemas.microsoft.com/office/drawing/2014/main" id="{EB426F54-1CA5-4095-9645-7DB168CBFDC6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374" name="AutoShape 1">
          <a:extLst>
            <a:ext uri="{FF2B5EF4-FFF2-40B4-BE49-F238E27FC236}">
              <a16:creationId xmlns:a16="http://schemas.microsoft.com/office/drawing/2014/main" id="{081DA435-3735-46F2-89B8-AF248BA532F1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375" name="AutoShape 1">
          <a:extLst>
            <a:ext uri="{FF2B5EF4-FFF2-40B4-BE49-F238E27FC236}">
              <a16:creationId xmlns:a16="http://schemas.microsoft.com/office/drawing/2014/main" id="{4A358535-9C0F-4317-A42B-969674C1F7C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376" name="AutoShape 1">
          <a:extLst>
            <a:ext uri="{FF2B5EF4-FFF2-40B4-BE49-F238E27FC236}">
              <a16:creationId xmlns:a16="http://schemas.microsoft.com/office/drawing/2014/main" id="{C12D5942-53E1-4A73-A9BB-F7A91BD337C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377" name="AutoShape 1">
          <a:extLst>
            <a:ext uri="{FF2B5EF4-FFF2-40B4-BE49-F238E27FC236}">
              <a16:creationId xmlns:a16="http://schemas.microsoft.com/office/drawing/2014/main" id="{9F9D1010-B8AD-49D0-B62D-330517153B9B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378" name="AutoShape 1">
          <a:extLst>
            <a:ext uri="{FF2B5EF4-FFF2-40B4-BE49-F238E27FC236}">
              <a16:creationId xmlns:a16="http://schemas.microsoft.com/office/drawing/2014/main" id="{E05E5449-2816-40A1-BEA5-BB867808F11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379" name="AutoShape 1">
          <a:extLst>
            <a:ext uri="{FF2B5EF4-FFF2-40B4-BE49-F238E27FC236}">
              <a16:creationId xmlns:a16="http://schemas.microsoft.com/office/drawing/2014/main" id="{53B5438D-2519-4769-960F-6D3E2A20E35D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380" name="AutoShape 1">
          <a:extLst>
            <a:ext uri="{FF2B5EF4-FFF2-40B4-BE49-F238E27FC236}">
              <a16:creationId xmlns:a16="http://schemas.microsoft.com/office/drawing/2014/main" id="{5AA34538-881F-4FEE-896C-E2740BA04C91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381" name="AutoShape 1">
          <a:extLst>
            <a:ext uri="{FF2B5EF4-FFF2-40B4-BE49-F238E27FC236}">
              <a16:creationId xmlns:a16="http://schemas.microsoft.com/office/drawing/2014/main" id="{9ECE0B61-D67D-48EC-BDC9-294261E7475E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382" name="AutoShape 1">
          <a:extLst>
            <a:ext uri="{FF2B5EF4-FFF2-40B4-BE49-F238E27FC236}">
              <a16:creationId xmlns:a16="http://schemas.microsoft.com/office/drawing/2014/main" id="{A4A9BDB4-D330-4A55-8005-3907DAD5331D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383" name="AutoShape 1">
          <a:extLst>
            <a:ext uri="{FF2B5EF4-FFF2-40B4-BE49-F238E27FC236}">
              <a16:creationId xmlns:a16="http://schemas.microsoft.com/office/drawing/2014/main" id="{CED333EE-3170-4377-AD3D-03F291FB59CB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384" name="AutoShape 1">
          <a:extLst>
            <a:ext uri="{FF2B5EF4-FFF2-40B4-BE49-F238E27FC236}">
              <a16:creationId xmlns:a16="http://schemas.microsoft.com/office/drawing/2014/main" id="{92E0057D-C44E-42D9-BC3D-D6770555849A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385" name="AutoShape 1">
          <a:extLst>
            <a:ext uri="{FF2B5EF4-FFF2-40B4-BE49-F238E27FC236}">
              <a16:creationId xmlns:a16="http://schemas.microsoft.com/office/drawing/2014/main" id="{25FCC84E-655D-42C1-B213-4EAD9495AA0C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386" name="AutoShape 1">
          <a:extLst>
            <a:ext uri="{FF2B5EF4-FFF2-40B4-BE49-F238E27FC236}">
              <a16:creationId xmlns:a16="http://schemas.microsoft.com/office/drawing/2014/main" id="{ECC16283-3BEB-4236-B183-F69DE6EF5BCF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387" name="AutoShape 1">
          <a:extLst>
            <a:ext uri="{FF2B5EF4-FFF2-40B4-BE49-F238E27FC236}">
              <a16:creationId xmlns:a16="http://schemas.microsoft.com/office/drawing/2014/main" id="{BEF8F592-5AC9-44D7-BC2B-DC0588A5F8C5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388" name="AutoShape 1">
          <a:extLst>
            <a:ext uri="{FF2B5EF4-FFF2-40B4-BE49-F238E27FC236}">
              <a16:creationId xmlns:a16="http://schemas.microsoft.com/office/drawing/2014/main" id="{B5763DD7-961A-45A1-A357-35A0B1ED3A6A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389" name="AutoShape 1">
          <a:extLst>
            <a:ext uri="{FF2B5EF4-FFF2-40B4-BE49-F238E27FC236}">
              <a16:creationId xmlns:a16="http://schemas.microsoft.com/office/drawing/2014/main" id="{06E73298-0B8C-4675-91D6-40FC1DA989E3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390" name="AutoShape 1">
          <a:extLst>
            <a:ext uri="{FF2B5EF4-FFF2-40B4-BE49-F238E27FC236}">
              <a16:creationId xmlns:a16="http://schemas.microsoft.com/office/drawing/2014/main" id="{D8C338A1-8B3F-427E-B258-5A55B1EF3FC3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391" name="AutoShape 1">
          <a:extLst>
            <a:ext uri="{FF2B5EF4-FFF2-40B4-BE49-F238E27FC236}">
              <a16:creationId xmlns:a16="http://schemas.microsoft.com/office/drawing/2014/main" id="{D637C660-95E2-4E8A-A984-711E43F8C4DA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392" name="AutoShape 1">
          <a:extLst>
            <a:ext uri="{FF2B5EF4-FFF2-40B4-BE49-F238E27FC236}">
              <a16:creationId xmlns:a16="http://schemas.microsoft.com/office/drawing/2014/main" id="{59252DA6-382B-4EB9-95B9-C5C456003D97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393" name="AutoShape 1">
          <a:extLst>
            <a:ext uri="{FF2B5EF4-FFF2-40B4-BE49-F238E27FC236}">
              <a16:creationId xmlns:a16="http://schemas.microsoft.com/office/drawing/2014/main" id="{AEC75B4D-D50B-49FD-9343-B177A8881146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394" name="AutoShape 1">
          <a:extLst>
            <a:ext uri="{FF2B5EF4-FFF2-40B4-BE49-F238E27FC236}">
              <a16:creationId xmlns:a16="http://schemas.microsoft.com/office/drawing/2014/main" id="{72DB79A5-2B4C-4458-9969-4F8D547F1FC9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395" name="AutoShape 1">
          <a:extLst>
            <a:ext uri="{FF2B5EF4-FFF2-40B4-BE49-F238E27FC236}">
              <a16:creationId xmlns:a16="http://schemas.microsoft.com/office/drawing/2014/main" id="{799066A4-BD2B-4276-927D-FDEFD3223AD3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396" name="AutoShape 1">
          <a:extLst>
            <a:ext uri="{FF2B5EF4-FFF2-40B4-BE49-F238E27FC236}">
              <a16:creationId xmlns:a16="http://schemas.microsoft.com/office/drawing/2014/main" id="{5BE665AB-DDE4-4044-B0D6-11E20E763AAD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397" name="AutoShape 1">
          <a:extLst>
            <a:ext uri="{FF2B5EF4-FFF2-40B4-BE49-F238E27FC236}">
              <a16:creationId xmlns:a16="http://schemas.microsoft.com/office/drawing/2014/main" id="{6E4C3BDF-1473-49B4-8C3E-3DA223A183BB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398" name="AutoShape 1">
          <a:extLst>
            <a:ext uri="{FF2B5EF4-FFF2-40B4-BE49-F238E27FC236}">
              <a16:creationId xmlns:a16="http://schemas.microsoft.com/office/drawing/2014/main" id="{74D8E8C3-FD2B-48B5-B045-78E4BFF40310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399" name="AutoShape 1">
          <a:extLst>
            <a:ext uri="{FF2B5EF4-FFF2-40B4-BE49-F238E27FC236}">
              <a16:creationId xmlns:a16="http://schemas.microsoft.com/office/drawing/2014/main" id="{C52394F5-2091-4B3C-AC6D-276224B8F49F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400" name="AutoShape 1">
          <a:extLst>
            <a:ext uri="{FF2B5EF4-FFF2-40B4-BE49-F238E27FC236}">
              <a16:creationId xmlns:a16="http://schemas.microsoft.com/office/drawing/2014/main" id="{389F81C2-3129-4C88-977E-5A0408D0AC1F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401" name="AutoShape 1">
          <a:extLst>
            <a:ext uri="{FF2B5EF4-FFF2-40B4-BE49-F238E27FC236}">
              <a16:creationId xmlns:a16="http://schemas.microsoft.com/office/drawing/2014/main" id="{8BDD50AE-813D-4368-949D-721CF3848722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402" name="AutoShape 1">
          <a:extLst>
            <a:ext uri="{FF2B5EF4-FFF2-40B4-BE49-F238E27FC236}">
              <a16:creationId xmlns:a16="http://schemas.microsoft.com/office/drawing/2014/main" id="{C6F51E5F-75C5-4CEB-862E-ECB9AEA2745E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403" name="AutoShape 1">
          <a:extLst>
            <a:ext uri="{FF2B5EF4-FFF2-40B4-BE49-F238E27FC236}">
              <a16:creationId xmlns:a16="http://schemas.microsoft.com/office/drawing/2014/main" id="{291F9D9B-9AFC-4412-8102-3A276632E95E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404" name="AutoShape 1">
          <a:extLst>
            <a:ext uri="{FF2B5EF4-FFF2-40B4-BE49-F238E27FC236}">
              <a16:creationId xmlns:a16="http://schemas.microsoft.com/office/drawing/2014/main" id="{363B0F0F-B3CD-42A2-AE73-0C890761B9F3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405" name="AutoShape 1">
          <a:extLst>
            <a:ext uri="{FF2B5EF4-FFF2-40B4-BE49-F238E27FC236}">
              <a16:creationId xmlns:a16="http://schemas.microsoft.com/office/drawing/2014/main" id="{FC5FAB3B-9033-406A-A9F5-7E14755B9487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406" name="AutoShape 1">
          <a:extLst>
            <a:ext uri="{FF2B5EF4-FFF2-40B4-BE49-F238E27FC236}">
              <a16:creationId xmlns:a16="http://schemas.microsoft.com/office/drawing/2014/main" id="{A69BB386-0D7E-48F6-BF66-9239E28807AD}"/>
            </a:ext>
            <a:ext uri="{147F2762-F138-4A5C-976F-8EAC2B608ADB}">
              <a16:predDERef xmlns:a16="http://schemas.microsoft.com/office/drawing/2014/main" pred="{A9C9C4DB-4B97-447C-9099-E87BCB3C537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407" name="AutoShape 1">
          <a:extLst>
            <a:ext uri="{FF2B5EF4-FFF2-40B4-BE49-F238E27FC236}">
              <a16:creationId xmlns:a16="http://schemas.microsoft.com/office/drawing/2014/main" id="{3DCB010B-8809-4FC7-9926-BD85B4183C57}"/>
            </a:ext>
            <a:ext uri="{147F2762-F138-4A5C-976F-8EAC2B608ADB}">
              <a16:predDERef xmlns:a16="http://schemas.microsoft.com/office/drawing/2014/main" pred="{CD89554D-BD76-42AD-819A-278AD445B86E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408" name="AutoShape 1">
          <a:extLst>
            <a:ext uri="{FF2B5EF4-FFF2-40B4-BE49-F238E27FC236}">
              <a16:creationId xmlns:a16="http://schemas.microsoft.com/office/drawing/2014/main" id="{B02AEDBF-46AE-43E1-9B98-CF1B7677C4A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409" name="AutoShape 1">
          <a:extLst>
            <a:ext uri="{FF2B5EF4-FFF2-40B4-BE49-F238E27FC236}">
              <a16:creationId xmlns:a16="http://schemas.microsoft.com/office/drawing/2014/main" id="{DB3014BC-E431-4F4D-84F7-F298DFCC8CE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410" name="AutoShape 1">
          <a:extLst>
            <a:ext uri="{FF2B5EF4-FFF2-40B4-BE49-F238E27FC236}">
              <a16:creationId xmlns:a16="http://schemas.microsoft.com/office/drawing/2014/main" id="{13FF3A26-7093-43A4-9B0A-1F965CF5D27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411" name="AutoShape 1">
          <a:extLst>
            <a:ext uri="{FF2B5EF4-FFF2-40B4-BE49-F238E27FC236}">
              <a16:creationId xmlns:a16="http://schemas.microsoft.com/office/drawing/2014/main" id="{D4E9CBED-656D-4C2B-990E-1BEF5BA8388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412" name="AutoShape 1">
          <a:extLst>
            <a:ext uri="{FF2B5EF4-FFF2-40B4-BE49-F238E27FC236}">
              <a16:creationId xmlns:a16="http://schemas.microsoft.com/office/drawing/2014/main" id="{31B25C54-7365-49DD-A4E3-922AAF704A3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413" name="AutoShape 1">
          <a:extLst>
            <a:ext uri="{FF2B5EF4-FFF2-40B4-BE49-F238E27FC236}">
              <a16:creationId xmlns:a16="http://schemas.microsoft.com/office/drawing/2014/main" id="{5E899218-DF5F-4666-9510-6A4E1C0BEC1C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414" name="AutoShape 1">
          <a:extLst>
            <a:ext uri="{FF2B5EF4-FFF2-40B4-BE49-F238E27FC236}">
              <a16:creationId xmlns:a16="http://schemas.microsoft.com/office/drawing/2014/main" id="{FBC3F41A-8BCB-4FE1-B4AB-E65AA3598F8A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415" name="AutoShape 1">
          <a:extLst>
            <a:ext uri="{FF2B5EF4-FFF2-40B4-BE49-F238E27FC236}">
              <a16:creationId xmlns:a16="http://schemas.microsoft.com/office/drawing/2014/main" id="{255B8D51-8F70-46E3-9F60-9C096CE3F1F3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416" name="AutoShape 1">
          <a:extLst>
            <a:ext uri="{FF2B5EF4-FFF2-40B4-BE49-F238E27FC236}">
              <a16:creationId xmlns:a16="http://schemas.microsoft.com/office/drawing/2014/main" id="{FAA4027F-DA46-4E9E-AE0A-C035FB0BF3D6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417" name="AutoShape 1">
          <a:extLst>
            <a:ext uri="{FF2B5EF4-FFF2-40B4-BE49-F238E27FC236}">
              <a16:creationId xmlns:a16="http://schemas.microsoft.com/office/drawing/2014/main" id="{7CF60955-DE38-445D-A823-87A4C478F18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418" name="AutoShape 1">
          <a:extLst>
            <a:ext uri="{FF2B5EF4-FFF2-40B4-BE49-F238E27FC236}">
              <a16:creationId xmlns:a16="http://schemas.microsoft.com/office/drawing/2014/main" id="{7EE83D5B-CBDB-4ECE-BF7E-7205CBC1F47B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419" name="AutoShape 1">
          <a:extLst>
            <a:ext uri="{FF2B5EF4-FFF2-40B4-BE49-F238E27FC236}">
              <a16:creationId xmlns:a16="http://schemas.microsoft.com/office/drawing/2014/main" id="{1E944B53-C545-472B-8B7D-E110069808BD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420" name="AutoShape 1">
          <a:extLst>
            <a:ext uri="{FF2B5EF4-FFF2-40B4-BE49-F238E27FC236}">
              <a16:creationId xmlns:a16="http://schemas.microsoft.com/office/drawing/2014/main" id="{F07E922B-9BFB-458F-9D01-519EBC71FFE9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421" name="AutoShape 1">
          <a:extLst>
            <a:ext uri="{FF2B5EF4-FFF2-40B4-BE49-F238E27FC236}">
              <a16:creationId xmlns:a16="http://schemas.microsoft.com/office/drawing/2014/main" id="{655E0A17-8059-4853-A42D-456373975A5B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422" name="AutoShape 1">
          <a:extLst>
            <a:ext uri="{FF2B5EF4-FFF2-40B4-BE49-F238E27FC236}">
              <a16:creationId xmlns:a16="http://schemas.microsoft.com/office/drawing/2014/main" id="{1DEDE2C6-03E8-4DC6-BE86-52285CBEEC99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423" name="AutoShape 1">
          <a:extLst>
            <a:ext uri="{FF2B5EF4-FFF2-40B4-BE49-F238E27FC236}">
              <a16:creationId xmlns:a16="http://schemas.microsoft.com/office/drawing/2014/main" id="{4588CA8C-E243-4C2D-B456-953CF1208901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424" name="AutoShape 1">
          <a:extLst>
            <a:ext uri="{FF2B5EF4-FFF2-40B4-BE49-F238E27FC236}">
              <a16:creationId xmlns:a16="http://schemas.microsoft.com/office/drawing/2014/main" id="{2207AA81-DA7B-424B-BFB5-3DEFD6C0CFA7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425" name="AutoShape 1">
          <a:extLst>
            <a:ext uri="{FF2B5EF4-FFF2-40B4-BE49-F238E27FC236}">
              <a16:creationId xmlns:a16="http://schemas.microsoft.com/office/drawing/2014/main" id="{CCB452B3-738A-41D6-A7A5-513ED051FC1D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426" name="AutoShape 1">
          <a:extLst>
            <a:ext uri="{FF2B5EF4-FFF2-40B4-BE49-F238E27FC236}">
              <a16:creationId xmlns:a16="http://schemas.microsoft.com/office/drawing/2014/main" id="{BE7F98FB-726F-4D67-9318-FEC4B640E51D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427" name="AutoShape 1">
          <a:extLst>
            <a:ext uri="{FF2B5EF4-FFF2-40B4-BE49-F238E27FC236}">
              <a16:creationId xmlns:a16="http://schemas.microsoft.com/office/drawing/2014/main" id="{EAAEB4AD-7638-4B4E-9588-997BDFD44323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428" name="AutoShape 1">
          <a:extLst>
            <a:ext uri="{FF2B5EF4-FFF2-40B4-BE49-F238E27FC236}">
              <a16:creationId xmlns:a16="http://schemas.microsoft.com/office/drawing/2014/main" id="{A7DB63BC-8BD0-43E1-891E-4B8C02458A4C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429" name="AutoShape 1">
          <a:extLst>
            <a:ext uri="{FF2B5EF4-FFF2-40B4-BE49-F238E27FC236}">
              <a16:creationId xmlns:a16="http://schemas.microsoft.com/office/drawing/2014/main" id="{6FFE80D2-AC61-4D6F-B77B-C7B75C53DF5E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430" name="AutoShape 1">
          <a:extLst>
            <a:ext uri="{FF2B5EF4-FFF2-40B4-BE49-F238E27FC236}">
              <a16:creationId xmlns:a16="http://schemas.microsoft.com/office/drawing/2014/main" id="{8112F4BB-6222-426E-B7D0-60DA1F358AB2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431" name="AutoShape 1">
          <a:extLst>
            <a:ext uri="{FF2B5EF4-FFF2-40B4-BE49-F238E27FC236}">
              <a16:creationId xmlns:a16="http://schemas.microsoft.com/office/drawing/2014/main" id="{58E00F93-D432-484F-9BBC-D9EB7CC95761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432" name="AutoShape 1">
          <a:extLst>
            <a:ext uri="{FF2B5EF4-FFF2-40B4-BE49-F238E27FC236}">
              <a16:creationId xmlns:a16="http://schemas.microsoft.com/office/drawing/2014/main" id="{792E1C72-DF9E-4147-AA1E-629718DF58B7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433" name="AutoShape 1">
          <a:extLst>
            <a:ext uri="{FF2B5EF4-FFF2-40B4-BE49-F238E27FC236}">
              <a16:creationId xmlns:a16="http://schemas.microsoft.com/office/drawing/2014/main" id="{01362AA9-E69E-409F-8A5C-417B82182AB9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434" name="AutoShape 1">
          <a:extLst>
            <a:ext uri="{FF2B5EF4-FFF2-40B4-BE49-F238E27FC236}">
              <a16:creationId xmlns:a16="http://schemas.microsoft.com/office/drawing/2014/main" id="{063CC41A-379B-496C-9850-AAD05B6F445B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435" name="AutoShape 1">
          <a:extLst>
            <a:ext uri="{FF2B5EF4-FFF2-40B4-BE49-F238E27FC236}">
              <a16:creationId xmlns:a16="http://schemas.microsoft.com/office/drawing/2014/main" id="{9C77E363-3360-4087-A06F-6187CB781443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436" name="AutoShape 1">
          <a:extLst>
            <a:ext uri="{FF2B5EF4-FFF2-40B4-BE49-F238E27FC236}">
              <a16:creationId xmlns:a16="http://schemas.microsoft.com/office/drawing/2014/main" id="{EC92763D-7CE2-48AC-92DA-07B3166FBC69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437" name="AutoShape 1">
          <a:extLst>
            <a:ext uri="{FF2B5EF4-FFF2-40B4-BE49-F238E27FC236}">
              <a16:creationId xmlns:a16="http://schemas.microsoft.com/office/drawing/2014/main" id="{B2B52F2E-002A-4BEA-8E7C-4B0D42546DD2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438" name="AutoShape 1">
          <a:extLst>
            <a:ext uri="{FF2B5EF4-FFF2-40B4-BE49-F238E27FC236}">
              <a16:creationId xmlns:a16="http://schemas.microsoft.com/office/drawing/2014/main" id="{0495DB6F-623B-47FA-A587-2441EA549AB9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439" name="AutoShape 1">
          <a:extLst>
            <a:ext uri="{FF2B5EF4-FFF2-40B4-BE49-F238E27FC236}">
              <a16:creationId xmlns:a16="http://schemas.microsoft.com/office/drawing/2014/main" id="{8DDA112A-9606-4E3D-A62A-DA0184737BEF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440" name="AutoShape 1">
          <a:extLst>
            <a:ext uri="{FF2B5EF4-FFF2-40B4-BE49-F238E27FC236}">
              <a16:creationId xmlns:a16="http://schemas.microsoft.com/office/drawing/2014/main" id="{B23901EF-18D8-41C4-8BE3-5EE3F45DD231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441" name="AutoShape 1">
          <a:extLst>
            <a:ext uri="{FF2B5EF4-FFF2-40B4-BE49-F238E27FC236}">
              <a16:creationId xmlns:a16="http://schemas.microsoft.com/office/drawing/2014/main" id="{AB17CAE1-C18E-4BB8-95EF-1410893752AC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442" name="AutoShape 1">
          <a:extLst>
            <a:ext uri="{FF2B5EF4-FFF2-40B4-BE49-F238E27FC236}">
              <a16:creationId xmlns:a16="http://schemas.microsoft.com/office/drawing/2014/main" id="{EC05561C-2D88-4067-A368-29FB3056FE80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443" name="AutoShape 1">
          <a:extLst>
            <a:ext uri="{FF2B5EF4-FFF2-40B4-BE49-F238E27FC236}">
              <a16:creationId xmlns:a16="http://schemas.microsoft.com/office/drawing/2014/main" id="{1F3B7A0A-2BE7-4F22-8EAC-28F60D9A9374}"/>
            </a:ext>
            <a:ext uri="{147F2762-F138-4A5C-976F-8EAC2B608ADB}">
              <a16:predDERef xmlns:a16="http://schemas.microsoft.com/office/drawing/2014/main" pred="{A9C9C4DB-4B97-447C-9099-E87BCB3C537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444" name="AutoShape 1">
          <a:extLst>
            <a:ext uri="{FF2B5EF4-FFF2-40B4-BE49-F238E27FC236}">
              <a16:creationId xmlns:a16="http://schemas.microsoft.com/office/drawing/2014/main" id="{F617FDA8-FDA5-4C64-98C5-DA9838F6BF74}"/>
            </a:ext>
            <a:ext uri="{147F2762-F138-4A5C-976F-8EAC2B608ADB}">
              <a16:predDERef xmlns:a16="http://schemas.microsoft.com/office/drawing/2014/main" pred="{CD89554D-BD76-42AD-819A-278AD445B86E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445" name="AutoShape 1">
          <a:extLst>
            <a:ext uri="{FF2B5EF4-FFF2-40B4-BE49-F238E27FC236}">
              <a16:creationId xmlns:a16="http://schemas.microsoft.com/office/drawing/2014/main" id="{0BA30EE9-9FF9-4CD4-B295-BBE469DA91D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446" name="AutoShape 1">
          <a:extLst>
            <a:ext uri="{FF2B5EF4-FFF2-40B4-BE49-F238E27FC236}">
              <a16:creationId xmlns:a16="http://schemas.microsoft.com/office/drawing/2014/main" id="{EA0B2313-1991-49F7-B0B9-3D2F7FA1342B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447" name="AutoShape 1">
          <a:extLst>
            <a:ext uri="{FF2B5EF4-FFF2-40B4-BE49-F238E27FC236}">
              <a16:creationId xmlns:a16="http://schemas.microsoft.com/office/drawing/2014/main" id="{741E6AE2-9316-4E7F-BA40-D5C38CC5CFCC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448" name="AutoShape 1">
          <a:extLst>
            <a:ext uri="{FF2B5EF4-FFF2-40B4-BE49-F238E27FC236}">
              <a16:creationId xmlns:a16="http://schemas.microsoft.com/office/drawing/2014/main" id="{D343963F-24D7-465C-8F74-70A83F9A0C9B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449" name="AutoShape 1">
          <a:extLst>
            <a:ext uri="{FF2B5EF4-FFF2-40B4-BE49-F238E27FC236}">
              <a16:creationId xmlns:a16="http://schemas.microsoft.com/office/drawing/2014/main" id="{35B14B52-6C49-4038-B0F7-5F0ED2B43E33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450" name="AutoShape 1">
          <a:extLst>
            <a:ext uri="{FF2B5EF4-FFF2-40B4-BE49-F238E27FC236}">
              <a16:creationId xmlns:a16="http://schemas.microsoft.com/office/drawing/2014/main" id="{351D2AE7-DCB1-42D8-903C-70FB8CC03D7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451" name="AutoShape 1">
          <a:extLst>
            <a:ext uri="{FF2B5EF4-FFF2-40B4-BE49-F238E27FC236}">
              <a16:creationId xmlns:a16="http://schemas.microsoft.com/office/drawing/2014/main" id="{B5238824-512D-4C85-81FE-F5ED7ACCEBF3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452" name="AutoShape 1">
          <a:extLst>
            <a:ext uri="{FF2B5EF4-FFF2-40B4-BE49-F238E27FC236}">
              <a16:creationId xmlns:a16="http://schemas.microsoft.com/office/drawing/2014/main" id="{6358A89A-655D-4453-BCCA-EBC69614923D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453" name="AutoShape 1">
          <a:extLst>
            <a:ext uri="{FF2B5EF4-FFF2-40B4-BE49-F238E27FC236}">
              <a16:creationId xmlns:a16="http://schemas.microsoft.com/office/drawing/2014/main" id="{FEACAD6F-9015-4CE8-86A4-893F49CD47A7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454" name="AutoShape 1">
          <a:extLst>
            <a:ext uri="{FF2B5EF4-FFF2-40B4-BE49-F238E27FC236}">
              <a16:creationId xmlns:a16="http://schemas.microsoft.com/office/drawing/2014/main" id="{96B90C9C-7E1F-4B12-99D8-6B095A02DA01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455" name="AutoShape 1">
          <a:extLst>
            <a:ext uri="{FF2B5EF4-FFF2-40B4-BE49-F238E27FC236}">
              <a16:creationId xmlns:a16="http://schemas.microsoft.com/office/drawing/2014/main" id="{94C4E03E-2D27-4346-A470-7E146E59C97B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456" name="AutoShape 1">
          <a:extLst>
            <a:ext uri="{FF2B5EF4-FFF2-40B4-BE49-F238E27FC236}">
              <a16:creationId xmlns:a16="http://schemas.microsoft.com/office/drawing/2014/main" id="{F18EFE68-FDB6-4CFC-A90A-CA36C3EAA47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457" name="AutoShape 1">
          <a:extLst>
            <a:ext uri="{FF2B5EF4-FFF2-40B4-BE49-F238E27FC236}">
              <a16:creationId xmlns:a16="http://schemas.microsoft.com/office/drawing/2014/main" id="{BFD58CD9-A954-4B75-85E0-0EC8B3444FAC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458" name="AutoShape 1">
          <a:extLst>
            <a:ext uri="{FF2B5EF4-FFF2-40B4-BE49-F238E27FC236}">
              <a16:creationId xmlns:a16="http://schemas.microsoft.com/office/drawing/2014/main" id="{27BAFF36-7D36-44DA-AAB3-66E8F755896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459" name="AutoShape 1">
          <a:extLst>
            <a:ext uri="{FF2B5EF4-FFF2-40B4-BE49-F238E27FC236}">
              <a16:creationId xmlns:a16="http://schemas.microsoft.com/office/drawing/2014/main" id="{3C7C57C0-21C6-401F-8C48-40D5205A7FD4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460" name="AutoShape 1">
          <a:extLst>
            <a:ext uri="{FF2B5EF4-FFF2-40B4-BE49-F238E27FC236}">
              <a16:creationId xmlns:a16="http://schemas.microsoft.com/office/drawing/2014/main" id="{F76BDC4D-5FF2-40CA-B459-19DE2FC13BAC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461" name="AutoShape 1">
          <a:extLst>
            <a:ext uri="{FF2B5EF4-FFF2-40B4-BE49-F238E27FC236}">
              <a16:creationId xmlns:a16="http://schemas.microsoft.com/office/drawing/2014/main" id="{7C0AC931-ECAE-4F49-B471-446A99114830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462" name="AutoShape 1">
          <a:extLst>
            <a:ext uri="{FF2B5EF4-FFF2-40B4-BE49-F238E27FC236}">
              <a16:creationId xmlns:a16="http://schemas.microsoft.com/office/drawing/2014/main" id="{0099160C-3510-40BF-8F5F-83A98F29AE6C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463" name="AutoShape 1">
          <a:extLst>
            <a:ext uri="{FF2B5EF4-FFF2-40B4-BE49-F238E27FC236}">
              <a16:creationId xmlns:a16="http://schemas.microsoft.com/office/drawing/2014/main" id="{CE04FD41-A46A-4E3E-B906-EB4B7DCE7063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464" name="AutoShape 1">
          <a:extLst>
            <a:ext uri="{FF2B5EF4-FFF2-40B4-BE49-F238E27FC236}">
              <a16:creationId xmlns:a16="http://schemas.microsoft.com/office/drawing/2014/main" id="{A395F0F6-F52B-4656-8CB8-95DA13FDE3D3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465" name="AutoShape 1">
          <a:extLst>
            <a:ext uri="{FF2B5EF4-FFF2-40B4-BE49-F238E27FC236}">
              <a16:creationId xmlns:a16="http://schemas.microsoft.com/office/drawing/2014/main" id="{70698C17-1D24-4285-9DEE-9803F7DE5A50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466" name="AutoShape 1">
          <a:extLst>
            <a:ext uri="{FF2B5EF4-FFF2-40B4-BE49-F238E27FC236}">
              <a16:creationId xmlns:a16="http://schemas.microsoft.com/office/drawing/2014/main" id="{D91B7F1A-2D8C-429D-B270-0D8DEB53C113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467" name="AutoShape 1">
          <a:extLst>
            <a:ext uri="{FF2B5EF4-FFF2-40B4-BE49-F238E27FC236}">
              <a16:creationId xmlns:a16="http://schemas.microsoft.com/office/drawing/2014/main" id="{F34B64E9-2E55-4662-957A-3AF2FF98E4E6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468" name="AutoShape 1">
          <a:extLst>
            <a:ext uri="{FF2B5EF4-FFF2-40B4-BE49-F238E27FC236}">
              <a16:creationId xmlns:a16="http://schemas.microsoft.com/office/drawing/2014/main" id="{F394FFA5-4D8A-410F-AC00-C6CC575F1298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469" name="AutoShape 1">
          <a:extLst>
            <a:ext uri="{FF2B5EF4-FFF2-40B4-BE49-F238E27FC236}">
              <a16:creationId xmlns:a16="http://schemas.microsoft.com/office/drawing/2014/main" id="{3E1F8C98-E6B6-43CC-A04B-EE9F97C790CF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470" name="AutoShape 1">
          <a:extLst>
            <a:ext uri="{FF2B5EF4-FFF2-40B4-BE49-F238E27FC236}">
              <a16:creationId xmlns:a16="http://schemas.microsoft.com/office/drawing/2014/main" id="{BC6277B6-34DD-4AD1-904F-5A2067F511F6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471" name="AutoShape 1">
          <a:extLst>
            <a:ext uri="{FF2B5EF4-FFF2-40B4-BE49-F238E27FC236}">
              <a16:creationId xmlns:a16="http://schemas.microsoft.com/office/drawing/2014/main" id="{8F779F76-5C39-41DF-9DD4-1D273B2ACC91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472" name="AutoShape 1">
          <a:extLst>
            <a:ext uri="{FF2B5EF4-FFF2-40B4-BE49-F238E27FC236}">
              <a16:creationId xmlns:a16="http://schemas.microsoft.com/office/drawing/2014/main" id="{CEABF4F9-0424-4A9C-BA6F-527433FB4AE6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473" name="AutoShape 1">
          <a:extLst>
            <a:ext uri="{FF2B5EF4-FFF2-40B4-BE49-F238E27FC236}">
              <a16:creationId xmlns:a16="http://schemas.microsoft.com/office/drawing/2014/main" id="{56AD32C7-44B3-4D3B-8EFB-768DE000E901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474" name="AutoShape 1">
          <a:extLst>
            <a:ext uri="{FF2B5EF4-FFF2-40B4-BE49-F238E27FC236}">
              <a16:creationId xmlns:a16="http://schemas.microsoft.com/office/drawing/2014/main" id="{62F6A8E0-8005-428A-8532-9E1931F6E112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475" name="AutoShape 1">
          <a:extLst>
            <a:ext uri="{FF2B5EF4-FFF2-40B4-BE49-F238E27FC236}">
              <a16:creationId xmlns:a16="http://schemas.microsoft.com/office/drawing/2014/main" id="{EF257656-A07E-44CA-B603-AB8CE2011A81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476" name="AutoShape 1">
          <a:extLst>
            <a:ext uri="{FF2B5EF4-FFF2-40B4-BE49-F238E27FC236}">
              <a16:creationId xmlns:a16="http://schemas.microsoft.com/office/drawing/2014/main" id="{554512E9-A579-41DA-815D-EBD68A49D340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477" name="AutoShape 1">
          <a:extLst>
            <a:ext uri="{FF2B5EF4-FFF2-40B4-BE49-F238E27FC236}">
              <a16:creationId xmlns:a16="http://schemas.microsoft.com/office/drawing/2014/main" id="{B6418827-12D0-41C8-B765-8D02356E42E9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478" name="AutoShape 1">
          <a:extLst>
            <a:ext uri="{FF2B5EF4-FFF2-40B4-BE49-F238E27FC236}">
              <a16:creationId xmlns:a16="http://schemas.microsoft.com/office/drawing/2014/main" id="{A8019D96-1414-4803-A3F2-565C4C31F9CD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479" name="AutoShape 1">
          <a:extLst>
            <a:ext uri="{FF2B5EF4-FFF2-40B4-BE49-F238E27FC236}">
              <a16:creationId xmlns:a16="http://schemas.microsoft.com/office/drawing/2014/main" id="{1AE918B6-7930-4BEF-915C-724756758493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480" name="AutoShape 1">
          <a:extLst>
            <a:ext uri="{FF2B5EF4-FFF2-40B4-BE49-F238E27FC236}">
              <a16:creationId xmlns:a16="http://schemas.microsoft.com/office/drawing/2014/main" id="{711EBA14-905A-4495-80B0-BDA06532EF17}"/>
            </a:ext>
            <a:ext uri="{147F2762-F138-4A5C-976F-8EAC2B608ADB}">
              <a16:predDERef xmlns:a16="http://schemas.microsoft.com/office/drawing/2014/main" pred="{A9C9C4DB-4B97-447C-9099-E87BCB3C537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481" name="AutoShape 1">
          <a:extLst>
            <a:ext uri="{FF2B5EF4-FFF2-40B4-BE49-F238E27FC236}">
              <a16:creationId xmlns:a16="http://schemas.microsoft.com/office/drawing/2014/main" id="{1695D1F0-0F21-48A3-8A61-5870ED125094}"/>
            </a:ext>
            <a:ext uri="{147F2762-F138-4A5C-976F-8EAC2B608ADB}">
              <a16:predDERef xmlns:a16="http://schemas.microsoft.com/office/drawing/2014/main" pred="{CD89554D-BD76-42AD-819A-278AD445B86E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482" name="AutoShape 1">
          <a:extLst>
            <a:ext uri="{FF2B5EF4-FFF2-40B4-BE49-F238E27FC236}">
              <a16:creationId xmlns:a16="http://schemas.microsoft.com/office/drawing/2014/main" id="{2B3CA398-E161-42B9-952E-B47195C79604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483" name="AutoShape 1">
          <a:extLst>
            <a:ext uri="{FF2B5EF4-FFF2-40B4-BE49-F238E27FC236}">
              <a16:creationId xmlns:a16="http://schemas.microsoft.com/office/drawing/2014/main" id="{9C704A32-5FD4-491F-B384-8CB753D35101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484" name="AutoShape 1">
          <a:extLst>
            <a:ext uri="{FF2B5EF4-FFF2-40B4-BE49-F238E27FC236}">
              <a16:creationId xmlns:a16="http://schemas.microsoft.com/office/drawing/2014/main" id="{9F716855-2DEC-4C76-9B73-237646C53B1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485" name="AutoShape 1">
          <a:extLst>
            <a:ext uri="{FF2B5EF4-FFF2-40B4-BE49-F238E27FC236}">
              <a16:creationId xmlns:a16="http://schemas.microsoft.com/office/drawing/2014/main" id="{2B7F333F-E4F3-4E2A-A116-286EC7EDB6DF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486" name="AutoShape 1">
          <a:extLst>
            <a:ext uri="{FF2B5EF4-FFF2-40B4-BE49-F238E27FC236}">
              <a16:creationId xmlns:a16="http://schemas.microsoft.com/office/drawing/2014/main" id="{6FE24B34-6CE2-4526-A6F2-D96DF4FDBA9C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487" name="AutoShape 1">
          <a:extLst>
            <a:ext uri="{FF2B5EF4-FFF2-40B4-BE49-F238E27FC236}">
              <a16:creationId xmlns:a16="http://schemas.microsoft.com/office/drawing/2014/main" id="{4516A802-46D5-47F0-9E91-DCE68E6CF0C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488" name="AutoShape 1">
          <a:extLst>
            <a:ext uri="{FF2B5EF4-FFF2-40B4-BE49-F238E27FC236}">
              <a16:creationId xmlns:a16="http://schemas.microsoft.com/office/drawing/2014/main" id="{489E32FA-4FFB-4436-A1E8-7AD9BFD0E66C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489" name="AutoShape 1">
          <a:extLst>
            <a:ext uri="{FF2B5EF4-FFF2-40B4-BE49-F238E27FC236}">
              <a16:creationId xmlns:a16="http://schemas.microsoft.com/office/drawing/2014/main" id="{869424FA-CCBD-44A6-99A1-34928630B593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490" name="AutoShape 1">
          <a:extLst>
            <a:ext uri="{FF2B5EF4-FFF2-40B4-BE49-F238E27FC236}">
              <a16:creationId xmlns:a16="http://schemas.microsoft.com/office/drawing/2014/main" id="{305C124A-9AA9-4FCD-AEF9-1F062B48F80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491" name="AutoShape 1">
          <a:extLst>
            <a:ext uri="{FF2B5EF4-FFF2-40B4-BE49-F238E27FC236}">
              <a16:creationId xmlns:a16="http://schemas.microsoft.com/office/drawing/2014/main" id="{BC88ADFD-2D63-467C-B883-1EBCCBE35CE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492" name="AutoShape 1">
          <a:extLst>
            <a:ext uri="{FF2B5EF4-FFF2-40B4-BE49-F238E27FC236}">
              <a16:creationId xmlns:a16="http://schemas.microsoft.com/office/drawing/2014/main" id="{D3244FC9-8613-48C6-9027-6DF34422B1C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493" name="AutoShape 1">
          <a:extLst>
            <a:ext uri="{FF2B5EF4-FFF2-40B4-BE49-F238E27FC236}">
              <a16:creationId xmlns:a16="http://schemas.microsoft.com/office/drawing/2014/main" id="{2678B7AF-F73B-4B0B-A368-59D4C3042C77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494" name="AutoShape 1">
          <a:extLst>
            <a:ext uri="{FF2B5EF4-FFF2-40B4-BE49-F238E27FC236}">
              <a16:creationId xmlns:a16="http://schemas.microsoft.com/office/drawing/2014/main" id="{11F61876-2CDC-4BE0-A5FD-4B18D243889B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495" name="AutoShape 1">
          <a:extLst>
            <a:ext uri="{FF2B5EF4-FFF2-40B4-BE49-F238E27FC236}">
              <a16:creationId xmlns:a16="http://schemas.microsoft.com/office/drawing/2014/main" id="{B6A82879-3BB7-4642-BD8A-A3E5E520BDFF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496" name="AutoShape 1">
          <a:extLst>
            <a:ext uri="{FF2B5EF4-FFF2-40B4-BE49-F238E27FC236}">
              <a16:creationId xmlns:a16="http://schemas.microsoft.com/office/drawing/2014/main" id="{05049B69-1298-406C-9AE4-9B6D23F100DF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497" name="AutoShape 1">
          <a:extLst>
            <a:ext uri="{FF2B5EF4-FFF2-40B4-BE49-F238E27FC236}">
              <a16:creationId xmlns:a16="http://schemas.microsoft.com/office/drawing/2014/main" id="{B05799B3-EA93-42E8-80AA-A6B45D75ECC4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498" name="AutoShape 1">
          <a:extLst>
            <a:ext uri="{FF2B5EF4-FFF2-40B4-BE49-F238E27FC236}">
              <a16:creationId xmlns:a16="http://schemas.microsoft.com/office/drawing/2014/main" id="{9C93030B-627A-4220-98DD-7A4A58417D87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499" name="AutoShape 1">
          <a:extLst>
            <a:ext uri="{FF2B5EF4-FFF2-40B4-BE49-F238E27FC236}">
              <a16:creationId xmlns:a16="http://schemas.microsoft.com/office/drawing/2014/main" id="{249EBEAD-004B-4DB9-B4C1-6FF130FDD818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500" name="AutoShape 1">
          <a:extLst>
            <a:ext uri="{FF2B5EF4-FFF2-40B4-BE49-F238E27FC236}">
              <a16:creationId xmlns:a16="http://schemas.microsoft.com/office/drawing/2014/main" id="{01CE6762-9B84-4BD4-AF70-69099DD8B470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501" name="AutoShape 1">
          <a:extLst>
            <a:ext uri="{FF2B5EF4-FFF2-40B4-BE49-F238E27FC236}">
              <a16:creationId xmlns:a16="http://schemas.microsoft.com/office/drawing/2014/main" id="{D5ABCE38-2D64-4EAC-BFA5-AC81336E6566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502" name="AutoShape 1">
          <a:extLst>
            <a:ext uri="{FF2B5EF4-FFF2-40B4-BE49-F238E27FC236}">
              <a16:creationId xmlns:a16="http://schemas.microsoft.com/office/drawing/2014/main" id="{B20A5355-EC18-48CC-9B16-123D86E9F80B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503" name="AutoShape 1">
          <a:extLst>
            <a:ext uri="{FF2B5EF4-FFF2-40B4-BE49-F238E27FC236}">
              <a16:creationId xmlns:a16="http://schemas.microsoft.com/office/drawing/2014/main" id="{F9FBB315-8AF9-48F9-8FFB-1685AE6C6437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504" name="AutoShape 1">
          <a:extLst>
            <a:ext uri="{FF2B5EF4-FFF2-40B4-BE49-F238E27FC236}">
              <a16:creationId xmlns:a16="http://schemas.microsoft.com/office/drawing/2014/main" id="{5639E791-FC97-4DC4-A3B1-9247694E7A01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505" name="AutoShape 1">
          <a:extLst>
            <a:ext uri="{FF2B5EF4-FFF2-40B4-BE49-F238E27FC236}">
              <a16:creationId xmlns:a16="http://schemas.microsoft.com/office/drawing/2014/main" id="{E4F2630B-0C31-4C3A-9493-3CF3AF80CA67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506" name="AutoShape 1">
          <a:extLst>
            <a:ext uri="{FF2B5EF4-FFF2-40B4-BE49-F238E27FC236}">
              <a16:creationId xmlns:a16="http://schemas.microsoft.com/office/drawing/2014/main" id="{BBD6D8AD-AE54-44FE-A12C-5F94BDBFDD62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507" name="AutoShape 1">
          <a:extLst>
            <a:ext uri="{FF2B5EF4-FFF2-40B4-BE49-F238E27FC236}">
              <a16:creationId xmlns:a16="http://schemas.microsoft.com/office/drawing/2014/main" id="{24A6F3F3-4B8E-4659-8A90-002F2FF08B7C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508" name="AutoShape 1">
          <a:extLst>
            <a:ext uri="{FF2B5EF4-FFF2-40B4-BE49-F238E27FC236}">
              <a16:creationId xmlns:a16="http://schemas.microsoft.com/office/drawing/2014/main" id="{912D6657-92C8-4686-B04C-B505B6C78411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509" name="AutoShape 1">
          <a:extLst>
            <a:ext uri="{FF2B5EF4-FFF2-40B4-BE49-F238E27FC236}">
              <a16:creationId xmlns:a16="http://schemas.microsoft.com/office/drawing/2014/main" id="{4727C8F1-5E1F-4A94-BE99-772C0B5EEA39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510" name="AutoShape 1">
          <a:extLst>
            <a:ext uri="{FF2B5EF4-FFF2-40B4-BE49-F238E27FC236}">
              <a16:creationId xmlns:a16="http://schemas.microsoft.com/office/drawing/2014/main" id="{AA9E92FA-2A73-4ADE-8699-45252EF52897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511" name="AutoShape 1">
          <a:extLst>
            <a:ext uri="{FF2B5EF4-FFF2-40B4-BE49-F238E27FC236}">
              <a16:creationId xmlns:a16="http://schemas.microsoft.com/office/drawing/2014/main" id="{F9D81A22-BC5A-4AAF-B1BC-7AC8748E93FA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512" name="AutoShape 1">
          <a:extLst>
            <a:ext uri="{FF2B5EF4-FFF2-40B4-BE49-F238E27FC236}">
              <a16:creationId xmlns:a16="http://schemas.microsoft.com/office/drawing/2014/main" id="{F2475BCA-B22B-4D68-A9E8-9842E6367904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513" name="AutoShape 1">
          <a:extLst>
            <a:ext uri="{FF2B5EF4-FFF2-40B4-BE49-F238E27FC236}">
              <a16:creationId xmlns:a16="http://schemas.microsoft.com/office/drawing/2014/main" id="{34B2E8BB-7D91-4F35-A98F-1368AA2D6D6D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514" name="AutoShape 1">
          <a:extLst>
            <a:ext uri="{FF2B5EF4-FFF2-40B4-BE49-F238E27FC236}">
              <a16:creationId xmlns:a16="http://schemas.microsoft.com/office/drawing/2014/main" id="{C309B6A2-0DBE-4ADE-BEAB-45DDCB1CFD3B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515" name="AutoShape 1">
          <a:extLst>
            <a:ext uri="{FF2B5EF4-FFF2-40B4-BE49-F238E27FC236}">
              <a16:creationId xmlns:a16="http://schemas.microsoft.com/office/drawing/2014/main" id="{9E046242-8DC0-4512-A669-37B2CC42D09E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516" name="AutoShape 1">
          <a:extLst>
            <a:ext uri="{FF2B5EF4-FFF2-40B4-BE49-F238E27FC236}">
              <a16:creationId xmlns:a16="http://schemas.microsoft.com/office/drawing/2014/main" id="{876F00FB-6A1C-4280-B7D5-40B8EBC6D71D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517" name="AutoShape 1">
          <a:extLst>
            <a:ext uri="{FF2B5EF4-FFF2-40B4-BE49-F238E27FC236}">
              <a16:creationId xmlns:a16="http://schemas.microsoft.com/office/drawing/2014/main" id="{0DA9D435-61A3-4EC2-B76E-C84CCACBC2DC}"/>
            </a:ext>
            <a:ext uri="{147F2762-F138-4A5C-976F-8EAC2B608ADB}">
              <a16:predDERef xmlns:a16="http://schemas.microsoft.com/office/drawing/2014/main" pred="{A9C9C4DB-4B97-447C-9099-E87BCB3C537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518" name="AutoShape 1">
          <a:extLst>
            <a:ext uri="{FF2B5EF4-FFF2-40B4-BE49-F238E27FC236}">
              <a16:creationId xmlns:a16="http://schemas.microsoft.com/office/drawing/2014/main" id="{9BC013F8-E815-409C-85BB-ED08D23D3720}"/>
            </a:ext>
            <a:ext uri="{147F2762-F138-4A5C-976F-8EAC2B608ADB}">
              <a16:predDERef xmlns:a16="http://schemas.microsoft.com/office/drawing/2014/main" pred="{CD89554D-BD76-42AD-819A-278AD445B86E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519" name="AutoShape 1">
          <a:extLst>
            <a:ext uri="{FF2B5EF4-FFF2-40B4-BE49-F238E27FC236}">
              <a16:creationId xmlns:a16="http://schemas.microsoft.com/office/drawing/2014/main" id="{00C829F8-E0F8-41DD-8BA8-B9CA00C3CB5C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520" name="AutoShape 1">
          <a:extLst>
            <a:ext uri="{FF2B5EF4-FFF2-40B4-BE49-F238E27FC236}">
              <a16:creationId xmlns:a16="http://schemas.microsoft.com/office/drawing/2014/main" id="{B5CD43FB-F498-47C6-A437-AF9093204A16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521" name="AutoShape 1">
          <a:extLst>
            <a:ext uri="{FF2B5EF4-FFF2-40B4-BE49-F238E27FC236}">
              <a16:creationId xmlns:a16="http://schemas.microsoft.com/office/drawing/2014/main" id="{74558B5A-D9AC-4CF7-86EC-FBE7DDAEFF4C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522" name="AutoShape 1">
          <a:extLst>
            <a:ext uri="{FF2B5EF4-FFF2-40B4-BE49-F238E27FC236}">
              <a16:creationId xmlns:a16="http://schemas.microsoft.com/office/drawing/2014/main" id="{6EBF5942-C649-46E2-9B87-30205588C8FB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523" name="AutoShape 1">
          <a:extLst>
            <a:ext uri="{FF2B5EF4-FFF2-40B4-BE49-F238E27FC236}">
              <a16:creationId xmlns:a16="http://schemas.microsoft.com/office/drawing/2014/main" id="{47575526-7AF8-46D1-8A00-5978653CE583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524" name="AutoShape 1">
          <a:extLst>
            <a:ext uri="{FF2B5EF4-FFF2-40B4-BE49-F238E27FC236}">
              <a16:creationId xmlns:a16="http://schemas.microsoft.com/office/drawing/2014/main" id="{18584B2F-E458-4575-ACC7-0EE5CA0FC769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525" name="AutoShape 1">
          <a:extLst>
            <a:ext uri="{FF2B5EF4-FFF2-40B4-BE49-F238E27FC236}">
              <a16:creationId xmlns:a16="http://schemas.microsoft.com/office/drawing/2014/main" id="{FB581FD7-6890-422E-A086-75E4945BF114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526" name="AutoShape 1">
          <a:extLst>
            <a:ext uri="{FF2B5EF4-FFF2-40B4-BE49-F238E27FC236}">
              <a16:creationId xmlns:a16="http://schemas.microsoft.com/office/drawing/2014/main" id="{A16CD13F-ADF9-41BC-B028-B5242E334EC6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527" name="AutoShape 1">
          <a:extLst>
            <a:ext uri="{FF2B5EF4-FFF2-40B4-BE49-F238E27FC236}">
              <a16:creationId xmlns:a16="http://schemas.microsoft.com/office/drawing/2014/main" id="{3246ABC2-085B-4ECD-A3AA-88B3D78F611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528" name="AutoShape 1">
          <a:extLst>
            <a:ext uri="{FF2B5EF4-FFF2-40B4-BE49-F238E27FC236}">
              <a16:creationId xmlns:a16="http://schemas.microsoft.com/office/drawing/2014/main" id="{DA8736F3-CEE0-470C-AE76-DF09710BA9B6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529" name="AutoShape 1">
          <a:extLst>
            <a:ext uri="{FF2B5EF4-FFF2-40B4-BE49-F238E27FC236}">
              <a16:creationId xmlns:a16="http://schemas.microsoft.com/office/drawing/2014/main" id="{F22A9D70-24EB-44EB-AB70-EE18073059EC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530" name="AutoShape 1">
          <a:extLst>
            <a:ext uri="{FF2B5EF4-FFF2-40B4-BE49-F238E27FC236}">
              <a16:creationId xmlns:a16="http://schemas.microsoft.com/office/drawing/2014/main" id="{52E6D94F-BB92-4D4B-BA4D-D5EC535B270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531" name="AutoShape 1">
          <a:extLst>
            <a:ext uri="{FF2B5EF4-FFF2-40B4-BE49-F238E27FC236}">
              <a16:creationId xmlns:a16="http://schemas.microsoft.com/office/drawing/2014/main" id="{BF32E43C-1A6A-462A-8771-75B4CD3366C4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532" name="AutoShape 1">
          <a:extLst>
            <a:ext uri="{FF2B5EF4-FFF2-40B4-BE49-F238E27FC236}">
              <a16:creationId xmlns:a16="http://schemas.microsoft.com/office/drawing/2014/main" id="{A8FBB764-29E0-4AC4-BE17-1F12298A4E14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533" name="AutoShape 1">
          <a:extLst>
            <a:ext uri="{FF2B5EF4-FFF2-40B4-BE49-F238E27FC236}">
              <a16:creationId xmlns:a16="http://schemas.microsoft.com/office/drawing/2014/main" id="{271F55BA-8A7B-4CA9-89BC-B64B8C9A7517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534" name="AutoShape 1">
          <a:extLst>
            <a:ext uri="{FF2B5EF4-FFF2-40B4-BE49-F238E27FC236}">
              <a16:creationId xmlns:a16="http://schemas.microsoft.com/office/drawing/2014/main" id="{BBB05988-8452-4ED8-AB84-EFE8F8B93EA6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535" name="AutoShape 1">
          <a:extLst>
            <a:ext uri="{FF2B5EF4-FFF2-40B4-BE49-F238E27FC236}">
              <a16:creationId xmlns:a16="http://schemas.microsoft.com/office/drawing/2014/main" id="{AEBF3B06-5C56-47F6-9D4C-D78232EB8BE9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536" name="AutoShape 1">
          <a:extLst>
            <a:ext uri="{FF2B5EF4-FFF2-40B4-BE49-F238E27FC236}">
              <a16:creationId xmlns:a16="http://schemas.microsoft.com/office/drawing/2014/main" id="{50F5BBAF-5B48-4339-B658-BB2387BAA143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537" name="AutoShape 1">
          <a:extLst>
            <a:ext uri="{FF2B5EF4-FFF2-40B4-BE49-F238E27FC236}">
              <a16:creationId xmlns:a16="http://schemas.microsoft.com/office/drawing/2014/main" id="{D1FBFBF9-B018-41CE-A1EC-9650D65B269A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538" name="AutoShape 1">
          <a:extLst>
            <a:ext uri="{FF2B5EF4-FFF2-40B4-BE49-F238E27FC236}">
              <a16:creationId xmlns:a16="http://schemas.microsoft.com/office/drawing/2014/main" id="{ADE7952F-A6AE-44DE-B9C2-36760B7AFC41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539" name="AutoShape 1">
          <a:extLst>
            <a:ext uri="{FF2B5EF4-FFF2-40B4-BE49-F238E27FC236}">
              <a16:creationId xmlns:a16="http://schemas.microsoft.com/office/drawing/2014/main" id="{AF21C0C0-2CDB-462D-A58E-926789F7F463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540" name="AutoShape 1">
          <a:extLst>
            <a:ext uri="{FF2B5EF4-FFF2-40B4-BE49-F238E27FC236}">
              <a16:creationId xmlns:a16="http://schemas.microsoft.com/office/drawing/2014/main" id="{F45DD190-3FD3-431A-9402-7E80C7177229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541" name="AutoShape 1">
          <a:extLst>
            <a:ext uri="{FF2B5EF4-FFF2-40B4-BE49-F238E27FC236}">
              <a16:creationId xmlns:a16="http://schemas.microsoft.com/office/drawing/2014/main" id="{759EFF34-646F-4D2E-876D-18F9E9DD54E1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542" name="AutoShape 1">
          <a:extLst>
            <a:ext uri="{FF2B5EF4-FFF2-40B4-BE49-F238E27FC236}">
              <a16:creationId xmlns:a16="http://schemas.microsoft.com/office/drawing/2014/main" id="{15B142AE-4796-4851-84D5-8F5E2D11ED5E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543" name="AutoShape 1">
          <a:extLst>
            <a:ext uri="{FF2B5EF4-FFF2-40B4-BE49-F238E27FC236}">
              <a16:creationId xmlns:a16="http://schemas.microsoft.com/office/drawing/2014/main" id="{0E70F8EB-1832-473B-8C4B-2829D7EA14E1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544" name="AutoShape 1">
          <a:extLst>
            <a:ext uri="{FF2B5EF4-FFF2-40B4-BE49-F238E27FC236}">
              <a16:creationId xmlns:a16="http://schemas.microsoft.com/office/drawing/2014/main" id="{C08B5264-2053-42B4-8238-34A912A7838F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545" name="AutoShape 1">
          <a:extLst>
            <a:ext uri="{FF2B5EF4-FFF2-40B4-BE49-F238E27FC236}">
              <a16:creationId xmlns:a16="http://schemas.microsoft.com/office/drawing/2014/main" id="{8EE9D98D-962B-440F-A030-526F703CABC1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546" name="AutoShape 1">
          <a:extLst>
            <a:ext uri="{FF2B5EF4-FFF2-40B4-BE49-F238E27FC236}">
              <a16:creationId xmlns:a16="http://schemas.microsoft.com/office/drawing/2014/main" id="{99687D92-5079-4DFE-8588-2ADEEB4EE18E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547" name="AutoShape 1">
          <a:extLst>
            <a:ext uri="{FF2B5EF4-FFF2-40B4-BE49-F238E27FC236}">
              <a16:creationId xmlns:a16="http://schemas.microsoft.com/office/drawing/2014/main" id="{0D2A29D7-7571-4755-82D2-3D9F03D0E1EF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548" name="AutoShape 1">
          <a:extLst>
            <a:ext uri="{FF2B5EF4-FFF2-40B4-BE49-F238E27FC236}">
              <a16:creationId xmlns:a16="http://schemas.microsoft.com/office/drawing/2014/main" id="{39E9558A-40A7-4D95-80FF-4DE29C431494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549" name="AutoShape 1">
          <a:extLst>
            <a:ext uri="{FF2B5EF4-FFF2-40B4-BE49-F238E27FC236}">
              <a16:creationId xmlns:a16="http://schemas.microsoft.com/office/drawing/2014/main" id="{38BA7986-1B09-46CB-8F38-D857E394764C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550" name="AutoShape 1">
          <a:extLst>
            <a:ext uri="{FF2B5EF4-FFF2-40B4-BE49-F238E27FC236}">
              <a16:creationId xmlns:a16="http://schemas.microsoft.com/office/drawing/2014/main" id="{32E304E1-789D-4541-9532-A13E4AB8D446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551" name="AutoShape 1">
          <a:extLst>
            <a:ext uri="{FF2B5EF4-FFF2-40B4-BE49-F238E27FC236}">
              <a16:creationId xmlns:a16="http://schemas.microsoft.com/office/drawing/2014/main" id="{E6E6A83F-B874-4A0E-BA5C-FADB568DB117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552" name="AutoShape 1">
          <a:extLst>
            <a:ext uri="{FF2B5EF4-FFF2-40B4-BE49-F238E27FC236}">
              <a16:creationId xmlns:a16="http://schemas.microsoft.com/office/drawing/2014/main" id="{CA5FB367-5C67-4D0D-AA68-3E74C796B6BF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553" name="AutoShape 1">
          <a:extLst>
            <a:ext uri="{FF2B5EF4-FFF2-40B4-BE49-F238E27FC236}">
              <a16:creationId xmlns:a16="http://schemas.microsoft.com/office/drawing/2014/main" id="{B37930DC-903D-4FE9-8CEA-F0967038F33C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554" name="AutoShape 1">
          <a:extLst>
            <a:ext uri="{FF2B5EF4-FFF2-40B4-BE49-F238E27FC236}">
              <a16:creationId xmlns:a16="http://schemas.microsoft.com/office/drawing/2014/main" id="{695E752D-E3A2-4D48-83F3-247D4BA63C88}"/>
            </a:ext>
            <a:ext uri="{147F2762-F138-4A5C-976F-8EAC2B608ADB}">
              <a16:predDERef xmlns:a16="http://schemas.microsoft.com/office/drawing/2014/main" pred="{A9C9C4DB-4B97-447C-9099-E87BCB3C537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555" name="AutoShape 1">
          <a:extLst>
            <a:ext uri="{FF2B5EF4-FFF2-40B4-BE49-F238E27FC236}">
              <a16:creationId xmlns:a16="http://schemas.microsoft.com/office/drawing/2014/main" id="{C515F12D-C89A-4F6B-938E-A58073AD94BD}"/>
            </a:ext>
            <a:ext uri="{147F2762-F138-4A5C-976F-8EAC2B608ADB}">
              <a16:predDERef xmlns:a16="http://schemas.microsoft.com/office/drawing/2014/main" pred="{CD89554D-BD76-42AD-819A-278AD445B86E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556" name="AutoShape 1">
          <a:extLst>
            <a:ext uri="{FF2B5EF4-FFF2-40B4-BE49-F238E27FC236}">
              <a16:creationId xmlns:a16="http://schemas.microsoft.com/office/drawing/2014/main" id="{47FA5BAD-4B3B-4AEE-BD85-A708B74CF297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557" name="AutoShape 1">
          <a:extLst>
            <a:ext uri="{FF2B5EF4-FFF2-40B4-BE49-F238E27FC236}">
              <a16:creationId xmlns:a16="http://schemas.microsoft.com/office/drawing/2014/main" id="{F814123E-0281-4285-8304-DB9EA765FA7B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558" name="AutoShape 1">
          <a:extLst>
            <a:ext uri="{FF2B5EF4-FFF2-40B4-BE49-F238E27FC236}">
              <a16:creationId xmlns:a16="http://schemas.microsoft.com/office/drawing/2014/main" id="{84DFE23E-7659-4553-AFCD-0A40DB6C8706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559" name="AutoShape 1">
          <a:extLst>
            <a:ext uri="{FF2B5EF4-FFF2-40B4-BE49-F238E27FC236}">
              <a16:creationId xmlns:a16="http://schemas.microsoft.com/office/drawing/2014/main" id="{AB318091-32DD-4141-B174-B72DA474E2C3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560" name="AutoShape 1">
          <a:extLst>
            <a:ext uri="{FF2B5EF4-FFF2-40B4-BE49-F238E27FC236}">
              <a16:creationId xmlns:a16="http://schemas.microsoft.com/office/drawing/2014/main" id="{5096D898-AF1B-4894-B0C6-DD26C2099883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561" name="AutoShape 1">
          <a:extLst>
            <a:ext uri="{FF2B5EF4-FFF2-40B4-BE49-F238E27FC236}">
              <a16:creationId xmlns:a16="http://schemas.microsoft.com/office/drawing/2014/main" id="{E1293C56-7DC8-4C96-A32C-72198DB1228B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562" name="AutoShape 1">
          <a:extLst>
            <a:ext uri="{FF2B5EF4-FFF2-40B4-BE49-F238E27FC236}">
              <a16:creationId xmlns:a16="http://schemas.microsoft.com/office/drawing/2014/main" id="{2A8736AC-C201-4021-84EA-7D83F33ABAEF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563" name="AutoShape 1">
          <a:extLst>
            <a:ext uri="{FF2B5EF4-FFF2-40B4-BE49-F238E27FC236}">
              <a16:creationId xmlns:a16="http://schemas.microsoft.com/office/drawing/2014/main" id="{6CDB834F-AB4B-4253-BFAF-ED328E255C2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564" name="AutoShape 1">
          <a:extLst>
            <a:ext uri="{FF2B5EF4-FFF2-40B4-BE49-F238E27FC236}">
              <a16:creationId xmlns:a16="http://schemas.microsoft.com/office/drawing/2014/main" id="{F820D189-02EB-4F03-910E-54416C5EF94D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565" name="AutoShape 1">
          <a:extLst>
            <a:ext uri="{FF2B5EF4-FFF2-40B4-BE49-F238E27FC236}">
              <a16:creationId xmlns:a16="http://schemas.microsoft.com/office/drawing/2014/main" id="{74389F06-85D3-4C91-9A42-5C3D466C1063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566" name="AutoShape 1">
          <a:extLst>
            <a:ext uri="{FF2B5EF4-FFF2-40B4-BE49-F238E27FC236}">
              <a16:creationId xmlns:a16="http://schemas.microsoft.com/office/drawing/2014/main" id="{2C376B34-4DC8-4C3E-B797-2E9D8E5B324D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567" name="AutoShape 1">
          <a:extLst>
            <a:ext uri="{FF2B5EF4-FFF2-40B4-BE49-F238E27FC236}">
              <a16:creationId xmlns:a16="http://schemas.microsoft.com/office/drawing/2014/main" id="{55D1D080-7F4A-4D23-8840-0FCF2049B3E7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568" name="AutoShape 1">
          <a:extLst>
            <a:ext uri="{FF2B5EF4-FFF2-40B4-BE49-F238E27FC236}">
              <a16:creationId xmlns:a16="http://schemas.microsoft.com/office/drawing/2014/main" id="{24F02E10-3DE8-45F9-8275-890473FEC374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569" name="AutoShape 1">
          <a:extLst>
            <a:ext uri="{FF2B5EF4-FFF2-40B4-BE49-F238E27FC236}">
              <a16:creationId xmlns:a16="http://schemas.microsoft.com/office/drawing/2014/main" id="{E6164674-01FF-4B78-B1F6-D25530E33373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570" name="AutoShape 1">
          <a:extLst>
            <a:ext uri="{FF2B5EF4-FFF2-40B4-BE49-F238E27FC236}">
              <a16:creationId xmlns:a16="http://schemas.microsoft.com/office/drawing/2014/main" id="{1BB034FF-9D45-47D2-9C0F-584363F380B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571" name="AutoShape 1">
          <a:extLst>
            <a:ext uri="{FF2B5EF4-FFF2-40B4-BE49-F238E27FC236}">
              <a16:creationId xmlns:a16="http://schemas.microsoft.com/office/drawing/2014/main" id="{65AE81B2-D5B5-4546-A8AC-9DE1A96D74A9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572" name="AutoShape 1">
          <a:extLst>
            <a:ext uri="{FF2B5EF4-FFF2-40B4-BE49-F238E27FC236}">
              <a16:creationId xmlns:a16="http://schemas.microsoft.com/office/drawing/2014/main" id="{2899BD51-3321-4AF4-A49E-77460FEE1D8F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573" name="AutoShape 1">
          <a:extLst>
            <a:ext uri="{FF2B5EF4-FFF2-40B4-BE49-F238E27FC236}">
              <a16:creationId xmlns:a16="http://schemas.microsoft.com/office/drawing/2014/main" id="{78F0FFB4-B75F-4993-AA94-C7A7068B2B72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574" name="AutoShape 1">
          <a:extLst>
            <a:ext uri="{FF2B5EF4-FFF2-40B4-BE49-F238E27FC236}">
              <a16:creationId xmlns:a16="http://schemas.microsoft.com/office/drawing/2014/main" id="{C48C9AEA-B451-40CE-B148-744809B4E80F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575" name="AutoShape 1">
          <a:extLst>
            <a:ext uri="{FF2B5EF4-FFF2-40B4-BE49-F238E27FC236}">
              <a16:creationId xmlns:a16="http://schemas.microsoft.com/office/drawing/2014/main" id="{67E14332-0703-4055-A658-406381485CD4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576" name="AutoShape 1">
          <a:extLst>
            <a:ext uri="{FF2B5EF4-FFF2-40B4-BE49-F238E27FC236}">
              <a16:creationId xmlns:a16="http://schemas.microsoft.com/office/drawing/2014/main" id="{DFB6C7FA-9900-4B5D-A952-344148B777FC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577" name="AutoShape 1">
          <a:extLst>
            <a:ext uri="{FF2B5EF4-FFF2-40B4-BE49-F238E27FC236}">
              <a16:creationId xmlns:a16="http://schemas.microsoft.com/office/drawing/2014/main" id="{4F0DA4B0-4D82-481B-8C15-578220A88CCA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578" name="AutoShape 1">
          <a:extLst>
            <a:ext uri="{FF2B5EF4-FFF2-40B4-BE49-F238E27FC236}">
              <a16:creationId xmlns:a16="http://schemas.microsoft.com/office/drawing/2014/main" id="{D6E23B26-488F-4A4A-9654-520060626662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579" name="AutoShape 1">
          <a:extLst>
            <a:ext uri="{FF2B5EF4-FFF2-40B4-BE49-F238E27FC236}">
              <a16:creationId xmlns:a16="http://schemas.microsoft.com/office/drawing/2014/main" id="{D8902C3B-BE13-449A-8DCA-ADD29794C211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580" name="AutoShape 1">
          <a:extLst>
            <a:ext uri="{FF2B5EF4-FFF2-40B4-BE49-F238E27FC236}">
              <a16:creationId xmlns:a16="http://schemas.microsoft.com/office/drawing/2014/main" id="{AEB06E07-0039-4701-BC82-6D44C8D54E00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581" name="AutoShape 1">
          <a:extLst>
            <a:ext uri="{FF2B5EF4-FFF2-40B4-BE49-F238E27FC236}">
              <a16:creationId xmlns:a16="http://schemas.microsoft.com/office/drawing/2014/main" id="{DAA84FF0-7249-490A-BB16-9A80031C8F27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582" name="AutoShape 1">
          <a:extLst>
            <a:ext uri="{FF2B5EF4-FFF2-40B4-BE49-F238E27FC236}">
              <a16:creationId xmlns:a16="http://schemas.microsoft.com/office/drawing/2014/main" id="{83A8E107-186F-4F42-B45D-7BBC7546D584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583" name="AutoShape 1">
          <a:extLst>
            <a:ext uri="{FF2B5EF4-FFF2-40B4-BE49-F238E27FC236}">
              <a16:creationId xmlns:a16="http://schemas.microsoft.com/office/drawing/2014/main" id="{33C98638-2721-4BFC-8169-F07951BCA504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584" name="AutoShape 1">
          <a:extLst>
            <a:ext uri="{FF2B5EF4-FFF2-40B4-BE49-F238E27FC236}">
              <a16:creationId xmlns:a16="http://schemas.microsoft.com/office/drawing/2014/main" id="{2B61E158-74DB-40B8-96C0-7D5CB5FB68B8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585" name="AutoShape 1">
          <a:extLst>
            <a:ext uri="{FF2B5EF4-FFF2-40B4-BE49-F238E27FC236}">
              <a16:creationId xmlns:a16="http://schemas.microsoft.com/office/drawing/2014/main" id="{4F58B75D-D10B-4745-8178-E6A3C4F47744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586" name="AutoShape 1">
          <a:extLst>
            <a:ext uri="{FF2B5EF4-FFF2-40B4-BE49-F238E27FC236}">
              <a16:creationId xmlns:a16="http://schemas.microsoft.com/office/drawing/2014/main" id="{B3FE3333-F4D6-4B52-855E-3CFDA33CB3B9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587" name="AutoShape 1">
          <a:extLst>
            <a:ext uri="{FF2B5EF4-FFF2-40B4-BE49-F238E27FC236}">
              <a16:creationId xmlns:a16="http://schemas.microsoft.com/office/drawing/2014/main" id="{DD20B0DE-A631-4408-B151-FC22C3CF39BD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588" name="AutoShape 1">
          <a:extLst>
            <a:ext uri="{FF2B5EF4-FFF2-40B4-BE49-F238E27FC236}">
              <a16:creationId xmlns:a16="http://schemas.microsoft.com/office/drawing/2014/main" id="{D2000B96-FFA8-496A-9C13-A8759C11F876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589" name="AutoShape 1">
          <a:extLst>
            <a:ext uri="{FF2B5EF4-FFF2-40B4-BE49-F238E27FC236}">
              <a16:creationId xmlns:a16="http://schemas.microsoft.com/office/drawing/2014/main" id="{A162E12A-2A9F-46DD-87F0-1C2C3AB01EDB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590" name="AutoShape 1">
          <a:extLst>
            <a:ext uri="{FF2B5EF4-FFF2-40B4-BE49-F238E27FC236}">
              <a16:creationId xmlns:a16="http://schemas.microsoft.com/office/drawing/2014/main" id="{9D372A5A-05AE-4032-8FF6-449FF70125DF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591" name="AutoShape 1">
          <a:extLst>
            <a:ext uri="{FF2B5EF4-FFF2-40B4-BE49-F238E27FC236}">
              <a16:creationId xmlns:a16="http://schemas.microsoft.com/office/drawing/2014/main" id="{BADE8D6C-845A-4C9A-8F58-6DF37BC28D5B}"/>
            </a:ext>
            <a:ext uri="{147F2762-F138-4A5C-976F-8EAC2B608ADB}">
              <a16:predDERef xmlns:a16="http://schemas.microsoft.com/office/drawing/2014/main" pred="{A9C9C4DB-4B97-447C-9099-E87BCB3C537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592" name="AutoShape 1">
          <a:extLst>
            <a:ext uri="{FF2B5EF4-FFF2-40B4-BE49-F238E27FC236}">
              <a16:creationId xmlns:a16="http://schemas.microsoft.com/office/drawing/2014/main" id="{879EAEC7-5ED5-47E4-9563-A77755304EFE}"/>
            </a:ext>
            <a:ext uri="{147F2762-F138-4A5C-976F-8EAC2B608ADB}">
              <a16:predDERef xmlns:a16="http://schemas.microsoft.com/office/drawing/2014/main" pred="{CD89554D-BD76-42AD-819A-278AD445B86E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593" name="AutoShape 1">
          <a:extLst>
            <a:ext uri="{FF2B5EF4-FFF2-40B4-BE49-F238E27FC236}">
              <a16:creationId xmlns:a16="http://schemas.microsoft.com/office/drawing/2014/main" id="{C23C0237-0B73-4B59-866D-6DBEF06B533E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594" name="AutoShape 1">
          <a:extLst>
            <a:ext uri="{FF2B5EF4-FFF2-40B4-BE49-F238E27FC236}">
              <a16:creationId xmlns:a16="http://schemas.microsoft.com/office/drawing/2014/main" id="{3FB8FF3C-2EB0-49AC-8722-EC392B51AFE9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595" name="AutoShape 1">
          <a:extLst>
            <a:ext uri="{FF2B5EF4-FFF2-40B4-BE49-F238E27FC236}">
              <a16:creationId xmlns:a16="http://schemas.microsoft.com/office/drawing/2014/main" id="{2368DD33-3B53-4C25-B4B9-E7200FF85D36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596" name="AutoShape 1">
          <a:extLst>
            <a:ext uri="{FF2B5EF4-FFF2-40B4-BE49-F238E27FC236}">
              <a16:creationId xmlns:a16="http://schemas.microsoft.com/office/drawing/2014/main" id="{FE4628F8-5B3B-42B7-9062-FB052819B7E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597" name="AutoShape 1">
          <a:extLst>
            <a:ext uri="{FF2B5EF4-FFF2-40B4-BE49-F238E27FC236}">
              <a16:creationId xmlns:a16="http://schemas.microsoft.com/office/drawing/2014/main" id="{4E7D3A34-2F42-4541-9F87-4AEEC80E544F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598" name="AutoShape 1">
          <a:extLst>
            <a:ext uri="{FF2B5EF4-FFF2-40B4-BE49-F238E27FC236}">
              <a16:creationId xmlns:a16="http://schemas.microsoft.com/office/drawing/2014/main" id="{D003A665-BEAC-4D8B-B2EE-7DCBD7B5C55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599" name="AutoShape 1">
          <a:extLst>
            <a:ext uri="{FF2B5EF4-FFF2-40B4-BE49-F238E27FC236}">
              <a16:creationId xmlns:a16="http://schemas.microsoft.com/office/drawing/2014/main" id="{F601E510-F582-4A97-A7D2-6AFD33C0677B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600" name="AutoShape 1">
          <a:extLst>
            <a:ext uri="{FF2B5EF4-FFF2-40B4-BE49-F238E27FC236}">
              <a16:creationId xmlns:a16="http://schemas.microsoft.com/office/drawing/2014/main" id="{AE518BCF-923F-4B68-9E4C-5DB7A885A17F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601" name="AutoShape 1">
          <a:extLst>
            <a:ext uri="{FF2B5EF4-FFF2-40B4-BE49-F238E27FC236}">
              <a16:creationId xmlns:a16="http://schemas.microsoft.com/office/drawing/2014/main" id="{4C1285C1-B58F-45F4-B02B-B9EF4019DE27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602" name="AutoShape 1">
          <a:extLst>
            <a:ext uri="{FF2B5EF4-FFF2-40B4-BE49-F238E27FC236}">
              <a16:creationId xmlns:a16="http://schemas.microsoft.com/office/drawing/2014/main" id="{AB0D3916-0F01-4EA3-924F-D4E812B60BB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603" name="AutoShape 1">
          <a:extLst>
            <a:ext uri="{FF2B5EF4-FFF2-40B4-BE49-F238E27FC236}">
              <a16:creationId xmlns:a16="http://schemas.microsoft.com/office/drawing/2014/main" id="{72D980B5-A711-479A-B8C4-503799798D9C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604" name="AutoShape 1">
          <a:extLst>
            <a:ext uri="{FF2B5EF4-FFF2-40B4-BE49-F238E27FC236}">
              <a16:creationId xmlns:a16="http://schemas.microsoft.com/office/drawing/2014/main" id="{86ECE11B-889B-4E53-B5D2-F92FC7EDEA57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605" name="AutoShape 1">
          <a:extLst>
            <a:ext uri="{FF2B5EF4-FFF2-40B4-BE49-F238E27FC236}">
              <a16:creationId xmlns:a16="http://schemas.microsoft.com/office/drawing/2014/main" id="{13340E10-A3C4-4653-B43F-8257FB79BF9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606" name="AutoShape 1">
          <a:extLst>
            <a:ext uri="{FF2B5EF4-FFF2-40B4-BE49-F238E27FC236}">
              <a16:creationId xmlns:a16="http://schemas.microsoft.com/office/drawing/2014/main" id="{5DEF4762-07B0-4F42-8257-F248AF46A5CC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607" name="AutoShape 1">
          <a:extLst>
            <a:ext uri="{FF2B5EF4-FFF2-40B4-BE49-F238E27FC236}">
              <a16:creationId xmlns:a16="http://schemas.microsoft.com/office/drawing/2014/main" id="{B2CF76BA-CD64-4A08-AF33-4E3E7A8A9A7D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608" name="AutoShape 1">
          <a:extLst>
            <a:ext uri="{FF2B5EF4-FFF2-40B4-BE49-F238E27FC236}">
              <a16:creationId xmlns:a16="http://schemas.microsoft.com/office/drawing/2014/main" id="{772C8807-0419-41DB-AFFE-69CE93096D8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609" name="AutoShape 1">
          <a:extLst>
            <a:ext uri="{FF2B5EF4-FFF2-40B4-BE49-F238E27FC236}">
              <a16:creationId xmlns:a16="http://schemas.microsoft.com/office/drawing/2014/main" id="{22AB5DCC-F85C-4359-BF6D-7FB41052C2EE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610" name="AutoShape 1">
          <a:extLst>
            <a:ext uri="{FF2B5EF4-FFF2-40B4-BE49-F238E27FC236}">
              <a16:creationId xmlns:a16="http://schemas.microsoft.com/office/drawing/2014/main" id="{334F892B-1C7A-464B-B006-7CD9CCF1F1E1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611" name="AutoShape 1">
          <a:extLst>
            <a:ext uri="{FF2B5EF4-FFF2-40B4-BE49-F238E27FC236}">
              <a16:creationId xmlns:a16="http://schemas.microsoft.com/office/drawing/2014/main" id="{9553515E-C4A1-46FD-AF45-4D840163CD0A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612" name="AutoShape 1">
          <a:extLst>
            <a:ext uri="{FF2B5EF4-FFF2-40B4-BE49-F238E27FC236}">
              <a16:creationId xmlns:a16="http://schemas.microsoft.com/office/drawing/2014/main" id="{9683A6BB-B610-4CD4-A3AF-EADE5B64CD02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613" name="AutoShape 1">
          <a:extLst>
            <a:ext uri="{FF2B5EF4-FFF2-40B4-BE49-F238E27FC236}">
              <a16:creationId xmlns:a16="http://schemas.microsoft.com/office/drawing/2014/main" id="{B943EE78-4F4B-430F-9DB1-DF5F09588B39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614" name="AutoShape 1">
          <a:extLst>
            <a:ext uri="{FF2B5EF4-FFF2-40B4-BE49-F238E27FC236}">
              <a16:creationId xmlns:a16="http://schemas.microsoft.com/office/drawing/2014/main" id="{5E89210A-200A-45DC-BAA1-27D5090036DD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615" name="AutoShape 1">
          <a:extLst>
            <a:ext uri="{FF2B5EF4-FFF2-40B4-BE49-F238E27FC236}">
              <a16:creationId xmlns:a16="http://schemas.microsoft.com/office/drawing/2014/main" id="{72764062-2506-4034-85F3-D8FE18EBBE12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616" name="AutoShape 1">
          <a:extLst>
            <a:ext uri="{FF2B5EF4-FFF2-40B4-BE49-F238E27FC236}">
              <a16:creationId xmlns:a16="http://schemas.microsoft.com/office/drawing/2014/main" id="{D4736440-2E41-40FD-829F-4A57FFD12D4F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617" name="AutoShape 1">
          <a:extLst>
            <a:ext uri="{FF2B5EF4-FFF2-40B4-BE49-F238E27FC236}">
              <a16:creationId xmlns:a16="http://schemas.microsoft.com/office/drawing/2014/main" id="{5D84A388-5554-43EC-92C8-8F03450B8107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618" name="AutoShape 1">
          <a:extLst>
            <a:ext uri="{FF2B5EF4-FFF2-40B4-BE49-F238E27FC236}">
              <a16:creationId xmlns:a16="http://schemas.microsoft.com/office/drawing/2014/main" id="{ABFF5279-AED6-4946-90E4-09E37564B8C5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619" name="AutoShape 1">
          <a:extLst>
            <a:ext uri="{FF2B5EF4-FFF2-40B4-BE49-F238E27FC236}">
              <a16:creationId xmlns:a16="http://schemas.microsoft.com/office/drawing/2014/main" id="{251B29F2-0D50-4DBD-8FB6-95CD07687BFE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620" name="AutoShape 1">
          <a:extLst>
            <a:ext uri="{FF2B5EF4-FFF2-40B4-BE49-F238E27FC236}">
              <a16:creationId xmlns:a16="http://schemas.microsoft.com/office/drawing/2014/main" id="{B9AC147E-7167-4556-A4FB-66269A18D32D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621" name="AutoShape 1">
          <a:extLst>
            <a:ext uri="{FF2B5EF4-FFF2-40B4-BE49-F238E27FC236}">
              <a16:creationId xmlns:a16="http://schemas.microsoft.com/office/drawing/2014/main" id="{91D1F1F3-FAE2-42CE-A567-AA35DB756698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622" name="AutoShape 1">
          <a:extLst>
            <a:ext uri="{FF2B5EF4-FFF2-40B4-BE49-F238E27FC236}">
              <a16:creationId xmlns:a16="http://schemas.microsoft.com/office/drawing/2014/main" id="{493A568D-B8A2-4246-99B2-68A4544E7E41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623" name="AutoShape 1">
          <a:extLst>
            <a:ext uri="{FF2B5EF4-FFF2-40B4-BE49-F238E27FC236}">
              <a16:creationId xmlns:a16="http://schemas.microsoft.com/office/drawing/2014/main" id="{8B130B2B-2500-4FC8-AAC3-716E9923F1EB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624" name="AutoShape 1">
          <a:extLst>
            <a:ext uri="{FF2B5EF4-FFF2-40B4-BE49-F238E27FC236}">
              <a16:creationId xmlns:a16="http://schemas.microsoft.com/office/drawing/2014/main" id="{24BACB42-DA4C-4BB8-935F-46F0D08CEE85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625" name="AutoShape 1">
          <a:extLst>
            <a:ext uri="{FF2B5EF4-FFF2-40B4-BE49-F238E27FC236}">
              <a16:creationId xmlns:a16="http://schemas.microsoft.com/office/drawing/2014/main" id="{397C98B8-CE1F-4516-BE78-454E71A11FE7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626" name="AutoShape 1">
          <a:extLst>
            <a:ext uri="{FF2B5EF4-FFF2-40B4-BE49-F238E27FC236}">
              <a16:creationId xmlns:a16="http://schemas.microsoft.com/office/drawing/2014/main" id="{CEEBA678-CDAB-44E3-9301-9D575716AAF0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627" name="AutoShape 1">
          <a:extLst>
            <a:ext uri="{FF2B5EF4-FFF2-40B4-BE49-F238E27FC236}">
              <a16:creationId xmlns:a16="http://schemas.microsoft.com/office/drawing/2014/main" id="{4FC4DCB3-C5F4-4182-BAF9-293258B0519C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628" name="AutoShape 1">
          <a:extLst>
            <a:ext uri="{FF2B5EF4-FFF2-40B4-BE49-F238E27FC236}">
              <a16:creationId xmlns:a16="http://schemas.microsoft.com/office/drawing/2014/main" id="{AA3E64F5-1C82-4CEE-8056-87440A145578}"/>
            </a:ext>
            <a:ext uri="{147F2762-F138-4A5C-976F-8EAC2B608ADB}">
              <a16:predDERef xmlns:a16="http://schemas.microsoft.com/office/drawing/2014/main" pred="{A9C9C4DB-4B97-447C-9099-E87BCB3C537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629" name="AutoShape 1">
          <a:extLst>
            <a:ext uri="{FF2B5EF4-FFF2-40B4-BE49-F238E27FC236}">
              <a16:creationId xmlns:a16="http://schemas.microsoft.com/office/drawing/2014/main" id="{A7D3762C-3639-4EC8-986A-D302E60EE021}"/>
            </a:ext>
            <a:ext uri="{147F2762-F138-4A5C-976F-8EAC2B608ADB}">
              <a16:predDERef xmlns:a16="http://schemas.microsoft.com/office/drawing/2014/main" pred="{CD89554D-BD76-42AD-819A-278AD445B86E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630" name="AutoShape 1">
          <a:extLst>
            <a:ext uri="{FF2B5EF4-FFF2-40B4-BE49-F238E27FC236}">
              <a16:creationId xmlns:a16="http://schemas.microsoft.com/office/drawing/2014/main" id="{5AD1E719-3B38-4572-AFD5-A3641974DA0E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631" name="AutoShape 1">
          <a:extLst>
            <a:ext uri="{FF2B5EF4-FFF2-40B4-BE49-F238E27FC236}">
              <a16:creationId xmlns:a16="http://schemas.microsoft.com/office/drawing/2014/main" id="{898E0859-0D59-4A0E-8721-4CD801FE561E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632" name="AutoShape 1">
          <a:extLst>
            <a:ext uri="{FF2B5EF4-FFF2-40B4-BE49-F238E27FC236}">
              <a16:creationId xmlns:a16="http://schemas.microsoft.com/office/drawing/2014/main" id="{18BF8988-7A1B-4349-ACC2-B23D9B5B3447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633" name="AutoShape 1">
          <a:extLst>
            <a:ext uri="{FF2B5EF4-FFF2-40B4-BE49-F238E27FC236}">
              <a16:creationId xmlns:a16="http://schemas.microsoft.com/office/drawing/2014/main" id="{59F49EBB-55AB-4E82-83C5-4C0B39A2C91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634" name="AutoShape 1">
          <a:extLst>
            <a:ext uri="{FF2B5EF4-FFF2-40B4-BE49-F238E27FC236}">
              <a16:creationId xmlns:a16="http://schemas.microsoft.com/office/drawing/2014/main" id="{0E21CA29-16A8-47B8-8AFE-E0C1F0744F7B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635" name="AutoShape 1">
          <a:extLst>
            <a:ext uri="{FF2B5EF4-FFF2-40B4-BE49-F238E27FC236}">
              <a16:creationId xmlns:a16="http://schemas.microsoft.com/office/drawing/2014/main" id="{DA5B6DAE-F710-405D-B75B-8F0E4A8442DA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636" name="AutoShape 1">
          <a:extLst>
            <a:ext uri="{FF2B5EF4-FFF2-40B4-BE49-F238E27FC236}">
              <a16:creationId xmlns:a16="http://schemas.microsoft.com/office/drawing/2014/main" id="{74E084D9-008F-4859-B323-49FD9C4CA323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637" name="AutoShape 1">
          <a:extLst>
            <a:ext uri="{FF2B5EF4-FFF2-40B4-BE49-F238E27FC236}">
              <a16:creationId xmlns:a16="http://schemas.microsoft.com/office/drawing/2014/main" id="{3607BA48-9503-44A1-BD39-2D681E9279AD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638" name="AutoShape 1">
          <a:extLst>
            <a:ext uri="{FF2B5EF4-FFF2-40B4-BE49-F238E27FC236}">
              <a16:creationId xmlns:a16="http://schemas.microsoft.com/office/drawing/2014/main" id="{96D961CF-CB0F-4392-8F23-2EB0ADA91C5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639" name="AutoShape 1">
          <a:extLst>
            <a:ext uri="{FF2B5EF4-FFF2-40B4-BE49-F238E27FC236}">
              <a16:creationId xmlns:a16="http://schemas.microsoft.com/office/drawing/2014/main" id="{B0D54BCB-8842-493E-A7D5-4FAD17EC5924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640" name="AutoShape 1">
          <a:extLst>
            <a:ext uri="{FF2B5EF4-FFF2-40B4-BE49-F238E27FC236}">
              <a16:creationId xmlns:a16="http://schemas.microsoft.com/office/drawing/2014/main" id="{21CE70F5-B7EE-4BFF-B8E2-2F88BEF22333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641" name="AutoShape 1">
          <a:extLst>
            <a:ext uri="{FF2B5EF4-FFF2-40B4-BE49-F238E27FC236}">
              <a16:creationId xmlns:a16="http://schemas.microsoft.com/office/drawing/2014/main" id="{3434F8BD-6C8F-404B-A694-E9205CEB27F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642" name="AutoShape 1">
          <a:extLst>
            <a:ext uri="{FF2B5EF4-FFF2-40B4-BE49-F238E27FC236}">
              <a16:creationId xmlns:a16="http://schemas.microsoft.com/office/drawing/2014/main" id="{11550493-B161-4FBF-8ABD-EAB86F204F04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643" name="AutoShape 1">
          <a:extLst>
            <a:ext uri="{FF2B5EF4-FFF2-40B4-BE49-F238E27FC236}">
              <a16:creationId xmlns:a16="http://schemas.microsoft.com/office/drawing/2014/main" id="{8487ADAB-BD12-4A7B-83CB-F7A33E184D66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644" name="AutoShape 1">
          <a:extLst>
            <a:ext uri="{FF2B5EF4-FFF2-40B4-BE49-F238E27FC236}">
              <a16:creationId xmlns:a16="http://schemas.microsoft.com/office/drawing/2014/main" id="{4B0D7786-1CDD-47FE-82D4-A92AC699963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645" name="AutoShape 1">
          <a:extLst>
            <a:ext uri="{FF2B5EF4-FFF2-40B4-BE49-F238E27FC236}">
              <a16:creationId xmlns:a16="http://schemas.microsoft.com/office/drawing/2014/main" id="{66AA8F86-131C-48FE-851D-8B0EC623427F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646" name="AutoShape 1">
          <a:extLst>
            <a:ext uri="{FF2B5EF4-FFF2-40B4-BE49-F238E27FC236}">
              <a16:creationId xmlns:a16="http://schemas.microsoft.com/office/drawing/2014/main" id="{FB4AC79C-044D-4AD5-A04C-AD202766F975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647" name="AutoShape 1">
          <a:extLst>
            <a:ext uri="{FF2B5EF4-FFF2-40B4-BE49-F238E27FC236}">
              <a16:creationId xmlns:a16="http://schemas.microsoft.com/office/drawing/2014/main" id="{026966DB-EFFE-4AD8-B3AE-BA72CFD54B50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648" name="AutoShape 1">
          <a:extLst>
            <a:ext uri="{FF2B5EF4-FFF2-40B4-BE49-F238E27FC236}">
              <a16:creationId xmlns:a16="http://schemas.microsoft.com/office/drawing/2014/main" id="{6C6D445A-CE15-48FC-A4FA-6159BF04409B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649" name="AutoShape 1">
          <a:extLst>
            <a:ext uri="{FF2B5EF4-FFF2-40B4-BE49-F238E27FC236}">
              <a16:creationId xmlns:a16="http://schemas.microsoft.com/office/drawing/2014/main" id="{0F2E535E-ACF5-47A8-9202-F2530F63D67F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650" name="AutoShape 1">
          <a:extLst>
            <a:ext uri="{FF2B5EF4-FFF2-40B4-BE49-F238E27FC236}">
              <a16:creationId xmlns:a16="http://schemas.microsoft.com/office/drawing/2014/main" id="{0F73EEF8-6971-4576-9CF5-5C81FBB2F9C3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651" name="AutoShape 1">
          <a:extLst>
            <a:ext uri="{FF2B5EF4-FFF2-40B4-BE49-F238E27FC236}">
              <a16:creationId xmlns:a16="http://schemas.microsoft.com/office/drawing/2014/main" id="{1B8F3108-0653-47B6-A133-D53CD060622B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652" name="AutoShape 1">
          <a:extLst>
            <a:ext uri="{FF2B5EF4-FFF2-40B4-BE49-F238E27FC236}">
              <a16:creationId xmlns:a16="http://schemas.microsoft.com/office/drawing/2014/main" id="{5D0C3ECC-5AD6-4FC4-AC1E-B4FFBC3A0F15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653" name="AutoShape 1">
          <a:extLst>
            <a:ext uri="{FF2B5EF4-FFF2-40B4-BE49-F238E27FC236}">
              <a16:creationId xmlns:a16="http://schemas.microsoft.com/office/drawing/2014/main" id="{14014ED0-7531-4045-83D5-D80E6D9BA61B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654" name="AutoShape 1">
          <a:extLst>
            <a:ext uri="{FF2B5EF4-FFF2-40B4-BE49-F238E27FC236}">
              <a16:creationId xmlns:a16="http://schemas.microsoft.com/office/drawing/2014/main" id="{AFD3E641-C234-4DDE-B3BE-F0382D84C2A1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655" name="AutoShape 1">
          <a:extLst>
            <a:ext uri="{FF2B5EF4-FFF2-40B4-BE49-F238E27FC236}">
              <a16:creationId xmlns:a16="http://schemas.microsoft.com/office/drawing/2014/main" id="{898F2E18-D30E-4416-ACE6-ED5D5CFA25D9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656" name="AutoShape 1">
          <a:extLst>
            <a:ext uri="{FF2B5EF4-FFF2-40B4-BE49-F238E27FC236}">
              <a16:creationId xmlns:a16="http://schemas.microsoft.com/office/drawing/2014/main" id="{9A02EBC9-D237-4CAE-A8BE-973964E6697C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657" name="AutoShape 1">
          <a:extLst>
            <a:ext uri="{FF2B5EF4-FFF2-40B4-BE49-F238E27FC236}">
              <a16:creationId xmlns:a16="http://schemas.microsoft.com/office/drawing/2014/main" id="{0D3A5C36-05EA-4A67-96FC-BD1007458133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658" name="AutoShape 1">
          <a:extLst>
            <a:ext uri="{FF2B5EF4-FFF2-40B4-BE49-F238E27FC236}">
              <a16:creationId xmlns:a16="http://schemas.microsoft.com/office/drawing/2014/main" id="{8755BBFE-7C31-42B5-8985-F16B8EF7A954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659" name="AutoShape 1">
          <a:extLst>
            <a:ext uri="{FF2B5EF4-FFF2-40B4-BE49-F238E27FC236}">
              <a16:creationId xmlns:a16="http://schemas.microsoft.com/office/drawing/2014/main" id="{8C9C28AB-266C-4565-BA88-7F3AFF9E33A5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660" name="AutoShape 1">
          <a:extLst>
            <a:ext uri="{FF2B5EF4-FFF2-40B4-BE49-F238E27FC236}">
              <a16:creationId xmlns:a16="http://schemas.microsoft.com/office/drawing/2014/main" id="{3D5DC99B-8627-4FA1-9E1C-F63923453524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661" name="AutoShape 1">
          <a:extLst>
            <a:ext uri="{FF2B5EF4-FFF2-40B4-BE49-F238E27FC236}">
              <a16:creationId xmlns:a16="http://schemas.microsoft.com/office/drawing/2014/main" id="{E424B1D2-D1C5-4422-934B-994AD9DB507F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662" name="AutoShape 1">
          <a:extLst>
            <a:ext uri="{FF2B5EF4-FFF2-40B4-BE49-F238E27FC236}">
              <a16:creationId xmlns:a16="http://schemas.microsoft.com/office/drawing/2014/main" id="{DD490869-6F96-41B5-ADCF-24F64594589C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663" name="AutoShape 1">
          <a:extLst>
            <a:ext uri="{FF2B5EF4-FFF2-40B4-BE49-F238E27FC236}">
              <a16:creationId xmlns:a16="http://schemas.microsoft.com/office/drawing/2014/main" id="{63B7CC50-BCB0-4D75-AB6D-275336D6BC47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664" name="AutoShape 1">
          <a:extLst>
            <a:ext uri="{FF2B5EF4-FFF2-40B4-BE49-F238E27FC236}">
              <a16:creationId xmlns:a16="http://schemas.microsoft.com/office/drawing/2014/main" id="{2549C048-5568-4F55-AEA0-A232D00BCCDE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665" name="AutoShape 1">
          <a:extLst>
            <a:ext uri="{FF2B5EF4-FFF2-40B4-BE49-F238E27FC236}">
              <a16:creationId xmlns:a16="http://schemas.microsoft.com/office/drawing/2014/main" id="{F2F908CE-38F5-4B07-966F-094376C207AF}"/>
            </a:ext>
            <a:ext uri="{147F2762-F138-4A5C-976F-8EAC2B608ADB}">
              <a16:predDERef xmlns:a16="http://schemas.microsoft.com/office/drawing/2014/main" pred="{A9C9C4DB-4B97-447C-9099-E87BCB3C537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666" name="AutoShape 1">
          <a:extLst>
            <a:ext uri="{FF2B5EF4-FFF2-40B4-BE49-F238E27FC236}">
              <a16:creationId xmlns:a16="http://schemas.microsoft.com/office/drawing/2014/main" id="{BB7F9210-859A-47C7-8BF4-B1C2B7F78794}"/>
            </a:ext>
            <a:ext uri="{147F2762-F138-4A5C-976F-8EAC2B608ADB}">
              <a16:predDERef xmlns:a16="http://schemas.microsoft.com/office/drawing/2014/main" pred="{CD89554D-BD76-42AD-819A-278AD445B86E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667" name="AutoShape 1">
          <a:extLst>
            <a:ext uri="{FF2B5EF4-FFF2-40B4-BE49-F238E27FC236}">
              <a16:creationId xmlns:a16="http://schemas.microsoft.com/office/drawing/2014/main" id="{E772FBE5-0A0E-452C-BF20-F47266617CAA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668" name="AutoShape 1">
          <a:extLst>
            <a:ext uri="{FF2B5EF4-FFF2-40B4-BE49-F238E27FC236}">
              <a16:creationId xmlns:a16="http://schemas.microsoft.com/office/drawing/2014/main" id="{964FF2A4-3136-4B28-B972-199DEF075571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669" name="AutoShape 1">
          <a:extLst>
            <a:ext uri="{FF2B5EF4-FFF2-40B4-BE49-F238E27FC236}">
              <a16:creationId xmlns:a16="http://schemas.microsoft.com/office/drawing/2014/main" id="{C080687B-68B9-4D54-B965-4495780DD67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670" name="AutoShape 1">
          <a:extLst>
            <a:ext uri="{FF2B5EF4-FFF2-40B4-BE49-F238E27FC236}">
              <a16:creationId xmlns:a16="http://schemas.microsoft.com/office/drawing/2014/main" id="{04DCB4EB-FF9D-4494-9E82-A937EF98FB4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671" name="AutoShape 1">
          <a:extLst>
            <a:ext uri="{FF2B5EF4-FFF2-40B4-BE49-F238E27FC236}">
              <a16:creationId xmlns:a16="http://schemas.microsoft.com/office/drawing/2014/main" id="{FA974454-2FF2-4484-9A3F-3933FAE4100C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672" name="AutoShape 1">
          <a:extLst>
            <a:ext uri="{FF2B5EF4-FFF2-40B4-BE49-F238E27FC236}">
              <a16:creationId xmlns:a16="http://schemas.microsoft.com/office/drawing/2014/main" id="{9113FAB6-2EBE-4E48-BA46-21EB98D24143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673" name="AutoShape 1">
          <a:extLst>
            <a:ext uri="{FF2B5EF4-FFF2-40B4-BE49-F238E27FC236}">
              <a16:creationId xmlns:a16="http://schemas.microsoft.com/office/drawing/2014/main" id="{C58A08E8-D98C-48E1-BB69-983181A5913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674" name="AutoShape 1">
          <a:extLst>
            <a:ext uri="{FF2B5EF4-FFF2-40B4-BE49-F238E27FC236}">
              <a16:creationId xmlns:a16="http://schemas.microsoft.com/office/drawing/2014/main" id="{EC719B1F-9CE4-4984-801C-7DB7C35FB20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675" name="AutoShape 1">
          <a:extLst>
            <a:ext uri="{FF2B5EF4-FFF2-40B4-BE49-F238E27FC236}">
              <a16:creationId xmlns:a16="http://schemas.microsoft.com/office/drawing/2014/main" id="{70E2E305-886D-4A7C-BE75-ECD62373C813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676" name="AutoShape 1">
          <a:extLst>
            <a:ext uri="{FF2B5EF4-FFF2-40B4-BE49-F238E27FC236}">
              <a16:creationId xmlns:a16="http://schemas.microsoft.com/office/drawing/2014/main" id="{187E396D-671C-44E7-A6EE-53343688179E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677" name="AutoShape 1">
          <a:extLst>
            <a:ext uri="{FF2B5EF4-FFF2-40B4-BE49-F238E27FC236}">
              <a16:creationId xmlns:a16="http://schemas.microsoft.com/office/drawing/2014/main" id="{19654470-F6BB-46AB-B63C-BC3AF79E8C6E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678" name="AutoShape 1">
          <a:extLst>
            <a:ext uri="{FF2B5EF4-FFF2-40B4-BE49-F238E27FC236}">
              <a16:creationId xmlns:a16="http://schemas.microsoft.com/office/drawing/2014/main" id="{D560493E-4BE1-40BD-89E8-A1DFBFCEDC0F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679" name="AutoShape 1">
          <a:extLst>
            <a:ext uri="{FF2B5EF4-FFF2-40B4-BE49-F238E27FC236}">
              <a16:creationId xmlns:a16="http://schemas.microsoft.com/office/drawing/2014/main" id="{886EC796-7DE3-4312-9BDE-3136FD4603D7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680" name="AutoShape 1">
          <a:extLst>
            <a:ext uri="{FF2B5EF4-FFF2-40B4-BE49-F238E27FC236}">
              <a16:creationId xmlns:a16="http://schemas.microsoft.com/office/drawing/2014/main" id="{482D2E8F-8A96-4489-B271-753DB95367D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681" name="AutoShape 1">
          <a:extLst>
            <a:ext uri="{FF2B5EF4-FFF2-40B4-BE49-F238E27FC236}">
              <a16:creationId xmlns:a16="http://schemas.microsoft.com/office/drawing/2014/main" id="{656A4B3B-C76F-4F9E-A839-32216E28226F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682" name="AutoShape 1">
          <a:extLst>
            <a:ext uri="{FF2B5EF4-FFF2-40B4-BE49-F238E27FC236}">
              <a16:creationId xmlns:a16="http://schemas.microsoft.com/office/drawing/2014/main" id="{62BA4FCB-6A5E-41B2-A819-A68739D4BC44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683" name="AutoShape 1">
          <a:extLst>
            <a:ext uri="{FF2B5EF4-FFF2-40B4-BE49-F238E27FC236}">
              <a16:creationId xmlns:a16="http://schemas.microsoft.com/office/drawing/2014/main" id="{55C99B39-0366-4C49-9FF0-A8BACBF6669C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684" name="AutoShape 1">
          <a:extLst>
            <a:ext uri="{FF2B5EF4-FFF2-40B4-BE49-F238E27FC236}">
              <a16:creationId xmlns:a16="http://schemas.microsoft.com/office/drawing/2014/main" id="{FDFBE3AD-B099-494F-8062-AE3FF638C094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685" name="AutoShape 1">
          <a:extLst>
            <a:ext uri="{FF2B5EF4-FFF2-40B4-BE49-F238E27FC236}">
              <a16:creationId xmlns:a16="http://schemas.microsoft.com/office/drawing/2014/main" id="{3EC555AE-8245-41B2-9C11-89CCBCDEE766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686" name="AutoShape 1">
          <a:extLst>
            <a:ext uri="{FF2B5EF4-FFF2-40B4-BE49-F238E27FC236}">
              <a16:creationId xmlns:a16="http://schemas.microsoft.com/office/drawing/2014/main" id="{E8790536-BE9E-483A-ADB7-D664463ABD3B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687" name="AutoShape 1">
          <a:extLst>
            <a:ext uri="{FF2B5EF4-FFF2-40B4-BE49-F238E27FC236}">
              <a16:creationId xmlns:a16="http://schemas.microsoft.com/office/drawing/2014/main" id="{D105B968-94A9-4725-B9FA-BAC050F71F74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688" name="AutoShape 1">
          <a:extLst>
            <a:ext uri="{FF2B5EF4-FFF2-40B4-BE49-F238E27FC236}">
              <a16:creationId xmlns:a16="http://schemas.microsoft.com/office/drawing/2014/main" id="{A2E34CDE-9689-42A0-A070-D1EBC0C7B1AD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689" name="AutoShape 1">
          <a:extLst>
            <a:ext uri="{FF2B5EF4-FFF2-40B4-BE49-F238E27FC236}">
              <a16:creationId xmlns:a16="http://schemas.microsoft.com/office/drawing/2014/main" id="{1A2D3A23-1474-492B-925B-E56EDB83479E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690" name="AutoShape 1">
          <a:extLst>
            <a:ext uri="{FF2B5EF4-FFF2-40B4-BE49-F238E27FC236}">
              <a16:creationId xmlns:a16="http://schemas.microsoft.com/office/drawing/2014/main" id="{C284F4BF-CBBB-4507-B3EF-8D57CF3A0163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691" name="AutoShape 1">
          <a:extLst>
            <a:ext uri="{FF2B5EF4-FFF2-40B4-BE49-F238E27FC236}">
              <a16:creationId xmlns:a16="http://schemas.microsoft.com/office/drawing/2014/main" id="{328FB9E5-4BF7-4BC1-A977-901A5B33FD1D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692" name="AutoShape 1">
          <a:extLst>
            <a:ext uri="{FF2B5EF4-FFF2-40B4-BE49-F238E27FC236}">
              <a16:creationId xmlns:a16="http://schemas.microsoft.com/office/drawing/2014/main" id="{42AAF897-2F4D-43F9-A673-54FDEA07F283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693" name="AutoShape 1">
          <a:extLst>
            <a:ext uri="{FF2B5EF4-FFF2-40B4-BE49-F238E27FC236}">
              <a16:creationId xmlns:a16="http://schemas.microsoft.com/office/drawing/2014/main" id="{FA61392A-2525-40CA-A9DD-A170032DFE1A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694" name="AutoShape 1">
          <a:extLst>
            <a:ext uri="{FF2B5EF4-FFF2-40B4-BE49-F238E27FC236}">
              <a16:creationId xmlns:a16="http://schemas.microsoft.com/office/drawing/2014/main" id="{3AB90F08-ABA0-4C09-A162-C18D6477BCB4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695" name="AutoShape 1">
          <a:extLst>
            <a:ext uri="{FF2B5EF4-FFF2-40B4-BE49-F238E27FC236}">
              <a16:creationId xmlns:a16="http://schemas.microsoft.com/office/drawing/2014/main" id="{CC7555FA-1054-4C06-BF40-5774616D34AC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696" name="AutoShape 1">
          <a:extLst>
            <a:ext uri="{FF2B5EF4-FFF2-40B4-BE49-F238E27FC236}">
              <a16:creationId xmlns:a16="http://schemas.microsoft.com/office/drawing/2014/main" id="{5A7E0D68-7370-496D-B042-E7EFD16CA084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697" name="AutoShape 1">
          <a:extLst>
            <a:ext uri="{FF2B5EF4-FFF2-40B4-BE49-F238E27FC236}">
              <a16:creationId xmlns:a16="http://schemas.microsoft.com/office/drawing/2014/main" id="{F2AFB6E1-D7E3-4873-81A6-3F4E335D4845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698" name="AutoShape 1">
          <a:extLst>
            <a:ext uri="{FF2B5EF4-FFF2-40B4-BE49-F238E27FC236}">
              <a16:creationId xmlns:a16="http://schemas.microsoft.com/office/drawing/2014/main" id="{1E60E17D-B152-4A19-B66A-DDC31EC86883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699" name="AutoShape 1">
          <a:extLst>
            <a:ext uri="{FF2B5EF4-FFF2-40B4-BE49-F238E27FC236}">
              <a16:creationId xmlns:a16="http://schemas.microsoft.com/office/drawing/2014/main" id="{8D1766EA-CF53-44A6-A5D8-CE5CDE9F6FAA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700" name="AutoShape 1">
          <a:extLst>
            <a:ext uri="{FF2B5EF4-FFF2-40B4-BE49-F238E27FC236}">
              <a16:creationId xmlns:a16="http://schemas.microsoft.com/office/drawing/2014/main" id="{C636DD47-BDD5-4C21-8728-27F304DA878C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701" name="AutoShape 1">
          <a:extLst>
            <a:ext uri="{FF2B5EF4-FFF2-40B4-BE49-F238E27FC236}">
              <a16:creationId xmlns:a16="http://schemas.microsoft.com/office/drawing/2014/main" id="{C11CCDAF-BCF6-4B7A-8A1B-D099651096C6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702" name="AutoShape 1">
          <a:extLst>
            <a:ext uri="{FF2B5EF4-FFF2-40B4-BE49-F238E27FC236}">
              <a16:creationId xmlns:a16="http://schemas.microsoft.com/office/drawing/2014/main" id="{CA762A1F-0760-49CE-8C6E-1A62E0177ABB}"/>
            </a:ext>
            <a:ext uri="{147F2762-F138-4A5C-976F-8EAC2B608ADB}">
              <a16:predDERef xmlns:a16="http://schemas.microsoft.com/office/drawing/2014/main" pred="{A9C9C4DB-4B97-447C-9099-E87BCB3C537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703" name="AutoShape 1">
          <a:extLst>
            <a:ext uri="{FF2B5EF4-FFF2-40B4-BE49-F238E27FC236}">
              <a16:creationId xmlns:a16="http://schemas.microsoft.com/office/drawing/2014/main" id="{62AB6485-96D3-40FD-9CA4-19DFD1B9EA04}"/>
            </a:ext>
            <a:ext uri="{147F2762-F138-4A5C-976F-8EAC2B608ADB}">
              <a16:predDERef xmlns:a16="http://schemas.microsoft.com/office/drawing/2014/main" pred="{CD89554D-BD76-42AD-819A-278AD445B86E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704" name="AutoShape 1">
          <a:extLst>
            <a:ext uri="{FF2B5EF4-FFF2-40B4-BE49-F238E27FC236}">
              <a16:creationId xmlns:a16="http://schemas.microsoft.com/office/drawing/2014/main" id="{7CB3028C-F6BF-4F42-A92C-56E51FA81B1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705" name="AutoShape 1">
          <a:extLst>
            <a:ext uri="{FF2B5EF4-FFF2-40B4-BE49-F238E27FC236}">
              <a16:creationId xmlns:a16="http://schemas.microsoft.com/office/drawing/2014/main" id="{D49C4ECF-9AA8-4004-81E5-BFFBDB9716DF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706" name="AutoShape 1">
          <a:extLst>
            <a:ext uri="{FF2B5EF4-FFF2-40B4-BE49-F238E27FC236}">
              <a16:creationId xmlns:a16="http://schemas.microsoft.com/office/drawing/2014/main" id="{EA05DF53-A79E-4835-AA6E-AEF5100CF607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707" name="AutoShape 1">
          <a:extLst>
            <a:ext uri="{FF2B5EF4-FFF2-40B4-BE49-F238E27FC236}">
              <a16:creationId xmlns:a16="http://schemas.microsoft.com/office/drawing/2014/main" id="{892EC13E-CF08-4AEF-BBFA-43669C2EB3F1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708" name="AutoShape 1">
          <a:extLst>
            <a:ext uri="{FF2B5EF4-FFF2-40B4-BE49-F238E27FC236}">
              <a16:creationId xmlns:a16="http://schemas.microsoft.com/office/drawing/2014/main" id="{0FCE7A0F-E27A-4A2B-A9AD-4AB5C4C45096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709" name="AutoShape 1">
          <a:extLst>
            <a:ext uri="{FF2B5EF4-FFF2-40B4-BE49-F238E27FC236}">
              <a16:creationId xmlns:a16="http://schemas.microsoft.com/office/drawing/2014/main" id="{C74577E2-D832-413A-9288-F0EC28C5348F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710" name="AutoShape 1">
          <a:extLst>
            <a:ext uri="{FF2B5EF4-FFF2-40B4-BE49-F238E27FC236}">
              <a16:creationId xmlns:a16="http://schemas.microsoft.com/office/drawing/2014/main" id="{B90B00FE-DB3A-4E6F-A773-10B3CC1A2E6D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711" name="AutoShape 1">
          <a:extLst>
            <a:ext uri="{FF2B5EF4-FFF2-40B4-BE49-F238E27FC236}">
              <a16:creationId xmlns:a16="http://schemas.microsoft.com/office/drawing/2014/main" id="{7515A9F8-4AAE-4B9A-B8C6-A11047970116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712" name="AutoShape 1">
          <a:extLst>
            <a:ext uri="{FF2B5EF4-FFF2-40B4-BE49-F238E27FC236}">
              <a16:creationId xmlns:a16="http://schemas.microsoft.com/office/drawing/2014/main" id="{279A40AA-B9AE-4DFF-BAD9-B17A1FC9623D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713" name="AutoShape 1">
          <a:extLst>
            <a:ext uri="{FF2B5EF4-FFF2-40B4-BE49-F238E27FC236}">
              <a16:creationId xmlns:a16="http://schemas.microsoft.com/office/drawing/2014/main" id="{80C8B023-DED1-4965-8BA3-D87F9B48FB87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714" name="AutoShape 1">
          <a:extLst>
            <a:ext uri="{FF2B5EF4-FFF2-40B4-BE49-F238E27FC236}">
              <a16:creationId xmlns:a16="http://schemas.microsoft.com/office/drawing/2014/main" id="{F8A1DE93-5398-4060-86DD-44651CFAB286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715" name="AutoShape 1">
          <a:extLst>
            <a:ext uri="{FF2B5EF4-FFF2-40B4-BE49-F238E27FC236}">
              <a16:creationId xmlns:a16="http://schemas.microsoft.com/office/drawing/2014/main" id="{470BB537-C82A-4240-BD93-9A4F2414EA34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716" name="AutoShape 1">
          <a:extLst>
            <a:ext uri="{FF2B5EF4-FFF2-40B4-BE49-F238E27FC236}">
              <a16:creationId xmlns:a16="http://schemas.microsoft.com/office/drawing/2014/main" id="{8827D3B4-1949-49D8-A77A-E5ED5B6EB03D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717" name="AutoShape 1">
          <a:extLst>
            <a:ext uri="{FF2B5EF4-FFF2-40B4-BE49-F238E27FC236}">
              <a16:creationId xmlns:a16="http://schemas.microsoft.com/office/drawing/2014/main" id="{32273114-A571-4E79-9CFE-1026FAC5629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718" name="AutoShape 1">
          <a:extLst>
            <a:ext uri="{FF2B5EF4-FFF2-40B4-BE49-F238E27FC236}">
              <a16:creationId xmlns:a16="http://schemas.microsoft.com/office/drawing/2014/main" id="{78825353-1F47-4415-BE22-66F058132B7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719" name="AutoShape 1">
          <a:extLst>
            <a:ext uri="{FF2B5EF4-FFF2-40B4-BE49-F238E27FC236}">
              <a16:creationId xmlns:a16="http://schemas.microsoft.com/office/drawing/2014/main" id="{06FAB51B-2CBA-4D99-A7E2-5B7273E43859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720" name="AutoShape 1">
          <a:extLst>
            <a:ext uri="{FF2B5EF4-FFF2-40B4-BE49-F238E27FC236}">
              <a16:creationId xmlns:a16="http://schemas.microsoft.com/office/drawing/2014/main" id="{1A3D6FCC-BD49-47A7-ACFE-50AFADF0B2E1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721" name="AutoShape 1">
          <a:extLst>
            <a:ext uri="{FF2B5EF4-FFF2-40B4-BE49-F238E27FC236}">
              <a16:creationId xmlns:a16="http://schemas.microsoft.com/office/drawing/2014/main" id="{9F3890EA-5DBD-4931-8191-8841B7FA1E0C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722" name="AutoShape 1">
          <a:extLst>
            <a:ext uri="{FF2B5EF4-FFF2-40B4-BE49-F238E27FC236}">
              <a16:creationId xmlns:a16="http://schemas.microsoft.com/office/drawing/2014/main" id="{36FCDABF-240A-4368-8093-CCC49B2DFDAC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723" name="AutoShape 1">
          <a:extLst>
            <a:ext uri="{FF2B5EF4-FFF2-40B4-BE49-F238E27FC236}">
              <a16:creationId xmlns:a16="http://schemas.microsoft.com/office/drawing/2014/main" id="{CBABD2EA-C1F1-4CD5-A596-11F60E4506FC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724" name="AutoShape 1">
          <a:extLst>
            <a:ext uri="{FF2B5EF4-FFF2-40B4-BE49-F238E27FC236}">
              <a16:creationId xmlns:a16="http://schemas.microsoft.com/office/drawing/2014/main" id="{95955BD1-C6D3-41A2-A745-93AD16EC0D7E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725" name="AutoShape 1">
          <a:extLst>
            <a:ext uri="{FF2B5EF4-FFF2-40B4-BE49-F238E27FC236}">
              <a16:creationId xmlns:a16="http://schemas.microsoft.com/office/drawing/2014/main" id="{45AA054C-211D-45A1-8C9E-69186A066C6C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726" name="AutoShape 1">
          <a:extLst>
            <a:ext uri="{FF2B5EF4-FFF2-40B4-BE49-F238E27FC236}">
              <a16:creationId xmlns:a16="http://schemas.microsoft.com/office/drawing/2014/main" id="{A3E9A0CA-6402-4CAF-9E2E-0C0DD392161E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727" name="AutoShape 1">
          <a:extLst>
            <a:ext uri="{FF2B5EF4-FFF2-40B4-BE49-F238E27FC236}">
              <a16:creationId xmlns:a16="http://schemas.microsoft.com/office/drawing/2014/main" id="{8D559D82-7EA1-4597-AE4A-EC4A3BDFF703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728" name="AutoShape 1">
          <a:extLst>
            <a:ext uri="{FF2B5EF4-FFF2-40B4-BE49-F238E27FC236}">
              <a16:creationId xmlns:a16="http://schemas.microsoft.com/office/drawing/2014/main" id="{AFDCBD74-357A-449F-947C-6B5BDFDEDD3D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729" name="AutoShape 1">
          <a:extLst>
            <a:ext uri="{FF2B5EF4-FFF2-40B4-BE49-F238E27FC236}">
              <a16:creationId xmlns:a16="http://schemas.microsoft.com/office/drawing/2014/main" id="{F44C3965-B9FD-4C41-9805-A0C81429ADE2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730" name="AutoShape 1">
          <a:extLst>
            <a:ext uri="{FF2B5EF4-FFF2-40B4-BE49-F238E27FC236}">
              <a16:creationId xmlns:a16="http://schemas.microsoft.com/office/drawing/2014/main" id="{A31AFDE5-6374-4046-8C8F-35159EFFDA33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731" name="AutoShape 1">
          <a:extLst>
            <a:ext uri="{FF2B5EF4-FFF2-40B4-BE49-F238E27FC236}">
              <a16:creationId xmlns:a16="http://schemas.microsoft.com/office/drawing/2014/main" id="{6EF610B2-2F44-4DB2-8B21-9406E03A68E9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732" name="AutoShape 1">
          <a:extLst>
            <a:ext uri="{FF2B5EF4-FFF2-40B4-BE49-F238E27FC236}">
              <a16:creationId xmlns:a16="http://schemas.microsoft.com/office/drawing/2014/main" id="{138BF21C-608F-46B3-ADA7-E426597F5878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733" name="AutoShape 1">
          <a:extLst>
            <a:ext uri="{FF2B5EF4-FFF2-40B4-BE49-F238E27FC236}">
              <a16:creationId xmlns:a16="http://schemas.microsoft.com/office/drawing/2014/main" id="{B8111384-C021-4902-9F65-EC7D76E48E03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734" name="AutoShape 1">
          <a:extLst>
            <a:ext uri="{FF2B5EF4-FFF2-40B4-BE49-F238E27FC236}">
              <a16:creationId xmlns:a16="http://schemas.microsoft.com/office/drawing/2014/main" id="{FC7C710C-06E5-4F74-8073-47F7BE9B72CA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735" name="AutoShape 1">
          <a:extLst>
            <a:ext uri="{FF2B5EF4-FFF2-40B4-BE49-F238E27FC236}">
              <a16:creationId xmlns:a16="http://schemas.microsoft.com/office/drawing/2014/main" id="{727E6FA6-412B-452A-AF5A-8113D23A36B3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736" name="AutoShape 1">
          <a:extLst>
            <a:ext uri="{FF2B5EF4-FFF2-40B4-BE49-F238E27FC236}">
              <a16:creationId xmlns:a16="http://schemas.microsoft.com/office/drawing/2014/main" id="{33981B18-62A7-4F99-AA88-518AB74B896D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737" name="AutoShape 1">
          <a:extLst>
            <a:ext uri="{FF2B5EF4-FFF2-40B4-BE49-F238E27FC236}">
              <a16:creationId xmlns:a16="http://schemas.microsoft.com/office/drawing/2014/main" id="{49CD0F54-D584-4AB8-8FCD-F317C1207581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738" name="AutoShape 1">
          <a:extLst>
            <a:ext uri="{FF2B5EF4-FFF2-40B4-BE49-F238E27FC236}">
              <a16:creationId xmlns:a16="http://schemas.microsoft.com/office/drawing/2014/main" id="{8F688D01-BC8D-4E58-8431-10500C97BC06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739" name="AutoShape 1">
          <a:extLst>
            <a:ext uri="{FF2B5EF4-FFF2-40B4-BE49-F238E27FC236}">
              <a16:creationId xmlns:a16="http://schemas.microsoft.com/office/drawing/2014/main" id="{6395F13F-1251-4B03-B6C6-E9D21AE436F2}"/>
            </a:ext>
            <a:ext uri="{147F2762-F138-4A5C-976F-8EAC2B608ADB}">
              <a16:predDERef xmlns:a16="http://schemas.microsoft.com/office/drawing/2014/main" pred="{A9C9C4DB-4B97-447C-9099-E87BCB3C537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740" name="AutoShape 1">
          <a:extLst>
            <a:ext uri="{FF2B5EF4-FFF2-40B4-BE49-F238E27FC236}">
              <a16:creationId xmlns:a16="http://schemas.microsoft.com/office/drawing/2014/main" id="{28AD26E4-1EB7-4D2F-AA18-7B8FF9F08BA8}"/>
            </a:ext>
            <a:ext uri="{147F2762-F138-4A5C-976F-8EAC2B608ADB}">
              <a16:predDERef xmlns:a16="http://schemas.microsoft.com/office/drawing/2014/main" pred="{CD89554D-BD76-42AD-819A-278AD445B86E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741" name="AutoShape 1">
          <a:extLst>
            <a:ext uri="{FF2B5EF4-FFF2-40B4-BE49-F238E27FC236}">
              <a16:creationId xmlns:a16="http://schemas.microsoft.com/office/drawing/2014/main" id="{CDE7BCCF-247D-4B2C-8842-370AB044F17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742" name="AutoShape 1">
          <a:extLst>
            <a:ext uri="{FF2B5EF4-FFF2-40B4-BE49-F238E27FC236}">
              <a16:creationId xmlns:a16="http://schemas.microsoft.com/office/drawing/2014/main" id="{62275967-EC32-41F0-B5E0-9B7E10A7693A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743" name="AutoShape 1">
          <a:extLst>
            <a:ext uri="{FF2B5EF4-FFF2-40B4-BE49-F238E27FC236}">
              <a16:creationId xmlns:a16="http://schemas.microsoft.com/office/drawing/2014/main" id="{4648FCFA-4AC4-468E-B9C6-8F25033C88C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744" name="AutoShape 1">
          <a:extLst>
            <a:ext uri="{FF2B5EF4-FFF2-40B4-BE49-F238E27FC236}">
              <a16:creationId xmlns:a16="http://schemas.microsoft.com/office/drawing/2014/main" id="{98E2221B-59B5-4DDB-A4E8-220306C5BF9E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745" name="AutoShape 1">
          <a:extLst>
            <a:ext uri="{FF2B5EF4-FFF2-40B4-BE49-F238E27FC236}">
              <a16:creationId xmlns:a16="http://schemas.microsoft.com/office/drawing/2014/main" id="{C21342EE-D448-4FB8-9899-A88E9B55B67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746" name="AutoShape 1">
          <a:extLst>
            <a:ext uri="{FF2B5EF4-FFF2-40B4-BE49-F238E27FC236}">
              <a16:creationId xmlns:a16="http://schemas.microsoft.com/office/drawing/2014/main" id="{25249597-3374-48AD-B48F-56AA2CC80D9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747" name="AutoShape 1">
          <a:extLst>
            <a:ext uri="{FF2B5EF4-FFF2-40B4-BE49-F238E27FC236}">
              <a16:creationId xmlns:a16="http://schemas.microsoft.com/office/drawing/2014/main" id="{07D630FC-E4F2-4FB3-8166-7EE236F976AC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748" name="AutoShape 1">
          <a:extLst>
            <a:ext uri="{FF2B5EF4-FFF2-40B4-BE49-F238E27FC236}">
              <a16:creationId xmlns:a16="http://schemas.microsoft.com/office/drawing/2014/main" id="{3D1B1C93-2F07-4A55-B2F2-4B6FB25CDBBC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749" name="AutoShape 1">
          <a:extLst>
            <a:ext uri="{FF2B5EF4-FFF2-40B4-BE49-F238E27FC236}">
              <a16:creationId xmlns:a16="http://schemas.microsoft.com/office/drawing/2014/main" id="{8CD1EFFE-22B1-4499-B3AA-7332A426A67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750" name="AutoShape 1">
          <a:extLst>
            <a:ext uri="{FF2B5EF4-FFF2-40B4-BE49-F238E27FC236}">
              <a16:creationId xmlns:a16="http://schemas.microsoft.com/office/drawing/2014/main" id="{8CE59764-43E8-434A-A1D0-D26FB29C4823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751" name="AutoShape 1">
          <a:extLst>
            <a:ext uri="{FF2B5EF4-FFF2-40B4-BE49-F238E27FC236}">
              <a16:creationId xmlns:a16="http://schemas.microsoft.com/office/drawing/2014/main" id="{600B9170-6EE9-4F12-9FF9-3A2E34B3489F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752" name="AutoShape 1">
          <a:extLst>
            <a:ext uri="{FF2B5EF4-FFF2-40B4-BE49-F238E27FC236}">
              <a16:creationId xmlns:a16="http://schemas.microsoft.com/office/drawing/2014/main" id="{1BFBF419-50B7-436C-9ED5-A5A14ECF693B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753" name="AutoShape 1">
          <a:extLst>
            <a:ext uri="{FF2B5EF4-FFF2-40B4-BE49-F238E27FC236}">
              <a16:creationId xmlns:a16="http://schemas.microsoft.com/office/drawing/2014/main" id="{1ECC5AF2-EAAE-4B1E-9806-2B8E620A0164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754" name="AutoShape 1">
          <a:extLst>
            <a:ext uri="{FF2B5EF4-FFF2-40B4-BE49-F238E27FC236}">
              <a16:creationId xmlns:a16="http://schemas.microsoft.com/office/drawing/2014/main" id="{58B8DE44-8EF9-46F8-854B-9F3D4FCC72DD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755" name="AutoShape 1">
          <a:extLst>
            <a:ext uri="{FF2B5EF4-FFF2-40B4-BE49-F238E27FC236}">
              <a16:creationId xmlns:a16="http://schemas.microsoft.com/office/drawing/2014/main" id="{95C6A4E5-EDD1-4974-A4FA-7BF20E72A744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756" name="AutoShape 1">
          <a:extLst>
            <a:ext uri="{FF2B5EF4-FFF2-40B4-BE49-F238E27FC236}">
              <a16:creationId xmlns:a16="http://schemas.microsoft.com/office/drawing/2014/main" id="{777FCF01-4D9E-4BDF-8F2B-727638FDB253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757" name="AutoShape 1">
          <a:extLst>
            <a:ext uri="{FF2B5EF4-FFF2-40B4-BE49-F238E27FC236}">
              <a16:creationId xmlns:a16="http://schemas.microsoft.com/office/drawing/2014/main" id="{5DE864E7-B59B-4985-A289-1639A888E160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758" name="AutoShape 1">
          <a:extLst>
            <a:ext uri="{FF2B5EF4-FFF2-40B4-BE49-F238E27FC236}">
              <a16:creationId xmlns:a16="http://schemas.microsoft.com/office/drawing/2014/main" id="{1BC1DD3F-1DC2-4D3E-877E-F033EDF998A2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759" name="AutoShape 1">
          <a:extLst>
            <a:ext uri="{FF2B5EF4-FFF2-40B4-BE49-F238E27FC236}">
              <a16:creationId xmlns:a16="http://schemas.microsoft.com/office/drawing/2014/main" id="{500772BA-01A8-407F-84F6-71796FCE009D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760" name="AutoShape 1">
          <a:extLst>
            <a:ext uri="{FF2B5EF4-FFF2-40B4-BE49-F238E27FC236}">
              <a16:creationId xmlns:a16="http://schemas.microsoft.com/office/drawing/2014/main" id="{5247820F-E14C-4A5A-8164-C3836EE02159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761" name="AutoShape 1">
          <a:extLst>
            <a:ext uri="{FF2B5EF4-FFF2-40B4-BE49-F238E27FC236}">
              <a16:creationId xmlns:a16="http://schemas.microsoft.com/office/drawing/2014/main" id="{D23F5628-8215-456E-A2C2-E917A01CC6AD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762" name="AutoShape 1">
          <a:extLst>
            <a:ext uri="{FF2B5EF4-FFF2-40B4-BE49-F238E27FC236}">
              <a16:creationId xmlns:a16="http://schemas.microsoft.com/office/drawing/2014/main" id="{5DC1D132-86CD-4C08-9E53-5153754439D2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763" name="AutoShape 1">
          <a:extLst>
            <a:ext uri="{FF2B5EF4-FFF2-40B4-BE49-F238E27FC236}">
              <a16:creationId xmlns:a16="http://schemas.microsoft.com/office/drawing/2014/main" id="{56DA10C5-73BD-4FF7-8BC4-0FB8805A5CCE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764" name="AutoShape 1">
          <a:extLst>
            <a:ext uri="{FF2B5EF4-FFF2-40B4-BE49-F238E27FC236}">
              <a16:creationId xmlns:a16="http://schemas.microsoft.com/office/drawing/2014/main" id="{C9BAA8C1-C517-4988-9202-D1E2088687AF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765" name="AutoShape 1">
          <a:extLst>
            <a:ext uri="{FF2B5EF4-FFF2-40B4-BE49-F238E27FC236}">
              <a16:creationId xmlns:a16="http://schemas.microsoft.com/office/drawing/2014/main" id="{E91223E3-6FDB-41CE-AD1D-5AC9D2971090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766" name="AutoShape 1">
          <a:extLst>
            <a:ext uri="{FF2B5EF4-FFF2-40B4-BE49-F238E27FC236}">
              <a16:creationId xmlns:a16="http://schemas.microsoft.com/office/drawing/2014/main" id="{3B2F197C-68AE-4780-B7EF-60AC1AB21664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767" name="AutoShape 1">
          <a:extLst>
            <a:ext uri="{FF2B5EF4-FFF2-40B4-BE49-F238E27FC236}">
              <a16:creationId xmlns:a16="http://schemas.microsoft.com/office/drawing/2014/main" id="{A2450832-E018-405A-A11F-7334FE725EC4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768" name="AutoShape 1">
          <a:extLst>
            <a:ext uri="{FF2B5EF4-FFF2-40B4-BE49-F238E27FC236}">
              <a16:creationId xmlns:a16="http://schemas.microsoft.com/office/drawing/2014/main" id="{325815B8-EB5B-492B-9532-9509501B183C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769" name="AutoShape 1">
          <a:extLst>
            <a:ext uri="{FF2B5EF4-FFF2-40B4-BE49-F238E27FC236}">
              <a16:creationId xmlns:a16="http://schemas.microsoft.com/office/drawing/2014/main" id="{2B58A8F5-8CDF-4C8D-8947-3FAD6E6CD2FC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770" name="AutoShape 1">
          <a:extLst>
            <a:ext uri="{FF2B5EF4-FFF2-40B4-BE49-F238E27FC236}">
              <a16:creationId xmlns:a16="http://schemas.microsoft.com/office/drawing/2014/main" id="{3EF336A0-BA5B-425A-984D-CE805214A988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771" name="AutoShape 1">
          <a:extLst>
            <a:ext uri="{FF2B5EF4-FFF2-40B4-BE49-F238E27FC236}">
              <a16:creationId xmlns:a16="http://schemas.microsoft.com/office/drawing/2014/main" id="{950A6BF4-EFCE-42E2-A4B3-92417A3A002F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772" name="AutoShape 1">
          <a:extLst>
            <a:ext uri="{FF2B5EF4-FFF2-40B4-BE49-F238E27FC236}">
              <a16:creationId xmlns:a16="http://schemas.microsoft.com/office/drawing/2014/main" id="{C2258CBD-721D-487C-A195-837C23E52CF9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773" name="AutoShape 1">
          <a:extLst>
            <a:ext uri="{FF2B5EF4-FFF2-40B4-BE49-F238E27FC236}">
              <a16:creationId xmlns:a16="http://schemas.microsoft.com/office/drawing/2014/main" id="{0B96389D-8313-40EF-97B7-6DA5FBB32279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774" name="AutoShape 1">
          <a:extLst>
            <a:ext uri="{FF2B5EF4-FFF2-40B4-BE49-F238E27FC236}">
              <a16:creationId xmlns:a16="http://schemas.microsoft.com/office/drawing/2014/main" id="{AEEE4CD5-E318-4817-8D36-D4AE8CF100B6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775" name="AutoShape 1">
          <a:extLst>
            <a:ext uri="{FF2B5EF4-FFF2-40B4-BE49-F238E27FC236}">
              <a16:creationId xmlns:a16="http://schemas.microsoft.com/office/drawing/2014/main" id="{570B0959-0280-4870-AA86-3DD0693978AC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776" name="AutoShape 1">
          <a:extLst>
            <a:ext uri="{FF2B5EF4-FFF2-40B4-BE49-F238E27FC236}">
              <a16:creationId xmlns:a16="http://schemas.microsoft.com/office/drawing/2014/main" id="{E0066620-D2E8-4E1F-89F7-5441A9F7098E}"/>
            </a:ext>
            <a:ext uri="{147F2762-F138-4A5C-976F-8EAC2B608ADB}">
              <a16:predDERef xmlns:a16="http://schemas.microsoft.com/office/drawing/2014/main" pred="{A9C9C4DB-4B97-447C-9099-E87BCB3C537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777" name="AutoShape 1">
          <a:extLst>
            <a:ext uri="{FF2B5EF4-FFF2-40B4-BE49-F238E27FC236}">
              <a16:creationId xmlns:a16="http://schemas.microsoft.com/office/drawing/2014/main" id="{DDDCC2D3-874E-4969-8B9A-60E34666E40A}"/>
            </a:ext>
            <a:ext uri="{147F2762-F138-4A5C-976F-8EAC2B608ADB}">
              <a16:predDERef xmlns:a16="http://schemas.microsoft.com/office/drawing/2014/main" pred="{CD89554D-BD76-42AD-819A-278AD445B86E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778" name="AutoShape 1">
          <a:extLst>
            <a:ext uri="{FF2B5EF4-FFF2-40B4-BE49-F238E27FC236}">
              <a16:creationId xmlns:a16="http://schemas.microsoft.com/office/drawing/2014/main" id="{72042F8B-DF9A-40ED-BD1A-21065AA6BC0D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779" name="AutoShape 1">
          <a:extLst>
            <a:ext uri="{FF2B5EF4-FFF2-40B4-BE49-F238E27FC236}">
              <a16:creationId xmlns:a16="http://schemas.microsoft.com/office/drawing/2014/main" id="{9A5C906C-B482-4284-8391-ADB78DA4D9E4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780" name="AutoShape 1">
          <a:extLst>
            <a:ext uri="{FF2B5EF4-FFF2-40B4-BE49-F238E27FC236}">
              <a16:creationId xmlns:a16="http://schemas.microsoft.com/office/drawing/2014/main" id="{F2AEEC3C-E28B-4EEB-9451-5AFFC3E4815F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781" name="AutoShape 1">
          <a:extLst>
            <a:ext uri="{FF2B5EF4-FFF2-40B4-BE49-F238E27FC236}">
              <a16:creationId xmlns:a16="http://schemas.microsoft.com/office/drawing/2014/main" id="{9A24E194-4711-4439-B9F9-7D5817BC73AE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782" name="AutoShape 1">
          <a:extLst>
            <a:ext uri="{FF2B5EF4-FFF2-40B4-BE49-F238E27FC236}">
              <a16:creationId xmlns:a16="http://schemas.microsoft.com/office/drawing/2014/main" id="{C76BAF31-925C-4393-8DAC-DD15C4DB8E4D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783" name="AutoShape 1">
          <a:extLst>
            <a:ext uri="{FF2B5EF4-FFF2-40B4-BE49-F238E27FC236}">
              <a16:creationId xmlns:a16="http://schemas.microsoft.com/office/drawing/2014/main" id="{D829AFC1-98E8-49F6-A454-E6D9D94F1BD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784" name="AutoShape 1">
          <a:extLst>
            <a:ext uri="{FF2B5EF4-FFF2-40B4-BE49-F238E27FC236}">
              <a16:creationId xmlns:a16="http://schemas.microsoft.com/office/drawing/2014/main" id="{D5473961-C5DF-4D7C-8DC2-7329881F616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785" name="AutoShape 1">
          <a:extLst>
            <a:ext uri="{FF2B5EF4-FFF2-40B4-BE49-F238E27FC236}">
              <a16:creationId xmlns:a16="http://schemas.microsoft.com/office/drawing/2014/main" id="{E860E447-BE5B-4908-AAED-9579DFA813AF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786" name="AutoShape 1">
          <a:extLst>
            <a:ext uri="{FF2B5EF4-FFF2-40B4-BE49-F238E27FC236}">
              <a16:creationId xmlns:a16="http://schemas.microsoft.com/office/drawing/2014/main" id="{838B0405-2BEB-4FC3-81E2-F447D7404EDE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787" name="AutoShape 1">
          <a:extLst>
            <a:ext uri="{FF2B5EF4-FFF2-40B4-BE49-F238E27FC236}">
              <a16:creationId xmlns:a16="http://schemas.microsoft.com/office/drawing/2014/main" id="{8C9349CE-3C4C-4E57-AF6D-BEDD4D545A4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788" name="AutoShape 1">
          <a:extLst>
            <a:ext uri="{FF2B5EF4-FFF2-40B4-BE49-F238E27FC236}">
              <a16:creationId xmlns:a16="http://schemas.microsoft.com/office/drawing/2014/main" id="{C545B2F1-6642-4F5D-9667-137C031E3C3D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789" name="AutoShape 1">
          <a:extLst>
            <a:ext uri="{FF2B5EF4-FFF2-40B4-BE49-F238E27FC236}">
              <a16:creationId xmlns:a16="http://schemas.microsoft.com/office/drawing/2014/main" id="{C0EFFEAB-B67E-40CF-A27D-D89C14BB9BAD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790" name="AutoShape 1">
          <a:extLst>
            <a:ext uri="{FF2B5EF4-FFF2-40B4-BE49-F238E27FC236}">
              <a16:creationId xmlns:a16="http://schemas.microsoft.com/office/drawing/2014/main" id="{C7B33477-1DA4-490B-B1B4-C0BEEF26D9D4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791" name="AutoShape 1">
          <a:extLst>
            <a:ext uri="{FF2B5EF4-FFF2-40B4-BE49-F238E27FC236}">
              <a16:creationId xmlns:a16="http://schemas.microsoft.com/office/drawing/2014/main" id="{7CC2D18B-1E81-4F85-83CF-0BD34232D727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792" name="AutoShape 1">
          <a:extLst>
            <a:ext uri="{FF2B5EF4-FFF2-40B4-BE49-F238E27FC236}">
              <a16:creationId xmlns:a16="http://schemas.microsoft.com/office/drawing/2014/main" id="{555CD994-A525-486A-821C-E6433BD8D0D3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793" name="AutoShape 1">
          <a:extLst>
            <a:ext uri="{FF2B5EF4-FFF2-40B4-BE49-F238E27FC236}">
              <a16:creationId xmlns:a16="http://schemas.microsoft.com/office/drawing/2014/main" id="{EE0C4BB9-5338-4910-BA76-A18CAF63E37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794" name="AutoShape 1">
          <a:extLst>
            <a:ext uri="{FF2B5EF4-FFF2-40B4-BE49-F238E27FC236}">
              <a16:creationId xmlns:a16="http://schemas.microsoft.com/office/drawing/2014/main" id="{9529830F-337B-4908-AD86-44389D24AC08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795" name="AutoShape 1">
          <a:extLst>
            <a:ext uri="{FF2B5EF4-FFF2-40B4-BE49-F238E27FC236}">
              <a16:creationId xmlns:a16="http://schemas.microsoft.com/office/drawing/2014/main" id="{AADF258E-7983-4614-A730-3AD6CCBB9213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796" name="AutoShape 1">
          <a:extLst>
            <a:ext uri="{FF2B5EF4-FFF2-40B4-BE49-F238E27FC236}">
              <a16:creationId xmlns:a16="http://schemas.microsoft.com/office/drawing/2014/main" id="{86154B32-07C6-4EAA-9006-6011A418E304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797" name="AutoShape 1">
          <a:extLst>
            <a:ext uri="{FF2B5EF4-FFF2-40B4-BE49-F238E27FC236}">
              <a16:creationId xmlns:a16="http://schemas.microsoft.com/office/drawing/2014/main" id="{35D19DB7-A979-42BA-AFA8-41C500BE6F6D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798" name="AutoShape 1">
          <a:extLst>
            <a:ext uri="{FF2B5EF4-FFF2-40B4-BE49-F238E27FC236}">
              <a16:creationId xmlns:a16="http://schemas.microsoft.com/office/drawing/2014/main" id="{EAC7A982-B4FA-44D3-8185-1C36DA286423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799" name="AutoShape 1">
          <a:extLst>
            <a:ext uri="{FF2B5EF4-FFF2-40B4-BE49-F238E27FC236}">
              <a16:creationId xmlns:a16="http://schemas.microsoft.com/office/drawing/2014/main" id="{7E3437D4-A202-44A8-BB6E-5847DF035357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800" name="AutoShape 1">
          <a:extLst>
            <a:ext uri="{FF2B5EF4-FFF2-40B4-BE49-F238E27FC236}">
              <a16:creationId xmlns:a16="http://schemas.microsoft.com/office/drawing/2014/main" id="{DD0E2330-E48D-4A46-88C4-F9DB0381A18C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801" name="AutoShape 1">
          <a:extLst>
            <a:ext uri="{FF2B5EF4-FFF2-40B4-BE49-F238E27FC236}">
              <a16:creationId xmlns:a16="http://schemas.microsoft.com/office/drawing/2014/main" id="{5EA7273A-F6C3-4007-913A-E6C8FE4E45B5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802" name="AutoShape 1">
          <a:extLst>
            <a:ext uri="{FF2B5EF4-FFF2-40B4-BE49-F238E27FC236}">
              <a16:creationId xmlns:a16="http://schemas.microsoft.com/office/drawing/2014/main" id="{94E34017-9D8E-4D63-99C1-2D5AA62DFFBC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803" name="AutoShape 1">
          <a:extLst>
            <a:ext uri="{FF2B5EF4-FFF2-40B4-BE49-F238E27FC236}">
              <a16:creationId xmlns:a16="http://schemas.microsoft.com/office/drawing/2014/main" id="{3B98054F-25D1-4EE9-BC31-E539C439C03E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804" name="AutoShape 1">
          <a:extLst>
            <a:ext uri="{FF2B5EF4-FFF2-40B4-BE49-F238E27FC236}">
              <a16:creationId xmlns:a16="http://schemas.microsoft.com/office/drawing/2014/main" id="{8004CA17-4711-402E-A09D-F0E3577A7A76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805" name="AutoShape 1">
          <a:extLst>
            <a:ext uri="{FF2B5EF4-FFF2-40B4-BE49-F238E27FC236}">
              <a16:creationId xmlns:a16="http://schemas.microsoft.com/office/drawing/2014/main" id="{F8B1DFE7-6A39-4B24-BF0C-EC8549B0045D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806" name="AutoShape 1">
          <a:extLst>
            <a:ext uri="{FF2B5EF4-FFF2-40B4-BE49-F238E27FC236}">
              <a16:creationId xmlns:a16="http://schemas.microsoft.com/office/drawing/2014/main" id="{2ACD4496-EE1D-463E-BC99-917B56A5E9CD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807" name="AutoShape 1">
          <a:extLst>
            <a:ext uri="{FF2B5EF4-FFF2-40B4-BE49-F238E27FC236}">
              <a16:creationId xmlns:a16="http://schemas.microsoft.com/office/drawing/2014/main" id="{21D171BC-7921-4AC8-BFE3-99BF37CC8267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808" name="AutoShape 1">
          <a:extLst>
            <a:ext uri="{FF2B5EF4-FFF2-40B4-BE49-F238E27FC236}">
              <a16:creationId xmlns:a16="http://schemas.microsoft.com/office/drawing/2014/main" id="{A86E508D-CD36-4D2D-B95E-8CA06FEFD2F6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809" name="AutoShape 1">
          <a:extLst>
            <a:ext uri="{FF2B5EF4-FFF2-40B4-BE49-F238E27FC236}">
              <a16:creationId xmlns:a16="http://schemas.microsoft.com/office/drawing/2014/main" id="{E2B0480B-C901-4435-9EDF-2FFB7512A218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810" name="AutoShape 1">
          <a:extLst>
            <a:ext uri="{FF2B5EF4-FFF2-40B4-BE49-F238E27FC236}">
              <a16:creationId xmlns:a16="http://schemas.microsoft.com/office/drawing/2014/main" id="{C183BEE5-31FC-4683-8044-BC2C6B3228C9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811" name="AutoShape 1">
          <a:extLst>
            <a:ext uri="{FF2B5EF4-FFF2-40B4-BE49-F238E27FC236}">
              <a16:creationId xmlns:a16="http://schemas.microsoft.com/office/drawing/2014/main" id="{406BFC40-0154-4AE5-9E2E-C608F0918BA2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812" name="AutoShape 1">
          <a:extLst>
            <a:ext uri="{FF2B5EF4-FFF2-40B4-BE49-F238E27FC236}">
              <a16:creationId xmlns:a16="http://schemas.microsoft.com/office/drawing/2014/main" id="{9AE9EC1C-B36C-4636-93D2-9F86FC025959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813" name="AutoShape 1">
          <a:extLst>
            <a:ext uri="{FF2B5EF4-FFF2-40B4-BE49-F238E27FC236}">
              <a16:creationId xmlns:a16="http://schemas.microsoft.com/office/drawing/2014/main" id="{E1A82DAA-0FD4-486B-B6AE-F945DABE0479}"/>
            </a:ext>
            <a:ext uri="{147F2762-F138-4A5C-976F-8EAC2B608ADB}">
              <a16:predDERef xmlns:a16="http://schemas.microsoft.com/office/drawing/2014/main" pred="{A9C9C4DB-4B97-447C-9099-E87BCB3C537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814" name="AutoShape 1">
          <a:extLst>
            <a:ext uri="{FF2B5EF4-FFF2-40B4-BE49-F238E27FC236}">
              <a16:creationId xmlns:a16="http://schemas.microsoft.com/office/drawing/2014/main" id="{63CB3267-92D4-43C8-B660-1E501CA3DFC2}"/>
            </a:ext>
            <a:ext uri="{147F2762-F138-4A5C-976F-8EAC2B608ADB}">
              <a16:predDERef xmlns:a16="http://schemas.microsoft.com/office/drawing/2014/main" pred="{CD89554D-BD76-42AD-819A-278AD445B86E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815" name="AutoShape 1">
          <a:extLst>
            <a:ext uri="{FF2B5EF4-FFF2-40B4-BE49-F238E27FC236}">
              <a16:creationId xmlns:a16="http://schemas.microsoft.com/office/drawing/2014/main" id="{7B01B92D-96A3-4E57-97E4-C76975DA06DB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816" name="AutoShape 1">
          <a:extLst>
            <a:ext uri="{FF2B5EF4-FFF2-40B4-BE49-F238E27FC236}">
              <a16:creationId xmlns:a16="http://schemas.microsoft.com/office/drawing/2014/main" id="{9FE43BFF-8CFF-47A6-82E0-D171BCD1C4FD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817" name="AutoShape 1">
          <a:extLst>
            <a:ext uri="{FF2B5EF4-FFF2-40B4-BE49-F238E27FC236}">
              <a16:creationId xmlns:a16="http://schemas.microsoft.com/office/drawing/2014/main" id="{1CEDA223-AB4C-407E-AF24-3E2E93F2AA36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818" name="AutoShape 1">
          <a:extLst>
            <a:ext uri="{FF2B5EF4-FFF2-40B4-BE49-F238E27FC236}">
              <a16:creationId xmlns:a16="http://schemas.microsoft.com/office/drawing/2014/main" id="{33F97F99-BEFE-466E-B693-D1D9B4DBD06D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819" name="AutoShape 1">
          <a:extLst>
            <a:ext uri="{FF2B5EF4-FFF2-40B4-BE49-F238E27FC236}">
              <a16:creationId xmlns:a16="http://schemas.microsoft.com/office/drawing/2014/main" id="{B754B3E8-2788-4DC1-BEAC-F3DE59FDF48F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820" name="AutoShape 1">
          <a:extLst>
            <a:ext uri="{FF2B5EF4-FFF2-40B4-BE49-F238E27FC236}">
              <a16:creationId xmlns:a16="http://schemas.microsoft.com/office/drawing/2014/main" id="{B4926195-A85F-4304-B76B-19814C0254B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821" name="AutoShape 1">
          <a:extLst>
            <a:ext uri="{FF2B5EF4-FFF2-40B4-BE49-F238E27FC236}">
              <a16:creationId xmlns:a16="http://schemas.microsoft.com/office/drawing/2014/main" id="{C6AE2CC8-FFE9-45C3-B53F-2E3F52FD8386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822" name="AutoShape 1">
          <a:extLst>
            <a:ext uri="{FF2B5EF4-FFF2-40B4-BE49-F238E27FC236}">
              <a16:creationId xmlns:a16="http://schemas.microsoft.com/office/drawing/2014/main" id="{D706D4EC-39EA-4C4F-A1BE-B3662CB64E73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823" name="AutoShape 1">
          <a:extLst>
            <a:ext uri="{FF2B5EF4-FFF2-40B4-BE49-F238E27FC236}">
              <a16:creationId xmlns:a16="http://schemas.microsoft.com/office/drawing/2014/main" id="{87771CE2-B810-4622-99D2-F0B528814989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824" name="AutoShape 1">
          <a:extLst>
            <a:ext uri="{FF2B5EF4-FFF2-40B4-BE49-F238E27FC236}">
              <a16:creationId xmlns:a16="http://schemas.microsoft.com/office/drawing/2014/main" id="{C4B2AACB-0B0F-48A7-BD31-D06F71DF0013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825" name="AutoShape 1">
          <a:extLst>
            <a:ext uri="{FF2B5EF4-FFF2-40B4-BE49-F238E27FC236}">
              <a16:creationId xmlns:a16="http://schemas.microsoft.com/office/drawing/2014/main" id="{E817161F-2C4D-4823-BAAE-66CE5B553E1A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826" name="AutoShape 1">
          <a:extLst>
            <a:ext uri="{FF2B5EF4-FFF2-40B4-BE49-F238E27FC236}">
              <a16:creationId xmlns:a16="http://schemas.microsoft.com/office/drawing/2014/main" id="{9D7C7D32-6846-41ED-9AB6-1D7C9F28856C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827" name="AutoShape 1">
          <a:extLst>
            <a:ext uri="{FF2B5EF4-FFF2-40B4-BE49-F238E27FC236}">
              <a16:creationId xmlns:a16="http://schemas.microsoft.com/office/drawing/2014/main" id="{91DE82AF-EB23-4FE7-B30D-914DC041405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828" name="AutoShape 1">
          <a:extLst>
            <a:ext uri="{FF2B5EF4-FFF2-40B4-BE49-F238E27FC236}">
              <a16:creationId xmlns:a16="http://schemas.microsoft.com/office/drawing/2014/main" id="{CE256BEA-A4DD-48BA-8372-47240FED1811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829" name="AutoShape 1">
          <a:extLst>
            <a:ext uri="{FF2B5EF4-FFF2-40B4-BE49-F238E27FC236}">
              <a16:creationId xmlns:a16="http://schemas.microsoft.com/office/drawing/2014/main" id="{67B9F596-EEB5-4689-823E-806D8D37832F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830" name="AutoShape 1">
          <a:extLst>
            <a:ext uri="{FF2B5EF4-FFF2-40B4-BE49-F238E27FC236}">
              <a16:creationId xmlns:a16="http://schemas.microsoft.com/office/drawing/2014/main" id="{F991B08A-828F-40D4-8951-8E2E8BB8C95A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831" name="AutoShape 1">
          <a:extLst>
            <a:ext uri="{FF2B5EF4-FFF2-40B4-BE49-F238E27FC236}">
              <a16:creationId xmlns:a16="http://schemas.microsoft.com/office/drawing/2014/main" id="{08E729B1-7B9B-4881-A46D-9B86DC7C557F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832" name="AutoShape 1">
          <a:extLst>
            <a:ext uri="{FF2B5EF4-FFF2-40B4-BE49-F238E27FC236}">
              <a16:creationId xmlns:a16="http://schemas.microsoft.com/office/drawing/2014/main" id="{8BA4A552-63BA-4B92-81C4-191138E2A1F1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833" name="AutoShape 1">
          <a:extLst>
            <a:ext uri="{FF2B5EF4-FFF2-40B4-BE49-F238E27FC236}">
              <a16:creationId xmlns:a16="http://schemas.microsoft.com/office/drawing/2014/main" id="{03BF9048-B8B4-43F9-8D02-F8463B3EC179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834" name="AutoShape 1">
          <a:extLst>
            <a:ext uri="{FF2B5EF4-FFF2-40B4-BE49-F238E27FC236}">
              <a16:creationId xmlns:a16="http://schemas.microsoft.com/office/drawing/2014/main" id="{4EEE929E-FCB7-438D-AE68-AE18DE69B32A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835" name="AutoShape 1">
          <a:extLst>
            <a:ext uri="{FF2B5EF4-FFF2-40B4-BE49-F238E27FC236}">
              <a16:creationId xmlns:a16="http://schemas.microsoft.com/office/drawing/2014/main" id="{FFCD479B-5CF1-435C-961D-A0A75DD2CBBF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836" name="AutoShape 1">
          <a:extLst>
            <a:ext uri="{FF2B5EF4-FFF2-40B4-BE49-F238E27FC236}">
              <a16:creationId xmlns:a16="http://schemas.microsoft.com/office/drawing/2014/main" id="{0FF81CE9-5984-41B1-9FDE-C6CEB927E136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837" name="AutoShape 1">
          <a:extLst>
            <a:ext uri="{FF2B5EF4-FFF2-40B4-BE49-F238E27FC236}">
              <a16:creationId xmlns:a16="http://schemas.microsoft.com/office/drawing/2014/main" id="{25371464-C10A-4221-BFC8-9BA25A279052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838" name="AutoShape 1">
          <a:extLst>
            <a:ext uri="{FF2B5EF4-FFF2-40B4-BE49-F238E27FC236}">
              <a16:creationId xmlns:a16="http://schemas.microsoft.com/office/drawing/2014/main" id="{0D9F5A88-63C8-4A21-983A-D8B7991ADDBE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839" name="AutoShape 1">
          <a:extLst>
            <a:ext uri="{FF2B5EF4-FFF2-40B4-BE49-F238E27FC236}">
              <a16:creationId xmlns:a16="http://schemas.microsoft.com/office/drawing/2014/main" id="{488FEE07-AEBE-41B7-9C03-29D238D6FA8C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840" name="AutoShape 1">
          <a:extLst>
            <a:ext uri="{FF2B5EF4-FFF2-40B4-BE49-F238E27FC236}">
              <a16:creationId xmlns:a16="http://schemas.microsoft.com/office/drawing/2014/main" id="{41F984C7-D7FC-44DD-ACCB-16839FF90904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841" name="AutoShape 1">
          <a:extLst>
            <a:ext uri="{FF2B5EF4-FFF2-40B4-BE49-F238E27FC236}">
              <a16:creationId xmlns:a16="http://schemas.microsoft.com/office/drawing/2014/main" id="{B72BF459-91A2-4FD5-9A00-17A8DC1A7498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842" name="AutoShape 1">
          <a:extLst>
            <a:ext uri="{FF2B5EF4-FFF2-40B4-BE49-F238E27FC236}">
              <a16:creationId xmlns:a16="http://schemas.microsoft.com/office/drawing/2014/main" id="{543A06C9-D41D-4ACA-9D82-7A26F1D26F86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843" name="AutoShape 1">
          <a:extLst>
            <a:ext uri="{FF2B5EF4-FFF2-40B4-BE49-F238E27FC236}">
              <a16:creationId xmlns:a16="http://schemas.microsoft.com/office/drawing/2014/main" id="{0248A153-FBC7-4095-A041-281258BAC8E7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844" name="AutoShape 1">
          <a:extLst>
            <a:ext uri="{FF2B5EF4-FFF2-40B4-BE49-F238E27FC236}">
              <a16:creationId xmlns:a16="http://schemas.microsoft.com/office/drawing/2014/main" id="{DC25D3F1-E814-40E5-BC50-11DDDF039E18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845" name="AutoShape 1">
          <a:extLst>
            <a:ext uri="{FF2B5EF4-FFF2-40B4-BE49-F238E27FC236}">
              <a16:creationId xmlns:a16="http://schemas.microsoft.com/office/drawing/2014/main" id="{4D2F0B1A-66A3-4435-815C-184CF380AF7C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846" name="AutoShape 1">
          <a:extLst>
            <a:ext uri="{FF2B5EF4-FFF2-40B4-BE49-F238E27FC236}">
              <a16:creationId xmlns:a16="http://schemas.microsoft.com/office/drawing/2014/main" id="{C9C90D86-B780-4400-8C4E-C531B1BC0084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847" name="AutoShape 1">
          <a:extLst>
            <a:ext uri="{FF2B5EF4-FFF2-40B4-BE49-F238E27FC236}">
              <a16:creationId xmlns:a16="http://schemas.microsoft.com/office/drawing/2014/main" id="{9DDAF128-96F6-467A-A80E-AEB49CEC999D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848" name="AutoShape 1">
          <a:extLst>
            <a:ext uri="{FF2B5EF4-FFF2-40B4-BE49-F238E27FC236}">
              <a16:creationId xmlns:a16="http://schemas.microsoft.com/office/drawing/2014/main" id="{D57BA6C9-6270-4B96-8EF7-D1504541FF8C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849" name="AutoShape 1">
          <a:extLst>
            <a:ext uri="{FF2B5EF4-FFF2-40B4-BE49-F238E27FC236}">
              <a16:creationId xmlns:a16="http://schemas.microsoft.com/office/drawing/2014/main" id="{5D3AF3D4-EB8A-4A53-B496-6F0753335E9F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850" name="AutoShape 1">
          <a:extLst>
            <a:ext uri="{FF2B5EF4-FFF2-40B4-BE49-F238E27FC236}">
              <a16:creationId xmlns:a16="http://schemas.microsoft.com/office/drawing/2014/main" id="{B41F2C45-8277-45F9-8291-141F5F7356C1}"/>
            </a:ext>
            <a:ext uri="{147F2762-F138-4A5C-976F-8EAC2B608ADB}">
              <a16:predDERef xmlns:a16="http://schemas.microsoft.com/office/drawing/2014/main" pred="{A9C9C4DB-4B97-447C-9099-E87BCB3C537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851" name="AutoShape 1">
          <a:extLst>
            <a:ext uri="{FF2B5EF4-FFF2-40B4-BE49-F238E27FC236}">
              <a16:creationId xmlns:a16="http://schemas.microsoft.com/office/drawing/2014/main" id="{492319F7-8477-43B8-A3F7-56A62491B911}"/>
            </a:ext>
            <a:ext uri="{147F2762-F138-4A5C-976F-8EAC2B608ADB}">
              <a16:predDERef xmlns:a16="http://schemas.microsoft.com/office/drawing/2014/main" pred="{CD89554D-BD76-42AD-819A-278AD445B86E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852" name="AutoShape 1">
          <a:extLst>
            <a:ext uri="{FF2B5EF4-FFF2-40B4-BE49-F238E27FC236}">
              <a16:creationId xmlns:a16="http://schemas.microsoft.com/office/drawing/2014/main" id="{2F0114FF-28FE-4AD5-A6D5-AFA0838F361D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853" name="AutoShape 1">
          <a:extLst>
            <a:ext uri="{FF2B5EF4-FFF2-40B4-BE49-F238E27FC236}">
              <a16:creationId xmlns:a16="http://schemas.microsoft.com/office/drawing/2014/main" id="{61E46E1E-1692-4FF0-86C5-967E1A159BE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854" name="AutoShape 1">
          <a:extLst>
            <a:ext uri="{FF2B5EF4-FFF2-40B4-BE49-F238E27FC236}">
              <a16:creationId xmlns:a16="http://schemas.microsoft.com/office/drawing/2014/main" id="{66FE412A-77C9-46A4-BC0E-389B0B12ED11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855" name="AutoShape 1">
          <a:extLst>
            <a:ext uri="{FF2B5EF4-FFF2-40B4-BE49-F238E27FC236}">
              <a16:creationId xmlns:a16="http://schemas.microsoft.com/office/drawing/2014/main" id="{7FED1148-5244-4BEC-BB06-7C307E979BAF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856" name="AutoShape 1">
          <a:extLst>
            <a:ext uri="{FF2B5EF4-FFF2-40B4-BE49-F238E27FC236}">
              <a16:creationId xmlns:a16="http://schemas.microsoft.com/office/drawing/2014/main" id="{ADD718CB-1883-4C2F-ACCF-512325AF5EFF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857" name="AutoShape 1">
          <a:extLst>
            <a:ext uri="{FF2B5EF4-FFF2-40B4-BE49-F238E27FC236}">
              <a16:creationId xmlns:a16="http://schemas.microsoft.com/office/drawing/2014/main" id="{F235ED92-65EB-494F-AF11-5B61F5715BD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858" name="AutoShape 1">
          <a:extLst>
            <a:ext uri="{FF2B5EF4-FFF2-40B4-BE49-F238E27FC236}">
              <a16:creationId xmlns:a16="http://schemas.microsoft.com/office/drawing/2014/main" id="{597DB068-3AC4-406C-AD73-3164DDDAB3E1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859" name="AutoShape 1">
          <a:extLst>
            <a:ext uri="{FF2B5EF4-FFF2-40B4-BE49-F238E27FC236}">
              <a16:creationId xmlns:a16="http://schemas.microsoft.com/office/drawing/2014/main" id="{00DAA6D9-89D4-4C44-88F5-86DEEEDEBD5E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860" name="AutoShape 1">
          <a:extLst>
            <a:ext uri="{FF2B5EF4-FFF2-40B4-BE49-F238E27FC236}">
              <a16:creationId xmlns:a16="http://schemas.microsoft.com/office/drawing/2014/main" id="{36DEEE59-B78C-4D40-9A22-A1C0B71E829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861" name="AutoShape 1">
          <a:extLst>
            <a:ext uri="{FF2B5EF4-FFF2-40B4-BE49-F238E27FC236}">
              <a16:creationId xmlns:a16="http://schemas.microsoft.com/office/drawing/2014/main" id="{96F55C60-B0A3-4A36-A11C-4D29A7590F63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862" name="AutoShape 1">
          <a:extLst>
            <a:ext uri="{FF2B5EF4-FFF2-40B4-BE49-F238E27FC236}">
              <a16:creationId xmlns:a16="http://schemas.microsoft.com/office/drawing/2014/main" id="{2602A5DA-4E2D-491B-B462-82CBA2956617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863" name="AutoShape 1">
          <a:extLst>
            <a:ext uri="{FF2B5EF4-FFF2-40B4-BE49-F238E27FC236}">
              <a16:creationId xmlns:a16="http://schemas.microsoft.com/office/drawing/2014/main" id="{AFB82087-DD2A-4789-8432-E88113E746A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864" name="AutoShape 1">
          <a:extLst>
            <a:ext uri="{FF2B5EF4-FFF2-40B4-BE49-F238E27FC236}">
              <a16:creationId xmlns:a16="http://schemas.microsoft.com/office/drawing/2014/main" id="{0010C26A-5E83-4F0E-927B-865DB101A5D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865" name="AutoShape 1">
          <a:extLst>
            <a:ext uri="{FF2B5EF4-FFF2-40B4-BE49-F238E27FC236}">
              <a16:creationId xmlns:a16="http://schemas.microsoft.com/office/drawing/2014/main" id="{5B220D52-6A1F-4466-81EF-D864820ACDC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866" name="AutoShape 1">
          <a:extLst>
            <a:ext uri="{FF2B5EF4-FFF2-40B4-BE49-F238E27FC236}">
              <a16:creationId xmlns:a16="http://schemas.microsoft.com/office/drawing/2014/main" id="{8570784A-6C0D-4684-A7A9-BC8D26A7E67F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867" name="AutoShape 1">
          <a:extLst>
            <a:ext uri="{FF2B5EF4-FFF2-40B4-BE49-F238E27FC236}">
              <a16:creationId xmlns:a16="http://schemas.microsoft.com/office/drawing/2014/main" id="{1B7776EE-DC8E-4B3C-B428-FEA06B6D8E77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868" name="AutoShape 1">
          <a:extLst>
            <a:ext uri="{FF2B5EF4-FFF2-40B4-BE49-F238E27FC236}">
              <a16:creationId xmlns:a16="http://schemas.microsoft.com/office/drawing/2014/main" id="{7755959D-B825-495C-A338-19C962DC4C8E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869" name="AutoShape 1">
          <a:extLst>
            <a:ext uri="{FF2B5EF4-FFF2-40B4-BE49-F238E27FC236}">
              <a16:creationId xmlns:a16="http://schemas.microsoft.com/office/drawing/2014/main" id="{C7793340-6DAF-4B45-88BC-2149051D77B2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870" name="AutoShape 1">
          <a:extLst>
            <a:ext uri="{FF2B5EF4-FFF2-40B4-BE49-F238E27FC236}">
              <a16:creationId xmlns:a16="http://schemas.microsoft.com/office/drawing/2014/main" id="{EE8BFAA4-89C2-40F5-8C36-2133ADA3F952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871" name="AutoShape 1">
          <a:extLst>
            <a:ext uri="{FF2B5EF4-FFF2-40B4-BE49-F238E27FC236}">
              <a16:creationId xmlns:a16="http://schemas.microsoft.com/office/drawing/2014/main" id="{DF0DAAA0-54FD-46AC-B24D-F93D1C27EAD7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872" name="AutoShape 1">
          <a:extLst>
            <a:ext uri="{FF2B5EF4-FFF2-40B4-BE49-F238E27FC236}">
              <a16:creationId xmlns:a16="http://schemas.microsoft.com/office/drawing/2014/main" id="{B6940F4F-A125-4039-9B36-7877E8F34109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873" name="AutoShape 1">
          <a:extLst>
            <a:ext uri="{FF2B5EF4-FFF2-40B4-BE49-F238E27FC236}">
              <a16:creationId xmlns:a16="http://schemas.microsoft.com/office/drawing/2014/main" id="{3EAA5D43-FA4A-43AA-8C29-4D03D9211F19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874" name="AutoShape 1">
          <a:extLst>
            <a:ext uri="{FF2B5EF4-FFF2-40B4-BE49-F238E27FC236}">
              <a16:creationId xmlns:a16="http://schemas.microsoft.com/office/drawing/2014/main" id="{55798BF0-33FA-4B17-88E8-874CEC5AE64E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875" name="AutoShape 1">
          <a:extLst>
            <a:ext uri="{FF2B5EF4-FFF2-40B4-BE49-F238E27FC236}">
              <a16:creationId xmlns:a16="http://schemas.microsoft.com/office/drawing/2014/main" id="{FA16CA17-D620-4BB9-9BEE-FF3661E13B30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876" name="AutoShape 1">
          <a:extLst>
            <a:ext uri="{FF2B5EF4-FFF2-40B4-BE49-F238E27FC236}">
              <a16:creationId xmlns:a16="http://schemas.microsoft.com/office/drawing/2014/main" id="{369F24EA-8992-466A-972B-4FC9CDE1C6A2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877" name="AutoShape 1">
          <a:extLst>
            <a:ext uri="{FF2B5EF4-FFF2-40B4-BE49-F238E27FC236}">
              <a16:creationId xmlns:a16="http://schemas.microsoft.com/office/drawing/2014/main" id="{1C13AFD6-FD74-46C1-B598-B26FCB43DF6E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878" name="AutoShape 1">
          <a:extLst>
            <a:ext uri="{FF2B5EF4-FFF2-40B4-BE49-F238E27FC236}">
              <a16:creationId xmlns:a16="http://schemas.microsoft.com/office/drawing/2014/main" id="{B9ECB269-7320-4F13-8AE4-C840E872480D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879" name="AutoShape 1">
          <a:extLst>
            <a:ext uri="{FF2B5EF4-FFF2-40B4-BE49-F238E27FC236}">
              <a16:creationId xmlns:a16="http://schemas.microsoft.com/office/drawing/2014/main" id="{D9288E93-0425-400F-A663-2AEF284B8293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880" name="AutoShape 1">
          <a:extLst>
            <a:ext uri="{FF2B5EF4-FFF2-40B4-BE49-F238E27FC236}">
              <a16:creationId xmlns:a16="http://schemas.microsoft.com/office/drawing/2014/main" id="{B8CE9465-38A8-47B7-8EC1-B44C6D94CFDE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881" name="AutoShape 1">
          <a:extLst>
            <a:ext uri="{FF2B5EF4-FFF2-40B4-BE49-F238E27FC236}">
              <a16:creationId xmlns:a16="http://schemas.microsoft.com/office/drawing/2014/main" id="{67D00F88-346D-4C62-AA3F-3EFA6B5D501C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882" name="AutoShape 1">
          <a:extLst>
            <a:ext uri="{FF2B5EF4-FFF2-40B4-BE49-F238E27FC236}">
              <a16:creationId xmlns:a16="http://schemas.microsoft.com/office/drawing/2014/main" id="{11CC1CFA-A37A-4F4D-AA3F-975B259F801E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883" name="AutoShape 1">
          <a:extLst>
            <a:ext uri="{FF2B5EF4-FFF2-40B4-BE49-F238E27FC236}">
              <a16:creationId xmlns:a16="http://schemas.microsoft.com/office/drawing/2014/main" id="{AF4D793E-3491-4D65-8DF8-551D57FE62E6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884" name="AutoShape 1">
          <a:extLst>
            <a:ext uri="{FF2B5EF4-FFF2-40B4-BE49-F238E27FC236}">
              <a16:creationId xmlns:a16="http://schemas.microsoft.com/office/drawing/2014/main" id="{C3549750-81FE-40FA-8A17-D220E9B16501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885" name="AutoShape 1">
          <a:extLst>
            <a:ext uri="{FF2B5EF4-FFF2-40B4-BE49-F238E27FC236}">
              <a16:creationId xmlns:a16="http://schemas.microsoft.com/office/drawing/2014/main" id="{B699BCEA-FF7E-422C-B99B-E867C62E7344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886" name="AutoShape 1">
          <a:extLst>
            <a:ext uri="{FF2B5EF4-FFF2-40B4-BE49-F238E27FC236}">
              <a16:creationId xmlns:a16="http://schemas.microsoft.com/office/drawing/2014/main" id="{C354A2BF-50BD-4622-B696-12B28D15EA18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887" name="AutoShape 1">
          <a:extLst>
            <a:ext uri="{FF2B5EF4-FFF2-40B4-BE49-F238E27FC236}">
              <a16:creationId xmlns:a16="http://schemas.microsoft.com/office/drawing/2014/main" id="{1A7CE7A8-4AA8-4B24-8C32-975EB7115F70}"/>
            </a:ext>
            <a:ext uri="{147F2762-F138-4A5C-976F-8EAC2B608ADB}">
              <a16:predDERef xmlns:a16="http://schemas.microsoft.com/office/drawing/2014/main" pred="{A9C9C4DB-4B97-447C-9099-E87BCB3C537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480</xdr:row>
      <xdr:rowOff>0</xdr:rowOff>
    </xdr:from>
    <xdr:ext cx="304800" cy="304800"/>
    <xdr:sp macro="" textlink="">
      <xdr:nvSpPr>
        <xdr:cNvPr id="2888" name="AutoShape 1">
          <a:extLst>
            <a:ext uri="{FF2B5EF4-FFF2-40B4-BE49-F238E27FC236}">
              <a16:creationId xmlns:a16="http://schemas.microsoft.com/office/drawing/2014/main" id="{1EC64E54-DCE3-45DE-A053-4DC0C4C3BC5A}"/>
            </a:ext>
            <a:ext uri="{147F2762-F138-4A5C-976F-8EAC2B608ADB}">
              <a16:predDERef xmlns:a16="http://schemas.microsoft.com/office/drawing/2014/main" pred="{CD89554D-BD76-42AD-819A-278AD445B86E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85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506</xdr:row>
      <xdr:rowOff>0</xdr:rowOff>
    </xdr:from>
    <xdr:ext cx="304800" cy="304800"/>
    <xdr:sp macro="" textlink="">
      <xdr:nvSpPr>
        <xdr:cNvPr id="2889" name="AutoShape 1">
          <a:extLst>
            <a:ext uri="{FF2B5EF4-FFF2-40B4-BE49-F238E27FC236}">
              <a16:creationId xmlns:a16="http://schemas.microsoft.com/office/drawing/2014/main" id="{94278DDC-4FD1-4D53-9CDC-F09EB561162F}"/>
            </a:ext>
          </a:extLst>
        </xdr:cNvPr>
        <xdr:cNvSpPr>
          <a:spLocks noChangeAspect="1" noChangeArrowheads="1"/>
        </xdr:cNvSpPr>
      </xdr:nvSpPr>
      <xdr:spPr bwMode="auto">
        <a:xfrm>
          <a:off x="2959100" y="9338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506</xdr:row>
      <xdr:rowOff>0</xdr:rowOff>
    </xdr:from>
    <xdr:ext cx="304800" cy="304800"/>
    <xdr:sp macro="" textlink="">
      <xdr:nvSpPr>
        <xdr:cNvPr id="2890" name="AutoShape 1">
          <a:extLst>
            <a:ext uri="{FF2B5EF4-FFF2-40B4-BE49-F238E27FC236}">
              <a16:creationId xmlns:a16="http://schemas.microsoft.com/office/drawing/2014/main" id="{B1BC30E8-5355-4364-9E67-4CA88DD0BFFB}"/>
            </a:ext>
          </a:extLst>
        </xdr:cNvPr>
        <xdr:cNvSpPr>
          <a:spLocks noChangeAspect="1" noChangeArrowheads="1"/>
        </xdr:cNvSpPr>
      </xdr:nvSpPr>
      <xdr:spPr bwMode="auto">
        <a:xfrm>
          <a:off x="2959100" y="9338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526</xdr:row>
      <xdr:rowOff>0</xdr:rowOff>
    </xdr:from>
    <xdr:ext cx="304800" cy="304800"/>
    <xdr:sp macro="" textlink="">
      <xdr:nvSpPr>
        <xdr:cNvPr id="2891" name="AutoShape 1">
          <a:extLst>
            <a:ext uri="{FF2B5EF4-FFF2-40B4-BE49-F238E27FC236}">
              <a16:creationId xmlns:a16="http://schemas.microsoft.com/office/drawing/2014/main" id="{20C1E808-5F64-41FB-8BE8-6B41D74ACD0C}"/>
            </a:ext>
          </a:extLst>
        </xdr:cNvPr>
        <xdr:cNvSpPr>
          <a:spLocks noChangeAspect="1" noChangeArrowheads="1"/>
        </xdr:cNvSpPr>
      </xdr:nvSpPr>
      <xdr:spPr bwMode="auto">
        <a:xfrm>
          <a:off x="2959100" y="9706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526</xdr:row>
      <xdr:rowOff>0</xdr:rowOff>
    </xdr:from>
    <xdr:ext cx="304800" cy="304800"/>
    <xdr:sp macro="" textlink="">
      <xdr:nvSpPr>
        <xdr:cNvPr id="2892" name="AutoShape 1">
          <a:extLst>
            <a:ext uri="{FF2B5EF4-FFF2-40B4-BE49-F238E27FC236}">
              <a16:creationId xmlns:a16="http://schemas.microsoft.com/office/drawing/2014/main" id="{FD78C30C-C06A-4CBB-8BFD-7387EE68ECB4}"/>
            </a:ext>
          </a:extLst>
        </xdr:cNvPr>
        <xdr:cNvSpPr>
          <a:spLocks noChangeAspect="1" noChangeArrowheads="1"/>
        </xdr:cNvSpPr>
      </xdr:nvSpPr>
      <xdr:spPr bwMode="auto">
        <a:xfrm>
          <a:off x="2959100" y="9706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545</xdr:row>
      <xdr:rowOff>0</xdr:rowOff>
    </xdr:from>
    <xdr:ext cx="304800" cy="304800"/>
    <xdr:sp macro="" textlink="">
      <xdr:nvSpPr>
        <xdr:cNvPr id="2893" name="AutoShape 1">
          <a:extLst>
            <a:ext uri="{FF2B5EF4-FFF2-40B4-BE49-F238E27FC236}">
              <a16:creationId xmlns:a16="http://schemas.microsoft.com/office/drawing/2014/main" id="{7198B042-A30C-4244-9612-B80E312FBA0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10056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545</xdr:row>
      <xdr:rowOff>0</xdr:rowOff>
    </xdr:from>
    <xdr:ext cx="304800" cy="304800"/>
    <xdr:sp macro="" textlink="">
      <xdr:nvSpPr>
        <xdr:cNvPr id="2894" name="AutoShape 1">
          <a:extLst>
            <a:ext uri="{FF2B5EF4-FFF2-40B4-BE49-F238E27FC236}">
              <a16:creationId xmlns:a16="http://schemas.microsoft.com/office/drawing/2014/main" id="{E9AD51AD-AFE3-4733-8782-C3B720745F5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10056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573</xdr:row>
      <xdr:rowOff>0</xdr:rowOff>
    </xdr:from>
    <xdr:ext cx="304800" cy="304800"/>
    <xdr:sp macro="" textlink="">
      <xdr:nvSpPr>
        <xdr:cNvPr id="2895" name="AutoShape 1">
          <a:extLst>
            <a:ext uri="{FF2B5EF4-FFF2-40B4-BE49-F238E27FC236}">
              <a16:creationId xmlns:a16="http://schemas.microsoft.com/office/drawing/2014/main" id="{4E3E92DD-8623-4776-AE89-72EEB9278691}"/>
            </a:ext>
          </a:extLst>
        </xdr:cNvPr>
        <xdr:cNvSpPr>
          <a:spLocks noChangeAspect="1" noChangeArrowheads="1"/>
        </xdr:cNvSpPr>
      </xdr:nvSpPr>
      <xdr:spPr bwMode="auto">
        <a:xfrm>
          <a:off x="2959100" y="10572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573</xdr:row>
      <xdr:rowOff>0</xdr:rowOff>
    </xdr:from>
    <xdr:ext cx="304800" cy="304800"/>
    <xdr:sp macro="" textlink="">
      <xdr:nvSpPr>
        <xdr:cNvPr id="2896" name="AutoShape 1">
          <a:extLst>
            <a:ext uri="{FF2B5EF4-FFF2-40B4-BE49-F238E27FC236}">
              <a16:creationId xmlns:a16="http://schemas.microsoft.com/office/drawing/2014/main" id="{F7D37C98-D357-4DC8-AA33-8AEF5A6339C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10572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597</xdr:row>
      <xdr:rowOff>0</xdr:rowOff>
    </xdr:from>
    <xdr:ext cx="304800" cy="304800"/>
    <xdr:sp macro="" textlink="">
      <xdr:nvSpPr>
        <xdr:cNvPr id="2897" name="AutoShape 1">
          <a:extLst>
            <a:ext uri="{FF2B5EF4-FFF2-40B4-BE49-F238E27FC236}">
              <a16:creationId xmlns:a16="http://schemas.microsoft.com/office/drawing/2014/main" id="{56C1ACC0-CEE1-42CA-8678-DEE26C637AE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11014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597</xdr:row>
      <xdr:rowOff>0</xdr:rowOff>
    </xdr:from>
    <xdr:ext cx="304800" cy="304800"/>
    <xdr:sp macro="" textlink="">
      <xdr:nvSpPr>
        <xdr:cNvPr id="2898" name="AutoShape 1">
          <a:extLst>
            <a:ext uri="{FF2B5EF4-FFF2-40B4-BE49-F238E27FC236}">
              <a16:creationId xmlns:a16="http://schemas.microsoft.com/office/drawing/2014/main" id="{71B58144-F723-42C7-BC9A-FF43BACC80A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11014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615</xdr:row>
      <xdr:rowOff>0</xdr:rowOff>
    </xdr:from>
    <xdr:ext cx="304800" cy="304800"/>
    <xdr:sp macro="" textlink="">
      <xdr:nvSpPr>
        <xdr:cNvPr id="2899" name="AutoShape 1">
          <a:extLst>
            <a:ext uri="{FF2B5EF4-FFF2-40B4-BE49-F238E27FC236}">
              <a16:creationId xmlns:a16="http://schemas.microsoft.com/office/drawing/2014/main" id="{7849F6CC-69B2-4455-9462-7B9C925006E4}"/>
            </a:ext>
          </a:extLst>
        </xdr:cNvPr>
        <xdr:cNvSpPr>
          <a:spLocks noChangeAspect="1" noChangeArrowheads="1"/>
        </xdr:cNvSpPr>
      </xdr:nvSpPr>
      <xdr:spPr bwMode="auto">
        <a:xfrm>
          <a:off x="2959100" y="11345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615</xdr:row>
      <xdr:rowOff>0</xdr:rowOff>
    </xdr:from>
    <xdr:ext cx="304800" cy="304800"/>
    <xdr:sp macro="" textlink="">
      <xdr:nvSpPr>
        <xdr:cNvPr id="2900" name="AutoShape 1">
          <a:extLst>
            <a:ext uri="{FF2B5EF4-FFF2-40B4-BE49-F238E27FC236}">
              <a16:creationId xmlns:a16="http://schemas.microsoft.com/office/drawing/2014/main" id="{E4D4E846-0284-4F6B-8019-730EE91DBD56}"/>
            </a:ext>
          </a:extLst>
        </xdr:cNvPr>
        <xdr:cNvSpPr>
          <a:spLocks noChangeAspect="1" noChangeArrowheads="1"/>
        </xdr:cNvSpPr>
      </xdr:nvSpPr>
      <xdr:spPr bwMode="auto">
        <a:xfrm>
          <a:off x="2959100" y="11345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631</xdr:row>
      <xdr:rowOff>0</xdr:rowOff>
    </xdr:from>
    <xdr:ext cx="304800" cy="304800"/>
    <xdr:sp macro="" textlink="">
      <xdr:nvSpPr>
        <xdr:cNvPr id="2901" name="AutoShape 1">
          <a:extLst>
            <a:ext uri="{FF2B5EF4-FFF2-40B4-BE49-F238E27FC236}">
              <a16:creationId xmlns:a16="http://schemas.microsoft.com/office/drawing/2014/main" id="{B77253F8-A86F-4505-8056-CDA7C96A8A9E}"/>
            </a:ext>
          </a:extLst>
        </xdr:cNvPr>
        <xdr:cNvSpPr>
          <a:spLocks noChangeAspect="1" noChangeArrowheads="1"/>
        </xdr:cNvSpPr>
      </xdr:nvSpPr>
      <xdr:spPr bwMode="auto">
        <a:xfrm>
          <a:off x="2959100" y="11640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631</xdr:row>
      <xdr:rowOff>0</xdr:rowOff>
    </xdr:from>
    <xdr:ext cx="304800" cy="304800"/>
    <xdr:sp macro="" textlink="">
      <xdr:nvSpPr>
        <xdr:cNvPr id="2902" name="AutoShape 1">
          <a:extLst>
            <a:ext uri="{FF2B5EF4-FFF2-40B4-BE49-F238E27FC236}">
              <a16:creationId xmlns:a16="http://schemas.microsoft.com/office/drawing/2014/main" id="{FB70F06F-451D-4F32-B4F7-636B1B14169B}"/>
            </a:ext>
          </a:extLst>
        </xdr:cNvPr>
        <xdr:cNvSpPr>
          <a:spLocks noChangeAspect="1" noChangeArrowheads="1"/>
        </xdr:cNvSpPr>
      </xdr:nvSpPr>
      <xdr:spPr bwMode="auto">
        <a:xfrm>
          <a:off x="2959100" y="11640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92</xdr:row>
      <xdr:rowOff>0</xdr:rowOff>
    </xdr:from>
    <xdr:ext cx="304800" cy="304800"/>
    <xdr:sp macro="" textlink="">
      <xdr:nvSpPr>
        <xdr:cNvPr id="2903" name="AutoShape 1">
          <a:extLst>
            <a:ext uri="{FF2B5EF4-FFF2-40B4-BE49-F238E27FC236}">
              <a16:creationId xmlns:a16="http://schemas.microsoft.com/office/drawing/2014/main" id="{CB20221E-FB6E-49EC-B338-FCB6A693719F}"/>
            </a:ext>
          </a:extLst>
        </xdr:cNvPr>
        <xdr:cNvSpPr>
          <a:spLocks noChangeAspect="1" noChangeArrowheads="1"/>
        </xdr:cNvSpPr>
      </xdr:nvSpPr>
      <xdr:spPr bwMode="auto">
        <a:xfrm>
          <a:off x="2959100" y="1714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100</xdr:row>
      <xdr:rowOff>0</xdr:rowOff>
    </xdr:from>
    <xdr:ext cx="304800" cy="304800"/>
    <xdr:sp macro="" textlink="">
      <xdr:nvSpPr>
        <xdr:cNvPr id="2904" name="AutoShape 1">
          <a:extLst>
            <a:ext uri="{FF2B5EF4-FFF2-40B4-BE49-F238E27FC236}">
              <a16:creationId xmlns:a16="http://schemas.microsoft.com/office/drawing/2014/main" id="{9873638F-6CC1-4E06-A528-51E525E916C9}"/>
            </a:ext>
          </a:extLst>
        </xdr:cNvPr>
        <xdr:cNvSpPr>
          <a:spLocks noChangeAspect="1" noChangeArrowheads="1"/>
        </xdr:cNvSpPr>
      </xdr:nvSpPr>
      <xdr:spPr bwMode="auto">
        <a:xfrm>
          <a:off x="2959100" y="1861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134</xdr:row>
      <xdr:rowOff>0</xdr:rowOff>
    </xdr:from>
    <xdr:ext cx="304800" cy="304800"/>
    <xdr:sp macro="" textlink="">
      <xdr:nvSpPr>
        <xdr:cNvPr id="2905" name="AutoShape 1">
          <a:extLst>
            <a:ext uri="{FF2B5EF4-FFF2-40B4-BE49-F238E27FC236}">
              <a16:creationId xmlns:a16="http://schemas.microsoft.com/office/drawing/2014/main" id="{BDF3F6C6-9357-45B5-8375-D6152AB5BE0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2487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142</xdr:row>
      <xdr:rowOff>0</xdr:rowOff>
    </xdr:from>
    <xdr:ext cx="304800" cy="304800"/>
    <xdr:sp macro="" textlink="">
      <xdr:nvSpPr>
        <xdr:cNvPr id="2906" name="AutoShape 1">
          <a:extLst>
            <a:ext uri="{FF2B5EF4-FFF2-40B4-BE49-F238E27FC236}">
              <a16:creationId xmlns:a16="http://schemas.microsoft.com/office/drawing/2014/main" id="{4D66DA14-433A-4A29-B096-4AD0BE498F36}"/>
            </a:ext>
          </a:extLst>
        </xdr:cNvPr>
        <xdr:cNvSpPr>
          <a:spLocks noChangeAspect="1" noChangeArrowheads="1"/>
        </xdr:cNvSpPr>
      </xdr:nvSpPr>
      <xdr:spPr bwMode="auto">
        <a:xfrm>
          <a:off x="2959100" y="263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165</xdr:row>
      <xdr:rowOff>0</xdr:rowOff>
    </xdr:from>
    <xdr:ext cx="304800" cy="304800"/>
    <xdr:sp macro="" textlink="">
      <xdr:nvSpPr>
        <xdr:cNvPr id="2907" name="AutoShape 1">
          <a:extLst>
            <a:ext uri="{FF2B5EF4-FFF2-40B4-BE49-F238E27FC236}">
              <a16:creationId xmlns:a16="http://schemas.microsoft.com/office/drawing/2014/main" id="{D646E6BD-E687-4D96-95D4-49BC7C57FBE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3058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173</xdr:row>
      <xdr:rowOff>0</xdr:rowOff>
    </xdr:from>
    <xdr:ext cx="304800" cy="304800"/>
    <xdr:sp macro="" textlink="">
      <xdr:nvSpPr>
        <xdr:cNvPr id="2908" name="AutoShape 1">
          <a:extLst>
            <a:ext uri="{FF2B5EF4-FFF2-40B4-BE49-F238E27FC236}">
              <a16:creationId xmlns:a16="http://schemas.microsoft.com/office/drawing/2014/main" id="{953FECED-76A4-45A9-BB88-83CFEC9CEAE0}"/>
            </a:ext>
          </a:extLst>
        </xdr:cNvPr>
        <xdr:cNvSpPr>
          <a:spLocks noChangeAspect="1" noChangeArrowheads="1"/>
        </xdr:cNvSpPr>
      </xdr:nvSpPr>
      <xdr:spPr bwMode="auto">
        <a:xfrm>
          <a:off x="2959100" y="3206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201</xdr:row>
      <xdr:rowOff>0</xdr:rowOff>
    </xdr:from>
    <xdr:ext cx="304800" cy="304800"/>
    <xdr:sp macro="" textlink="">
      <xdr:nvSpPr>
        <xdr:cNvPr id="2909" name="AutoShape 1">
          <a:extLst>
            <a:ext uri="{FF2B5EF4-FFF2-40B4-BE49-F238E27FC236}">
              <a16:creationId xmlns:a16="http://schemas.microsoft.com/office/drawing/2014/main" id="{B68E388C-B1A0-438C-A344-50560F34FAEF}"/>
            </a:ext>
          </a:extLst>
        </xdr:cNvPr>
        <xdr:cNvSpPr>
          <a:spLocks noChangeAspect="1" noChangeArrowheads="1"/>
        </xdr:cNvSpPr>
      </xdr:nvSpPr>
      <xdr:spPr bwMode="auto">
        <a:xfrm>
          <a:off x="2959100" y="3721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209</xdr:row>
      <xdr:rowOff>0</xdr:rowOff>
    </xdr:from>
    <xdr:ext cx="304800" cy="304800"/>
    <xdr:sp macro="" textlink="">
      <xdr:nvSpPr>
        <xdr:cNvPr id="2910" name="AutoShape 1">
          <a:extLst>
            <a:ext uri="{FF2B5EF4-FFF2-40B4-BE49-F238E27FC236}">
              <a16:creationId xmlns:a16="http://schemas.microsoft.com/office/drawing/2014/main" id="{EB54CF8D-1EAF-4254-BDA1-6481085068AB}"/>
            </a:ext>
          </a:extLst>
        </xdr:cNvPr>
        <xdr:cNvSpPr>
          <a:spLocks noChangeAspect="1" noChangeArrowheads="1"/>
        </xdr:cNvSpPr>
      </xdr:nvSpPr>
      <xdr:spPr bwMode="auto">
        <a:xfrm>
          <a:off x="2959100" y="3869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234</xdr:row>
      <xdr:rowOff>0</xdr:rowOff>
    </xdr:from>
    <xdr:ext cx="304800" cy="304800"/>
    <xdr:sp macro="" textlink="">
      <xdr:nvSpPr>
        <xdr:cNvPr id="2911" name="AutoShape 1">
          <a:extLst>
            <a:ext uri="{FF2B5EF4-FFF2-40B4-BE49-F238E27FC236}">
              <a16:creationId xmlns:a16="http://schemas.microsoft.com/office/drawing/2014/main" id="{D7DBBEDF-C05A-4C1B-9E94-72F77E71986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329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242</xdr:row>
      <xdr:rowOff>0</xdr:rowOff>
    </xdr:from>
    <xdr:ext cx="304800" cy="304800"/>
    <xdr:sp macro="" textlink="">
      <xdr:nvSpPr>
        <xdr:cNvPr id="2912" name="AutoShape 1">
          <a:extLst>
            <a:ext uri="{FF2B5EF4-FFF2-40B4-BE49-F238E27FC236}">
              <a16:creationId xmlns:a16="http://schemas.microsoft.com/office/drawing/2014/main" id="{B45B92F0-819C-4C8F-A9AE-054945DF389E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476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266</xdr:row>
      <xdr:rowOff>0</xdr:rowOff>
    </xdr:from>
    <xdr:ext cx="304800" cy="304800"/>
    <xdr:sp macro="" textlink="">
      <xdr:nvSpPr>
        <xdr:cNvPr id="2913" name="AutoShape 1">
          <a:extLst>
            <a:ext uri="{FF2B5EF4-FFF2-40B4-BE49-F238E27FC236}">
              <a16:creationId xmlns:a16="http://schemas.microsoft.com/office/drawing/2014/main" id="{0A2DE065-E466-404C-A9E3-CC134705BF29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4918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285</xdr:row>
      <xdr:rowOff>0</xdr:rowOff>
    </xdr:from>
    <xdr:ext cx="304800" cy="304800"/>
    <xdr:sp macro="" textlink="">
      <xdr:nvSpPr>
        <xdr:cNvPr id="2914" name="AutoShape 1">
          <a:extLst>
            <a:ext uri="{FF2B5EF4-FFF2-40B4-BE49-F238E27FC236}">
              <a16:creationId xmlns:a16="http://schemas.microsoft.com/office/drawing/2014/main" id="{68C4E15A-5CA1-468F-AB2D-050037716502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268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293</xdr:row>
      <xdr:rowOff>0</xdr:rowOff>
    </xdr:from>
    <xdr:ext cx="304800" cy="304800"/>
    <xdr:sp macro="" textlink="">
      <xdr:nvSpPr>
        <xdr:cNvPr id="2915" name="AutoShape 1">
          <a:extLst>
            <a:ext uri="{FF2B5EF4-FFF2-40B4-BE49-F238E27FC236}">
              <a16:creationId xmlns:a16="http://schemas.microsoft.com/office/drawing/2014/main" id="{782DD83F-FC5E-40FB-BAA8-A34126DAA752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415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323</xdr:row>
      <xdr:rowOff>0</xdr:rowOff>
    </xdr:from>
    <xdr:ext cx="304800" cy="304800"/>
    <xdr:sp macro="" textlink="">
      <xdr:nvSpPr>
        <xdr:cNvPr id="2916" name="AutoShape 1">
          <a:extLst>
            <a:ext uri="{FF2B5EF4-FFF2-40B4-BE49-F238E27FC236}">
              <a16:creationId xmlns:a16="http://schemas.microsoft.com/office/drawing/2014/main" id="{10E72DFA-41AB-438C-ABE6-2005EBFC23F1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968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323</xdr:row>
      <xdr:rowOff>0</xdr:rowOff>
    </xdr:from>
    <xdr:ext cx="304800" cy="304800"/>
    <xdr:sp macro="" textlink="">
      <xdr:nvSpPr>
        <xdr:cNvPr id="2917" name="AutoShape 1">
          <a:extLst>
            <a:ext uri="{FF2B5EF4-FFF2-40B4-BE49-F238E27FC236}">
              <a16:creationId xmlns:a16="http://schemas.microsoft.com/office/drawing/2014/main" id="{7A3DDD2D-0A94-4A87-8743-CB87B982FB58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5968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352</xdr:row>
      <xdr:rowOff>0</xdr:rowOff>
    </xdr:from>
    <xdr:ext cx="304800" cy="304800"/>
    <xdr:sp macro="" textlink="">
      <xdr:nvSpPr>
        <xdr:cNvPr id="2918" name="AutoShape 1">
          <a:extLst>
            <a:ext uri="{FF2B5EF4-FFF2-40B4-BE49-F238E27FC236}">
              <a16:creationId xmlns:a16="http://schemas.microsoft.com/office/drawing/2014/main" id="{FFA66F41-A038-489E-96CF-31236F2891CF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50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360</xdr:row>
      <xdr:rowOff>0</xdr:rowOff>
    </xdr:from>
    <xdr:ext cx="304800" cy="304800"/>
    <xdr:sp macro="" textlink="">
      <xdr:nvSpPr>
        <xdr:cNvPr id="2919" name="AutoShape 1">
          <a:extLst>
            <a:ext uri="{FF2B5EF4-FFF2-40B4-BE49-F238E27FC236}">
              <a16:creationId xmlns:a16="http://schemas.microsoft.com/office/drawing/2014/main" id="{2394D7A3-E8BE-4648-80EB-C59F0C5597F0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649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377</xdr:row>
      <xdr:rowOff>0</xdr:rowOff>
    </xdr:from>
    <xdr:ext cx="304800" cy="304800"/>
    <xdr:sp macro="" textlink="">
      <xdr:nvSpPr>
        <xdr:cNvPr id="2920" name="AutoShape 1">
          <a:extLst>
            <a:ext uri="{FF2B5EF4-FFF2-40B4-BE49-F238E27FC236}">
              <a16:creationId xmlns:a16="http://schemas.microsoft.com/office/drawing/2014/main" id="{8DC8454B-339D-4731-B247-FE030166E877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6962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385</xdr:row>
      <xdr:rowOff>0</xdr:rowOff>
    </xdr:from>
    <xdr:ext cx="304800" cy="304800"/>
    <xdr:sp macro="" textlink="">
      <xdr:nvSpPr>
        <xdr:cNvPr id="2921" name="AutoShape 1">
          <a:extLst>
            <a:ext uri="{FF2B5EF4-FFF2-40B4-BE49-F238E27FC236}">
              <a16:creationId xmlns:a16="http://schemas.microsoft.com/office/drawing/2014/main" id="{59F3A7A3-34A3-426B-A7C1-1D21C28A5C56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110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402</xdr:row>
      <xdr:rowOff>0</xdr:rowOff>
    </xdr:from>
    <xdr:ext cx="304800" cy="304800"/>
    <xdr:sp macro="" textlink="">
      <xdr:nvSpPr>
        <xdr:cNvPr id="2922" name="AutoShape 1">
          <a:extLst>
            <a:ext uri="{FF2B5EF4-FFF2-40B4-BE49-F238E27FC236}">
              <a16:creationId xmlns:a16="http://schemas.microsoft.com/office/drawing/2014/main" id="{33EDB92A-A483-4D84-B51F-B8020018D339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423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410</xdr:row>
      <xdr:rowOff>0</xdr:rowOff>
    </xdr:from>
    <xdr:ext cx="304800" cy="304800"/>
    <xdr:sp macro="" textlink="">
      <xdr:nvSpPr>
        <xdr:cNvPr id="2923" name="AutoShape 1">
          <a:extLst>
            <a:ext uri="{FF2B5EF4-FFF2-40B4-BE49-F238E27FC236}">
              <a16:creationId xmlns:a16="http://schemas.microsoft.com/office/drawing/2014/main" id="{A484CEDF-74B9-46C2-B539-CED564CFAA81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570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433</xdr:row>
      <xdr:rowOff>0</xdr:rowOff>
    </xdr:from>
    <xdr:ext cx="304800" cy="304800"/>
    <xdr:sp macro="" textlink="">
      <xdr:nvSpPr>
        <xdr:cNvPr id="2924" name="AutoShape 1">
          <a:extLst>
            <a:ext uri="{FF2B5EF4-FFF2-40B4-BE49-F238E27FC236}">
              <a16:creationId xmlns:a16="http://schemas.microsoft.com/office/drawing/2014/main" id="{0BF6156E-99FE-4AA2-9930-6EAC25E8DA5C}"/>
            </a:ext>
            <a:ext uri="{147F2762-F138-4A5C-976F-8EAC2B608ADB}">
              <a16:predDERef xmlns:a16="http://schemas.microsoft.com/office/drawing/2014/main" pred="{BE16AFF2-E3B6-47C7-BA00-AEB2BC2B9B12}"/>
            </a:ext>
          </a:extLst>
        </xdr:cNvPr>
        <xdr:cNvSpPr>
          <a:spLocks noChangeAspect="1" noChangeArrowheads="1"/>
        </xdr:cNvSpPr>
      </xdr:nvSpPr>
      <xdr:spPr bwMode="auto">
        <a:xfrm>
          <a:off x="2959100" y="7994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441</xdr:row>
      <xdr:rowOff>0</xdr:rowOff>
    </xdr:from>
    <xdr:ext cx="304800" cy="304800"/>
    <xdr:sp macro="" textlink="">
      <xdr:nvSpPr>
        <xdr:cNvPr id="2925" name="AutoShape 1">
          <a:extLst>
            <a:ext uri="{FF2B5EF4-FFF2-40B4-BE49-F238E27FC236}">
              <a16:creationId xmlns:a16="http://schemas.microsoft.com/office/drawing/2014/main" id="{C1BE3C17-D2D7-4ACA-A78A-37288C6C0F61}"/>
            </a:ext>
            <a:ext uri="{147F2762-F138-4A5C-976F-8EAC2B608ADB}">
              <a16:predDERef xmlns:a16="http://schemas.microsoft.com/office/drawing/2014/main" pred="{0DC16C0F-C75C-41D3-8AD8-85CA713483F5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141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458</xdr:row>
      <xdr:rowOff>0</xdr:rowOff>
    </xdr:from>
    <xdr:ext cx="304800" cy="304800"/>
    <xdr:sp macro="" textlink="">
      <xdr:nvSpPr>
        <xdr:cNvPr id="2926" name="AutoShape 1">
          <a:extLst>
            <a:ext uri="{FF2B5EF4-FFF2-40B4-BE49-F238E27FC236}">
              <a16:creationId xmlns:a16="http://schemas.microsoft.com/office/drawing/2014/main" id="{D3D2CC7C-FF5F-4192-87AD-969124FB9DD5}"/>
            </a:ext>
            <a:ext uri="{147F2762-F138-4A5C-976F-8EAC2B608ADB}">
              <a16:predDERef xmlns:a16="http://schemas.microsoft.com/office/drawing/2014/main" pred="{4B9406CD-5359-4448-9034-53A85D612CA8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454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466</xdr:row>
      <xdr:rowOff>0</xdr:rowOff>
    </xdr:from>
    <xdr:ext cx="304800" cy="304800"/>
    <xdr:sp macro="" textlink="">
      <xdr:nvSpPr>
        <xdr:cNvPr id="2927" name="AutoShape 1">
          <a:extLst>
            <a:ext uri="{FF2B5EF4-FFF2-40B4-BE49-F238E27FC236}">
              <a16:creationId xmlns:a16="http://schemas.microsoft.com/office/drawing/2014/main" id="{9903D17A-336A-46FC-A023-59447789D222}"/>
            </a:ext>
            <a:ext uri="{147F2762-F138-4A5C-976F-8EAC2B608ADB}">
              <a16:predDERef xmlns:a16="http://schemas.microsoft.com/office/drawing/2014/main" pred="{8BC6310E-02F6-4482-A323-1B634E476F4D}"/>
            </a:ext>
          </a:extLst>
        </xdr:cNvPr>
        <xdr:cNvSpPr>
          <a:spLocks noChangeAspect="1" noChangeArrowheads="1"/>
        </xdr:cNvSpPr>
      </xdr:nvSpPr>
      <xdr:spPr bwMode="auto">
        <a:xfrm>
          <a:off x="2959100" y="8601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5A1CB-E807-438B-A023-31FB03C484E3}">
  <dimension ref="B1:K957"/>
  <sheetViews>
    <sheetView tabSelected="1" workbookViewId="0">
      <selection activeCell="J8" sqref="J8"/>
    </sheetView>
  </sheetViews>
  <sheetFormatPr defaultColWidth="11.3984375" defaultRowHeight="14.25" x14ac:dyDescent="0.45"/>
  <cols>
    <col min="1" max="1" width="3.73046875" customWidth="1"/>
    <col min="2" max="2" width="6.33203125" customWidth="1"/>
    <col min="3" max="3" width="9.3984375" customWidth="1"/>
    <col min="4" max="4" width="36.86328125" customWidth="1"/>
    <col min="5" max="5" width="9.53125" customWidth="1"/>
    <col min="6" max="6" width="12.796875" bestFit="1" customWidth="1"/>
    <col min="7" max="9" width="13.33203125" customWidth="1"/>
    <col min="10" max="10" width="25.265625" customWidth="1"/>
    <col min="11" max="11" width="10.73046875" customWidth="1"/>
    <col min="12" max="12" width="13.46484375" customWidth="1"/>
  </cols>
  <sheetData>
    <row r="1" spans="2:11" ht="14.65" thickBot="1" x14ac:dyDescent="0.5"/>
    <row r="2" spans="2:11" ht="21.4" thickBot="1" x14ac:dyDescent="0.7">
      <c r="B2" s="1" t="s">
        <v>0</v>
      </c>
      <c r="C2" s="1"/>
      <c r="D2" s="2"/>
      <c r="E2" s="1"/>
      <c r="F2" s="1"/>
      <c r="G2" s="1"/>
      <c r="H2" s="1"/>
      <c r="I2" s="1"/>
      <c r="J2" s="1"/>
      <c r="K2" s="3"/>
    </row>
    <row r="3" spans="2:11" ht="24" customHeight="1" thickBot="1" x14ac:dyDescent="0.55000000000000004">
      <c r="B3" s="4" t="s">
        <v>1</v>
      </c>
      <c r="C3" s="5" t="s">
        <v>2</v>
      </c>
      <c r="D3" s="5" t="s">
        <v>3</v>
      </c>
      <c r="E3" s="5" t="s">
        <v>4</v>
      </c>
      <c r="F3" s="6" t="s">
        <v>5</v>
      </c>
      <c r="G3" s="6" t="s">
        <v>6</v>
      </c>
      <c r="H3" s="6" t="s">
        <v>7</v>
      </c>
      <c r="I3" s="7" t="s">
        <v>8</v>
      </c>
      <c r="J3" s="5" t="s">
        <v>9</v>
      </c>
      <c r="K3" s="8" t="s">
        <v>10</v>
      </c>
    </row>
    <row r="4" spans="2:11" x14ac:dyDescent="0.45">
      <c r="B4" s="9">
        <v>1</v>
      </c>
      <c r="C4" s="10">
        <v>46235</v>
      </c>
      <c r="D4" s="11" t="s">
        <v>11</v>
      </c>
      <c r="E4" s="12">
        <v>1</v>
      </c>
      <c r="F4" s="13">
        <v>1</v>
      </c>
      <c r="G4" s="14">
        <v>1700</v>
      </c>
      <c r="H4" s="15">
        <v>200</v>
      </c>
      <c r="I4" s="16">
        <f>+G4-H4</f>
        <v>1500</v>
      </c>
      <c r="J4" s="17"/>
      <c r="K4" s="18">
        <v>28755</v>
      </c>
    </row>
    <row r="5" spans="2:11" x14ac:dyDescent="0.45">
      <c r="B5" s="19">
        <v>2</v>
      </c>
      <c r="C5" s="20">
        <v>46235</v>
      </c>
      <c r="D5" s="21" t="s">
        <v>12</v>
      </c>
      <c r="E5" s="22">
        <v>5</v>
      </c>
      <c r="F5" s="23">
        <v>5</v>
      </c>
      <c r="G5" s="24">
        <v>1100</v>
      </c>
      <c r="H5" s="24">
        <v>0</v>
      </c>
      <c r="I5" s="25">
        <f t="shared" ref="I5:I17" si="0">+G5-H5</f>
        <v>1100</v>
      </c>
      <c r="J5" s="26"/>
      <c r="K5" s="18">
        <v>28756</v>
      </c>
    </row>
    <row r="6" spans="2:11" x14ac:dyDescent="0.45">
      <c r="B6" s="19">
        <v>4</v>
      </c>
      <c r="C6" s="20">
        <v>46235</v>
      </c>
      <c r="D6" s="21" t="s">
        <v>13</v>
      </c>
      <c r="E6" s="22">
        <v>1</v>
      </c>
      <c r="F6" s="23">
        <v>1</v>
      </c>
      <c r="G6" s="24">
        <v>1900</v>
      </c>
      <c r="H6" s="24">
        <v>570</v>
      </c>
      <c r="I6" s="25">
        <f t="shared" si="0"/>
        <v>1330</v>
      </c>
      <c r="J6" s="26"/>
      <c r="K6" s="18">
        <v>28757</v>
      </c>
    </row>
    <row r="7" spans="2:11" x14ac:dyDescent="0.45">
      <c r="B7" s="19">
        <v>5</v>
      </c>
      <c r="C7" s="20">
        <v>46235</v>
      </c>
      <c r="D7" s="21" t="s">
        <v>14</v>
      </c>
      <c r="E7" s="22">
        <v>2</v>
      </c>
      <c r="F7" s="23">
        <v>1</v>
      </c>
      <c r="G7" s="24">
        <v>440</v>
      </c>
      <c r="H7" s="24">
        <v>0</v>
      </c>
      <c r="I7" s="25">
        <f t="shared" si="0"/>
        <v>440</v>
      </c>
      <c r="J7" s="27"/>
      <c r="K7" s="18">
        <v>28758</v>
      </c>
    </row>
    <row r="8" spans="2:11" x14ac:dyDescent="0.45">
      <c r="B8" s="19">
        <v>6</v>
      </c>
      <c r="C8" s="20">
        <v>46235</v>
      </c>
      <c r="D8" s="21" t="s">
        <v>15</v>
      </c>
      <c r="E8" s="22">
        <v>1</v>
      </c>
      <c r="F8" s="23">
        <v>1</v>
      </c>
      <c r="G8" s="24">
        <v>1900</v>
      </c>
      <c r="H8" s="24">
        <v>570</v>
      </c>
      <c r="I8" s="25">
        <f t="shared" si="0"/>
        <v>1330</v>
      </c>
      <c r="J8" s="28" t="s">
        <v>16</v>
      </c>
      <c r="K8" s="18">
        <v>28759</v>
      </c>
    </row>
    <row r="9" spans="2:11" x14ac:dyDescent="0.45">
      <c r="B9" s="19">
        <v>7</v>
      </c>
      <c r="C9" s="20">
        <v>46235</v>
      </c>
      <c r="D9" s="21" t="s">
        <v>17</v>
      </c>
      <c r="E9" s="22">
        <v>1</v>
      </c>
      <c r="F9" s="23">
        <v>5</v>
      </c>
      <c r="G9" s="24">
        <v>220</v>
      </c>
      <c r="H9" s="24">
        <v>0</v>
      </c>
      <c r="I9" s="25">
        <f t="shared" si="0"/>
        <v>220</v>
      </c>
      <c r="J9" s="27"/>
      <c r="K9" s="18">
        <v>28760</v>
      </c>
    </row>
    <row r="10" spans="2:11" x14ac:dyDescent="0.45">
      <c r="B10" s="19">
        <v>8</v>
      </c>
      <c r="C10" s="20">
        <v>46235</v>
      </c>
      <c r="D10" s="21" t="s">
        <v>18</v>
      </c>
      <c r="E10" s="22">
        <v>1</v>
      </c>
      <c r="F10" s="23">
        <v>5</v>
      </c>
      <c r="G10" s="24">
        <v>220</v>
      </c>
      <c r="H10" s="24">
        <v>0</v>
      </c>
      <c r="I10" s="25">
        <f t="shared" si="0"/>
        <v>220</v>
      </c>
      <c r="J10" s="27"/>
      <c r="K10" s="18">
        <v>28761</v>
      </c>
    </row>
    <row r="11" spans="2:11" x14ac:dyDescent="0.45">
      <c r="B11" s="19">
        <v>9</v>
      </c>
      <c r="C11" s="20">
        <v>46235</v>
      </c>
      <c r="D11" s="21" t="s">
        <v>19</v>
      </c>
      <c r="E11" s="22">
        <v>1</v>
      </c>
      <c r="F11" s="23">
        <v>5</v>
      </c>
      <c r="G11" s="24">
        <v>220</v>
      </c>
      <c r="H11" s="24">
        <v>0</v>
      </c>
      <c r="I11" s="25">
        <f t="shared" si="0"/>
        <v>220</v>
      </c>
      <c r="J11" s="27"/>
      <c r="K11" s="18">
        <v>28762</v>
      </c>
    </row>
    <row r="12" spans="2:11" x14ac:dyDescent="0.45">
      <c r="B12" s="29">
        <v>10</v>
      </c>
      <c r="C12" s="20">
        <v>46235</v>
      </c>
      <c r="D12" s="21" t="s">
        <v>20</v>
      </c>
      <c r="E12" s="22">
        <v>1</v>
      </c>
      <c r="F12" s="23">
        <v>1</v>
      </c>
      <c r="G12" s="24">
        <v>1900</v>
      </c>
      <c r="H12" s="24">
        <v>200</v>
      </c>
      <c r="I12" s="25">
        <f t="shared" si="0"/>
        <v>1700</v>
      </c>
      <c r="J12" s="27"/>
      <c r="K12" s="18">
        <v>28763</v>
      </c>
    </row>
    <row r="13" spans="2:11" x14ac:dyDescent="0.45">
      <c r="B13" s="19">
        <v>11</v>
      </c>
      <c r="C13" s="10">
        <v>46235</v>
      </c>
      <c r="D13" s="11" t="s">
        <v>21</v>
      </c>
      <c r="E13" s="30">
        <v>2</v>
      </c>
      <c r="F13" s="31">
        <v>1</v>
      </c>
      <c r="G13" s="32">
        <v>3900</v>
      </c>
      <c r="H13" s="32">
        <v>1570</v>
      </c>
      <c r="I13" s="25">
        <f t="shared" si="0"/>
        <v>2330</v>
      </c>
      <c r="J13" s="27"/>
      <c r="K13" s="18">
        <v>28764</v>
      </c>
    </row>
    <row r="14" spans="2:11" x14ac:dyDescent="0.45">
      <c r="B14" s="19">
        <v>12</v>
      </c>
      <c r="C14" s="10">
        <v>46235</v>
      </c>
      <c r="D14" s="21" t="s">
        <v>22</v>
      </c>
      <c r="E14" s="22">
        <v>1</v>
      </c>
      <c r="F14" s="33">
        <v>1</v>
      </c>
      <c r="G14" s="34">
        <v>2300</v>
      </c>
      <c r="H14" s="34">
        <v>690</v>
      </c>
      <c r="I14" s="25">
        <f t="shared" si="0"/>
        <v>1610</v>
      </c>
      <c r="J14" s="28"/>
      <c r="K14" s="18">
        <v>28765</v>
      </c>
    </row>
    <row r="15" spans="2:11" x14ac:dyDescent="0.45">
      <c r="B15" s="19">
        <v>13</v>
      </c>
      <c r="C15" s="10">
        <v>46235</v>
      </c>
      <c r="D15" s="21" t="s">
        <v>23</v>
      </c>
      <c r="E15" s="22">
        <v>1</v>
      </c>
      <c r="F15" s="22">
        <v>3</v>
      </c>
      <c r="G15" s="35">
        <v>2300</v>
      </c>
      <c r="H15" s="35">
        <v>0</v>
      </c>
      <c r="I15" s="25">
        <f t="shared" si="0"/>
        <v>2300</v>
      </c>
      <c r="J15" s="27"/>
      <c r="K15" s="18">
        <v>28766</v>
      </c>
    </row>
    <row r="16" spans="2:11" x14ac:dyDescent="0.45">
      <c r="B16" s="19">
        <v>14</v>
      </c>
      <c r="C16" s="10">
        <v>46235</v>
      </c>
      <c r="D16" s="21" t="s">
        <v>24</v>
      </c>
      <c r="E16" s="22">
        <v>3</v>
      </c>
      <c r="F16" s="23">
        <v>3</v>
      </c>
      <c r="G16" s="24">
        <v>2170</v>
      </c>
      <c r="H16" s="24">
        <v>350</v>
      </c>
      <c r="I16" s="25">
        <v>1820</v>
      </c>
      <c r="J16" s="27"/>
      <c r="K16" s="18">
        <v>28767</v>
      </c>
    </row>
    <row r="17" spans="2:11" x14ac:dyDescent="0.45">
      <c r="B17" s="19">
        <v>15</v>
      </c>
      <c r="C17" s="20">
        <v>46235</v>
      </c>
      <c r="D17" s="21" t="s">
        <v>25</v>
      </c>
      <c r="E17" s="22">
        <v>1</v>
      </c>
      <c r="F17" s="36">
        <v>5</v>
      </c>
      <c r="G17" s="34">
        <v>220</v>
      </c>
      <c r="H17" s="34">
        <v>0</v>
      </c>
      <c r="I17" s="25">
        <f t="shared" si="0"/>
        <v>220</v>
      </c>
      <c r="J17" s="37"/>
      <c r="K17" s="18">
        <v>28768</v>
      </c>
    </row>
    <row r="18" spans="2:11" ht="14.65" thickBot="1" x14ac:dyDescent="0.5">
      <c r="F18" s="38" t="s">
        <v>26</v>
      </c>
      <c r="G18" s="39">
        <f>SUM(G4:G17)</f>
        <v>20490</v>
      </c>
      <c r="H18" s="39" t="s">
        <v>27</v>
      </c>
      <c r="I18" s="40">
        <f>SUM(I4:I17)</f>
        <v>16340</v>
      </c>
      <c r="K18" s="41"/>
    </row>
    <row r="20" spans="2:11" ht="15.75" x14ac:dyDescent="0.5">
      <c r="D20" s="42" t="s">
        <v>28</v>
      </c>
      <c r="E20" s="42"/>
      <c r="F20" s="43" t="s">
        <v>29</v>
      </c>
      <c r="G20" s="44"/>
      <c r="H20" s="44"/>
      <c r="I20" s="45"/>
      <c r="J20" s="46"/>
    </row>
    <row r="21" spans="2:11" x14ac:dyDescent="0.45">
      <c r="D21" s="47" t="s">
        <v>30</v>
      </c>
      <c r="E21" s="47"/>
      <c r="F21" s="48">
        <v>10240</v>
      </c>
      <c r="G21" s="49"/>
      <c r="H21" s="49"/>
      <c r="I21" s="50"/>
      <c r="K21" s="51"/>
    </row>
    <row r="22" spans="2:11" x14ac:dyDescent="0.45">
      <c r="D22" s="47" t="s">
        <v>31</v>
      </c>
      <c r="E22" s="47"/>
      <c r="F22" s="52">
        <v>0</v>
      </c>
      <c r="G22" s="53"/>
      <c r="H22" s="53"/>
      <c r="I22" s="50"/>
    </row>
    <row r="23" spans="2:11" x14ac:dyDescent="0.45">
      <c r="D23" s="47" t="s">
        <v>32</v>
      </c>
      <c r="E23" s="47"/>
      <c r="F23" s="54">
        <v>4120</v>
      </c>
      <c r="G23" s="55"/>
      <c r="H23" s="55"/>
      <c r="J23" s="46"/>
    </row>
    <row r="24" spans="2:11" x14ac:dyDescent="0.45">
      <c r="D24" s="47" t="s">
        <v>33</v>
      </c>
      <c r="E24" s="47"/>
      <c r="F24" s="54">
        <v>0</v>
      </c>
      <c r="G24" s="55"/>
      <c r="H24" s="55"/>
      <c r="I24" s="50"/>
    </row>
    <row r="25" spans="2:11" x14ac:dyDescent="0.45">
      <c r="D25" s="47" t="s">
        <v>34</v>
      </c>
      <c r="E25" s="47"/>
      <c r="F25" s="52">
        <v>1980</v>
      </c>
      <c r="G25" s="53"/>
      <c r="H25" s="53"/>
      <c r="I25" s="50"/>
    </row>
    <row r="26" spans="2:11" ht="15.75" thickBot="1" x14ac:dyDescent="0.65">
      <c r="D26" s="56" t="s">
        <v>35</v>
      </c>
      <c r="E26" s="56"/>
      <c r="F26" s="57">
        <f>SUM(F21:F25)</f>
        <v>16340</v>
      </c>
      <c r="G26" s="58"/>
      <c r="H26" s="58"/>
      <c r="I26" s="50"/>
    </row>
    <row r="27" spans="2:11" ht="14.65" thickTop="1" x14ac:dyDescent="0.45"/>
    <row r="29" spans="2:11" ht="14.65" thickBot="1" x14ac:dyDescent="0.5"/>
    <row r="30" spans="2:11" ht="21.4" thickBot="1" x14ac:dyDescent="0.7">
      <c r="B30" s="1" t="s">
        <v>36</v>
      </c>
      <c r="C30" s="1"/>
      <c r="D30" s="2"/>
      <c r="E30" s="1"/>
      <c r="F30" s="1"/>
      <c r="G30" s="1"/>
      <c r="H30" s="1"/>
      <c r="I30" s="1"/>
      <c r="J30" s="1"/>
      <c r="K30" s="3"/>
    </row>
    <row r="31" spans="2:11" ht="24.4" thickBot="1" x14ac:dyDescent="0.55000000000000004">
      <c r="B31" s="4" t="s">
        <v>1</v>
      </c>
      <c r="C31" s="5" t="s">
        <v>2</v>
      </c>
      <c r="D31" s="5" t="s">
        <v>3</v>
      </c>
      <c r="E31" s="5" t="s">
        <v>4</v>
      </c>
      <c r="F31" s="6" t="s">
        <v>5</v>
      </c>
      <c r="G31" s="6" t="s">
        <v>6</v>
      </c>
      <c r="H31" s="6" t="s">
        <v>7</v>
      </c>
      <c r="I31" s="7" t="s">
        <v>8</v>
      </c>
      <c r="J31" s="5" t="s">
        <v>9</v>
      </c>
      <c r="K31" s="8" t="s">
        <v>10</v>
      </c>
    </row>
    <row r="32" spans="2:11" x14ac:dyDescent="0.45">
      <c r="B32" s="9">
        <v>1</v>
      </c>
      <c r="C32" s="10">
        <v>46237</v>
      </c>
      <c r="D32" s="11" t="s">
        <v>37</v>
      </c>
      <c r="E32" s="12">
        <v>2</v>
      </c>
      <c r="F32" s="13">
        <v>1</v>
      </c>
      <c r="G32" s="14">
        <v>5000</v>
      </c>
      <c r="H32" s="15">
        <v>1000</v>
      </c>
      <c r="I32" s="16">
        <f>+G32-H32</f>
        <v>4000</v>
      </c>
      <c r="J32" s="17"/>
      <c r="K32" s="18">
        <v>28769</v>
      </c>
    </row>
    <row r="33" spans="2:11" x14ac:dyDescent="0.45">
      <c r="B33" s="19">
        <f>+B32+1</f>
        <v>2</v>
      </c>
      <c r="C33" s="10">
        <v>46237</v>
      </c>
      <c r="D33" s="21" t="s">
        <v>38</v>
      </c>
      <c r="E33" s="22">
        <v>3</v>
      </c>
      <c r="F33" s="23">
        <v>4</v>
      </c>
      <c r="G33" s="24">
        <v>13200</v>
      </c>
      <c r="H33" s="24">
        <v>0</v>
      </c>
      <c r="I33" s="25">
        <f t="shared" ref="I33:I68" si="1">+G33-H33</f>
        <v>13200</v>
      </c>
      <c r="J33" s="26"/>
      <c r="K33" s="18">
        <f>+K32+1</f>
        <v>28770</v>
      </c>
    </row>
    <row r="34" spans="2:11" x14ac:dyDescent="0.45">
      <c r="B34" s="19">
        <f t="shared" ref="B34:B68" si="2">+B33+1</f>
        <v>3</v>
      </c>
      <c r="C34" s="10">
        <v>46237</v>
      </c>
      <c r="D34" s="21" t="s">
        <v>39</v>
      </c>
      <c r="E34" s="22">
        <v>1</v>
      </c>
      <c r="F34" s="23">
        <v>3</v>
      </c>
      <c r="G34" s="24">
        <v>5500</v>
      </c>
      <c r="H34" s="24">
        <v>1650</v>
      </c>
      <c r="I34" s="25">
        <f t="shared" si="1"/>
        <v>3850</v>
      </c>
      <c r="J34" s="26"/>
      <c r="K34" s="18">
        <f t="shared" ref="K34:K68" si="3">+K33+1</f>
        <v>28771</v>
      </c>
    </row>
    <row r="35" spans="2:11" x14ac:dyDescent="0.45">
      <c r="B35" s="19">
        <f t="shared" si="2"/>
        <v>4</v>
      </c>
      <c r="C35" s="10">
        <v>46237</v>
      </c>
      <c r="D35" s="21" t="s">
        <v>40</v>
      </c>
      <c r="E35" s="22">
        <v>1</v>
      </c>
      <c r="F35" s="23">
        <v>3</v>
      </c>
      <c r="G35" s="24">
        <v>2800</v>
      </c>
      <c r="H35" s="24">
        <v>0</v>
      </c>
      <c r="I35" s="25">
        <f t="shared" si="1"/>
        <v>2800</v>
      </c>
      <c r="J35" s="27"/>
      <c r="K35" s="18">
        <f t="shared" si="3"/>
        <v>28772</v>
      </c>
    </row>
    <row r="36" spans="2:11" x14ac:dyDescent="0.45">
      <c r="B36" s="19">
        <f t="shared" si="2"/>
        <v>5</v>
      </c>
      <c r="C36" s="10">
        <v>46237</v>
      </c>
      <c r="D36" s="21" t="s">
        <v>41</v>
      </c>
      <c r="E36" s="22">
        <v>1</v>
      </c>
      <c r="F36" s="23">
        <v>1</v>
      </c>
      <c r="G36" s="24">
        <v>1800</v>
      </c>
      <c r="H36" s="24">
        <v>200</v>
      </c>
      <c r="I36" s="25">
        <f t="shared" si="1"/>
        <v>1600</v>
      </c>
      <c r="J36" s="28"/>
      <c r="K36" s="18">
        <f t="shared" si="3"/>
        <v>28773</v>
      </c>
    </row>
    <row r="37" spans="2:11" x14ac:dyDescent="0.45">
      <c r="B37" s="19">
        <f t="shared" si="2"/>
        <v>6</v>
      </c>
      <c r="C37" s="10">
        <v>46237</v>
      </c>
      <c r="D37" s="21" t="s">
        <v>42</v>
      </c>
      <c r="E37" s="22">
        <v>1</v>
      </c>
      <c r="F37" s="23">
        <v>3</v>
      </c>
      <c r="G37" s="24">
        <v>6500</v>
      </c>
      <c r="H37" s="24">
        <v>3070</v>
      </c>
      <c r="I37" s="25">
        <f t="shared" si="1"/>
        <v>3430</v>
      </c>
      <c r="J37" s="27"/>
      <c r="K37" s="18">
        <f t="shared" si="3"/>
        <v>28774</v>
      </c>
    </row>
    <row r="38" spans="2:11" x14ac:dyDescent="0.45">
      <c r="B38" s="19">
        <f t="shared" si="2"/>
        <v>7</v>
      </c>
      <c r="C38" s="10">
        <v>46237</v>
      </c>
      <c r="D38" s="21" t="s">
        <v>43</v>
      </c>
      <c r="E38" s="22">
        <v>1</v>
      </c>
      <c r="F38" s="23">
        <v>3</v>
      </c>
      <c r="G38" s="24">
        <v>2000</v>
      </c>
      <c r="H38" s="24">
        <v>1300</v>
      </c>
      <c r="I38" s="25">
        <f t="shared" si="1"/>
        <v>700</v>
      </c>
      <c r="J38" s="27"/>
      <c r="K38" s="18">
        <f t="shared" si="3"/>
        <v>28775</v>
      </c>
    </row>
    <row r="39" spans="2:11" x14ac:dyDescent="0.45">
      <c r="B39" s="19">
        <f t="shared" si="2"/>
        <v>8</v>
      </c>
      <c r="C39" s="10">
        <v>46237</v>
      </c>
      <c r="D39" s="21" t="s">
        <v>44</v>
      </c>
      <c r="E39" s="22">
        <v>1</v>
      </c>
      <c r="F39" s="23">
        <v>1</v>
      </c>
      <c r="G39" s="24">
        <v>2800</v>
      </c>
      <c r="H39" s="24">
        <v>500</v>
      </c>
      <c r="I39" s="25">
        <f t="shared" si="1"/>
        <v>2300</v>
      </c>
      <c r="J39" s="27"/>
      <c r="K39" s="18">
        <f t="shared" si="3"/>
        <v>28776</v>
      </c>
    </row>
    <row r="40" spans="2:11" x14ac:dyDescent="0.45">
      <c r="B40" s="19">
        <f t="shared" si="2"/>
        <v>9</v>
      </c>
      <c r="C40" s="10">
        <v>46237</v>
      </c>
      <c r="D40" s="21" t="s">
        <v>45</v>
      </c>
      <c r="E40" s="22">
        <v>9</v>
      </c>
      <c r="F40" s="23">
        <v>1</v>
      </c>
      <c r="G40" s="24">
        <v>31500</v>
      </c>
      <c r="H40" s="24">
        <v>9450</v>
      </c>
      <c r="I40" s="25">
        <f t="shared" si="1"/>
        <v>22050</v>
      </c>
      <c r="J40" s="27"/>
      <c r="K40" s="18">
        <f t="shared" si="3"/>
        <v>28777</v>
      </c>
    </row>
    <row r="41" spans="2:11" x14ac:dyDescent="0.45">
      <c r="B41" s="19">
        <f t="shared" si="2"/>
        <v>10</v>
      </c>
      <c r="C41" s="10">
        <v>46237</v>
      </c>
      <c r="D41" s="11" t="s">
        <v>46</v>
      </c>
      <c r="E41" s="30">
        <v>2</v>
      </c>
      <c r="F41" s="31">
        <v>3</v>
      </c>
      <c r="G41" s="32">
        <f>4900*2</f>
        <v>9800</v>
      </c>
      <c r="H41" s="32">
        <v>3800</v>
      </c>
      <c r="I41" s="25">
        <f t="shared" si="1"/>
        <v>6000</v>
      </c>
      <c r="J41" s="27"/>
      <c r="K41" s="18">
        <f t="shared" si="3"/>
        <v>28778</v>
      </c>
    </row>
    <row r="42" spans="2:11" x14ac:dyDescent="0.45">
      <c r="B42" s="19">
        <f t="shared" si="2"/>
        <v>11</v>
      </c>
      <c r="C42" s="10">
        <v>46237</v>
      </c>
      <c r="D42" s="21" t="s">
        <v>47</v>
      </c>
      <c r="E42" s="22">
        <v>1</v>
      </c>
      <c r="F42" s="33">
        <v>3</v>
      </c>
      <c r="G42" s="34">
        <v>1900</v>
      </c>
      <c r="H42" s="34">
        <v>760</v>
      </c>
      <c r="I42" s="25">
        <f t="shared" si="1"/>
        <v>1140</v>
      </c>
      <c r="J42" s="28"/>
      <c r="K42" s="18">
        <f t="shared" si="3"/>
        <v>28779</v>
      </c>
    </row>
    <row r="43" spans="2:11" x14ac:dyDescent="0.45">
      <c r="B43" s="19">
        <f t="shared" si="2"/>
        <v>12</v>
      </c>
      <c r="C43" s="10">
        <v>46237</v>
      </c>
      <c r="D43" s="21" t="s">
        <v>48</v>
      </c>
      <c r="E43" s="22">
        <v>3</v>
      </c>
      <c r="F43" s="22">
        <v>4</v>
      </c>
      <c r="G43" s="35">
        <v>2240</v>
      </c>
      <c r="H43" s="35">
        <v>300</v>
      </c>
      <c r="I43" s="25">
        <f t="shared" si="1"/>
        <v>1940</v>
      </c>
      <c r="J43" s="27"/>
      <c r="K43" s="18">
        <f t="shared" si="3"/>
        <v>28780</v>
      </c>
    </row>
    <row r="44" spans="2:11" x14ac:dyDescent="0.45">
      <c r="B44" s="19">
        <f t="shared" si="2"/>
        <v>13</v>
      </c>
      <c r="C44" s="10">
        <v>46237</v>
      </c>
      <c r="D44" s="21" t="s">
        <v>49</v>
      </c>
      <c r="E44" s="22">
        <v>2</v>
      </c>
      <c r="F44" s="22">
        <v>1</v>
      </c>
      <c r="G44" s="35">
        <v>440</v>
      </c>
      <c r="H44" s="35">
        <v>0</v>
      </c>
      <c r="I44" s="25">
        <f t="shared" si="1"/>
        <v>440</v>
      </c>
      <c r="J44" s="27"/>
      <c r="K44" s="18">
        <f t="shared" si="3"/>
        <v>28781</v>
      </c>
    </row>
    <row r="45" spans="2:11" x14ac:dyDescent="0.45">
      <c r="B45" s="19">
        <f t="shared" si="2"/>
        <v>14</v>
      </c>
      <c r="C45" s="10">
        <v>46237</v>
      </c>
      <c r="D45" s="21" t="s">
        <v>50</v>
      </c>
      <c r="E45" s="22">
        <v>3</v>
      </c>
      <c r="F45" s="22">
        <v>1</v>
      </c>
      <c r="G45" s="35">
        <v>660</v>
      </c>
      <c r="H45" s="35">
        <v>0</v>
      </c>
      <c r="I45" s="25">
        <f t="shared" si="1"/>
        <v>660</v>
      </c>
      <c r="J45" s="27"/>
      <c r="K45" s="18">
        <f t="shared" si="3"/>
        <v>28782</v>
      </c>
    </row>
    <row r="46" spans="2:11" x14ac:dyDescent="0.45">
      <c r="B46" s="19">
        <f t="shared" si="2"/>
        <v>15</v>
      </c>
      <c r="C46" s="10">
        <v>46237</v>
      </c>
      <c r="D46" s="21" t="s">
        <v>51</v>
      </c>
      <c r="E46" s="22">
        <v>1</v>
      </c>
      <c r="F46" s="22">
        <v>1</v>
      </c>
      <c r="G46" s="35">
        <v>100</v>
      </c>
      <c r="H46" s="35">
        <v>0</v>
      </c>
      <c r="I46" s="25">
        <f t="shared" si="1"/>
        <v>100</v>
      </c>
      <c r="J46" s="27"/>
      <c r="K46" s="18">
        <f t="shared" si="3"/>
        <v>28783</v>
      </c>
    </row>
    <row r="47" spans="2:11" x14ac:dyDescent="0.45">
      <c r="B47" s="19">
        <f t="shared" si="2"/>
        <v>16</v>
      </c>
      <c r="C47" s="10">
        <v>46237</v>
      </c>
      <c r="D47" s="21" t="s">
        <v>52</v>
      </c>
      <c r="E47" s="22">
        <v>0</v>
      </c>
      <c r="F47" s="22">
        <v>0</v>
      </c>
      <c r="G47" s="35">
        <v>0</v>
      </c>
      <c r="H47" s="35">
        <v>0</v>
      </c>
      <c r="I47" s="25">
        <f t="shared" si="1"/>
        <v>0</v>
      </c>
      <c r="J47" s="27" t="s">
        <v>53</v>
      </c>
      <c r="K47" s="18">
        <f t="shared" si="3"/>
        <v>28784</v>
      </c>
    </row>
    <row r="48" spans="2:11" x14ac:dyDescent="0.45">
      <c r="B48" s="19">
        <f t="shared" si="2"/>
        <v>17</v>
      </c>
      <c r="C48" s="10">
        <v>46237</v>
      </c>
      <c r="D48" s="21" t="s">
        <v>54</v>
      </c>
      <c r="E48" s="22">
        <v>8</v>
      </c>
      <c r="F48" s="22">
        <v>3</v>
      </c>
      <c r="G48" s="35">
        <f>3500*8</f>
        <v>28000</v>
      </c>
      <c r="H48" s="35">
        <v>11200</v>
      </c>
      <c r="I48" s="25">
        <f t="shared" si="1"/>
        <v>16800</v>
      </c>
      <c r="J48" s="27"/>
      <c r="K48" s="18">
        <f t="shared" si="3"/>
        <v>28785</v>
      </c>
    </row>
    <row r="49" spans="2:11" x14ac:dyDescent="0.45">
      <c r="B49" s="19">
        <f t="shared" si="2"/>
        <v>18</v>
      </c>
      <c r="C49" s="10">
        <v>46237</v>
      </c>
      <c r="D49" s="21" t="s">
        <v>55</v>
      </c>
      <c r="E49" s="22">
        <v>1</v>
      </c>
      <c r="F49" s="22">
        <v>1</v>
      </c>
      <c r="G49" s="35">
        <v>1700</v>
      </c>
      <c r="H49" s="35">
        <v>0</v>
      </c>
      <c r="I49" s="25">
        <f t="shared" si="1"/>
        <v>1700</v>
      </c>
      <c r="J49" s="27"/>
      <c r="K49" s="18">
        <f t="shared" si="3"/>
        <v>28786</v>
      </c>
    </row>
    <row r="50" spans="2:11" x14ac:dyDescent="0.45">
      <c r="B50" s="19">
        <f t="shared" si="2"/>
        <v>19</v>
      </c>
      <c r="C50" s="10">
        <v>46237</v>
      </c>
      <c r="D50" s="21" t="s">
        <v>56</v>
      </c>
      <c r="E50" s="22">
        <v>1</v>
      </c>
      <c r="F50" s="22">
        <v>1</v>
      </c>
      <c r="G50" s="35">
        <v>220</v>
      </c>
      <c r="H50" s="35">
        <v>0</v>
      </c>
      <c r="I50" s="25">
        <f t="shared" si="1"/>
        <v>220</v>
      </c>
      <c r="J50" s="27"/>
      <c r="K50" s="18">
        <f t="shared" si="3"/>
        <v>28787</v>
      </c>
    </row>
    <row r="51" spans="2:11" x14ac:dyDescent="0.45">
      <c r="B51" s="19">
        <f t="shared" si="2"/>
        <v>20</v>
      </c>
      <c r="C51" s="10">
        <v>46237</v>
      </c>
      <c r="D51" s="21" t="s">
        <v>57</v>
      </c>
      <c r="E51" s="22">
        <v>1</v>
      </c>
      <c r="F51" s="22">
        <v>4</v>
      </c>
      <c r="G51" s="35">
        <v>1800</v>
      </c>
      <c r="H51" s="35">
        <v>0</v>
      </c>
      <c r="I51" s="25">
        <f t="shared" si="1"/>
        <v>1800</v>
      </c>
      <c r="J51" s="27"/>
      <c r="K51" s="18">
        <f t="shared" si="3"/>
        <v>28788</v>
      </c>
    </row>
    <row r="52" spans="2:11" x14ac:dyDescent="0.45">
      <c r="B52" s="19">
        <f t="shared" si="2"/>
        <v>21</v>
      </c>
      <c r="C52" s="10">
        <v>46237</v>
      </c>
      <c r="D52" s="21" t="s">
        <v>58</v>
      </c>
      <c r="E52" s="22">
        <v>2</v>
      </c>
      <c r="F52" s="22">
        <v>3</v>
      </c>
      <c r="G52" s="35">
        <v>4000</v>
      </c>
      <c r="H52" s="35">
        <v>0</v>
      </c>
      <c r="I52" s="25">
        <f t="shared" si="1"/>
        <v>4000</v>
      </c>
      <c r="J52" s="27"/>
      <c r="K52" s="18">
        <f t="shared" si="3"/>
        <v>28789</v>
      </c>
    </row>
    <row r="53" spans="2:11" x14ac:dyDescent="0.45">
      <c r="B53" s="19">
        <f t="shared" si="2"/>
        <v>22</v>
      </c>
      <c r="C53" s="10">
        <v>46237</v>
      </c>
      <c r="D53" s="21" t="s">
        <v>59</v>
      </c>
      <c r="E53" s="22">
        <v>1</v>
      </c>
      <c r="F53" s="22">
        <v>3</v>
      </c>
      <c r="G53" s="35">
        <v>2800</v>
      </c>
      <c r="H53" s="35">
        <v>840</v>
      </c>
      <c r="I53" s="25">
        <f t="shared" si="1"/>
        <v>1960</v>
      </c>
      <c r="J53" s="27"/>
      <c r="K53" s="18">
        <f t="shared" si="3"/>
        <v>28790</v>
      </c>
    </row>
    <row r="54" spans="2:11" x14ac:dyDescent="0.45">
      <c r="B54" s="19">
        <f t="shared" si="2"/>
        <v>23</v>
      </c>
      <c r="C54" s="10">
        <v>46237</v>
      </c>
      <c r="D54" s="21" t="s">
        <v>60</v>
      </c>
      <c r="E54" s="22">
        <v>1</v>
      </c>
      <c r="F54" s="22">
        <v>3</v>
      </c>
      <c r="G54" s="35">
        <v>1900</v>
      </c>
      <c r="H54" s="35">
        <v>200</v>
      </c>
      <c r="I54" s="25">
        <f t="shared" si="1"/>
        <v>1700</v>
      </c>
      <c r="J54" s="27"/>
      <c r="K54" s="18">
        <f t="shared" si="3"/>
        <v>28791</v>
      </c>
    </row>
    <row r="55" spans="2:11" x14ac:dyDescent="0.45">
      <c r="B55" s="19">
        <f t="shared" si="2"/>
        <v>24</v>
      </c>
      <c r="C55" s="10">
        <v>46237</v>
      </c>
      <c r="D55" s="21" t="s">
        <v>61</v>
      </c>
      <c r="E55" s="22">
        <v>1</v>
      </c>
      <c r="F55" s="22">
        <v>1</v>
      </c>
      <c r="G55" s="35">
        <v>1900</v>
      </c>
      <c r="H55" s="35">
        <v>200</v>
      </c>
      <c r="I55" s="25">
        <f t="shared" si="1"/>
        <v>1700</v>
      </c>
      <c r="J55" s="27"/>
      <c r="K55" s="18">
        <f t="shared" si="3"/>
        <v>28792</v>
      </c>
    </row>
    <row r="56" spans="2:11" x14ac:dyDescent="0.45">
      <c r="B56" s="19">
        <f t="shared" si="2"/>
        <v>25</v>
      </c>
      <c r="C56" s="10">
        <v>46237</v>
      </c>
      <c r="D56" s="21" t="s">
        <v>62</v>
      </c>
      <c r="E56" s="22">
        <v>5</v>
      </c>
      <c r="F56" s="22">
        <v>4</v>
      </c>
      <c r="G56" s="35">
        <f>3500*5</f>
        <v>17500</v>
      </c>
      <c r="H56" s="35">
        <v>7000</v>
      </c>
      <c r="I56" s="25">
        <f t="shared" si="1"/>
        <v>10500</v>
      </c>
      <c r="J56" s="27"/>
      <c r="K56" s="18">
        <f t="shared" si="3"/>
        <v>28793</v>
      </c>
    </row>
    <row r="57" spans="2:11" x14ac:dyDescent="0.45">
      <c r="B57" s="19">
        <f t="shared" si="2"/>
        <v>26</v>
      </c>
      <c r="C57" s="10">
        <v>46237</v>
      </c>
      <c r="D57" s="21" t="s">
        <v>63</v>
      </c>
      <c r="E57" s="22">
        <v>1</v>
      </c>
      <c r="F57" s="22">
        <v>3</v>
      </c>
      <c r="G57" s="35">
        <v>2500</v>
      </c>
      <c r="H57" s="35">
        <v>600</v>
      </c>
      <c r="I57" s="25">
        <f t="shared" si="1"/>
        <v>1900</v>
      </c>
      <c r="J57" s="27"/>
      <c r="K57" s="18">
        <f t="shared" si="3"/>
        <v>28794</v>
      </c>
    </row>
    <row r="58" spans="2:11" x14ac:dyDescent="0.45">
      <c r="B58" s="19">
        <f t="shared" si="2"/>
        <v>27</v>
      </c>
      <c r="C58" s="10">
        <v>46237</v>
      </c>
      <c r="D58" s="21" t="s">
        <v>64</v>
      </c>
      <c r="E58" s="22">
        <v>1</v>
      </c>
      <c r="F58" s="22">
        <v>1</v>
      </c>
      <c r="G58" s="35">
        <v>2000</v>
      </c>
      <c r="H58" s="35">
        <v>1000</v>
      </c>
      <c r="I58" s="25">
        <f t="shared" si="1"/>
        <v>1000</v>
      </c>
      <c r="J58" s="27"/>
      <c r="K58" s="18">
        <f t="shared" si="3"/>
        <v>28795</v>
      </c>
    </row>
    <row r="59" spans="2:11" x14ac:dyDescent="0.45">
      <c r="B59" s="19">
        <f t="shared" si="2"/>
        <v>28</v>
      </c>
      <c r="C59" s="10">
        <v>46237</v>
      </c>
      <c r="D59" s="21" t="s">
        <v>65</v>
      </c>
      <c r="E59" s="22">
        <v>2</v>
      </c>
      <c r="F59" s="22">
        <v>3</v>
      </c>
      <c r="G59" s="35">
        <v>4600</v>
      </c>
      <c r="H59" s="35">
        <v>1380</v>
      </c>
      <c r="I59" s="25">
        <f t="shared" si="1"/>
        <v>3220</v>
      </c>
      <c r="J59" s="27"/>
      <c r="K59" s="18">
        <f t="shared" si="3"/>
        <v>28796</v>
      </c>
    </row>
    <row r="60" spans="2:11" x14ac:dyDescent="0.45">
      <c r="B60" s="19">
        <f t="shared" si="2"/>
        <v>29</v>
      </c>
      <c r="C60" s="10">
        <v>46237</v>
      </c>
      <c r="D60" s="21" t="s">
        <v>66</v>
      </c>
      <c r="E60" s="22">
        <v>10</v>
      </c>
      <c r="F60" s="22">
        <v>3</v>
      </c>
      <c r="G60" s="35">
        <v>3710</v>
      </c>
      <c r="H60" s="35">
        <v>350</v>
      </c>
      <c r="I60" s="25">
        <f t="shared" si="1"/>
        <v>3360</v>
      </c>
      <c r="J60" s="27"/>
      <c r="K60" s="18">
        <f t="shared" si="3"/>
        <v>28797</v>
      </c>
    </row>
    <row r="61" spans="2:11" x14ac:dyDescent="0.45">
      <c r="B61" s="19">
        <f t="shared" si="2"/>
        <v>30</v>
      </c>
      <c r="C61" s="10">
        <v>46237</v>
      </c>
      <c r="D61" s="21" t="s">
        <v>67</v>
      </c>
      <c r="E61" s="22">
        <v>27</v>
      </c>
      <c r="F61" s="22">
        <v>5</v>
      </c>
      <c r="G61" s="35">
        <v>107300</v>
      </c>
      <c r="H61" s="35">
        <v>6400</v>
      </c>
      <c r="I61" s="25">
        <f t="shared" si="1"/>
        <v>100900</v>
      </c>
      <c r="J61" s="27"/>
      <c r="K61" s="18">
        <f t="shared" si="3"/>
        <v>28798</v>
      </c>
    </row>
    <row r="62" spans="2:11" x14ac:dyDescent="0.45">
      <c r="B62" s="19">
        <f t="shared" si="2"/>
        <v>31</v>
      </c>
      <c r="C62" s="10">
        <v>46237</v>
      </c>
      <c r="D62" s="21" t="s">
        <v>68</v>
      </c>
      <c r="E62" s="22">
        <v>20</v>
      </c>
      <c r="F62" s="22">
        <v>5</v>
      </c>
      <c r="G62" s="35">
        <v>73700</v>
      </c>
      <c r="H62" s="35">
        <v>9600</v>
      </c>
      <c r="I62" s="25">
        <f t="shared" si="1"/>
        <v>64100</v>
      </c>
      <c r="J62" s="27"/>
      <c r="K62" s="18">
        <f t="shared" si="3"/>
        <v>28799</v>
      </c>
    </row>
    <row r="63" spans="2:11" x14ac:dyDescent="0.45">
      <c r="B63" s="19">
        <f t="shared" si="2"/>
        <v>32</v>
      </c>
      <c r="C63" s="10">
        <v>46237</v>
      </c>
      <c r="D63" s="21" t="s">
        <v>68</v>
      </c>
      <c r="E63" s="22">
        <v>16</v>
      </c>
      <c r="F63" s="22">
        <v>5</v>
      </c>
      <c r="G63" s="35">
        <v>1600</v>
      </c>
      <c r="H63" s="35">
        <v>320</v>
      </c>
      <c r="I63" s="25">
        <f t="shared" si="1"/>
        <v>1280</v>
      </c>
      <c r="J63" s="27"/>
      <c r="K63" s="18">
        <f t="shared" si="3"/>
        <v>28800</v>
      </c>
    </row>
    <row r="64" spans="2:11" x14ac:dyDescent="0.45">
      <c r="B64" s="19">
        <f t="shared" si="2"/>
        <v>33</v>
      </c>
      <c r="C64" s="10">
        <v>46237</v>
      </c>
      <c r="D64" s="21" t="s">
        <v>69</v>
      </c>
      <c r="E64" s="22">
        <v>21</v>
      </c>
      <c r="F64" s="22">
        <v>5</v>
      </c>
      <c r="G64" s="35">
        <v>58000</v>
      </c>
      <c r="H64" s="35">
        <v>8000</v>
      </c>
      <c r="I64" s="25">
        <f t="shared" si="1"/>
        <v>50000</v>
      </c>
      <c r="J64" s="27"/>
      <c r="K64" s="18">
        <f t="shared" si="3"/>
        <v>28801</v>
      </c>
    </row>
    <row r="65" spans="2:11" x14ac:dyDescent="0.45">
      <c r="B65" s="19">
        <f t="shared" si="2"/>
        <v>34</v>
      </c>
      <c r="C65" s="10">
        <v>46237</v>
      </c>
      <c r="D65" s="21" t="s">
        <v>70</v>
      </c>
      <c r="E65" s="22">
        <v>54</v>
      </c>
      <c r="F65" s="22">
        <v>5</v>
      </c>
      <c r="G65" s="35">
        <v>11880</v>
      </c>
      <c r="H65" s="35">
        <v>0</v>
      </c>
      <c r="I65" s="25">
        <f t="shared" si="1"/>
        <v>11880</v>
      </c>
      <c r="J65" s="27"/>
      <c r="K65" s="18">
        <f t="shared" si="3"/>
        <v>28802</v>
      </c>
    </row>
    <row r="66" spans="2:11" x14ac:dyDescent="0.45">
      <c r="B66" s="19">
        <f t="shared" si="2"/>
        <v>35</v>
      </c>
      <c r="C66" s="10">
        <v>46237</v>
      </c>
      <c r="D66" s="21" t="s">
        <v>71</v>
      </c>
      <c r="E66" s="22">
        <v>1</v>
      </c>
      <c r="F66" s="22">
        <v>5</v>
      </c>
      <c r="G66" s="35">
        <v>1800</v>
      </c>
      <c r="H66" s="35">
        <v>300</v>
      </c>
      <c r="I66" s="25">
        <f t="shared" si="1"/>
        <v>1500</v>
      </c>
      <c r="J66" s="27"/>
      <c r="K66" s="18">
        <f t="shared" si="3"/>
        <v>28803</v>
      </c>
    </row>
    <row r="67" spans="2:11" x14ac:dyDescent="0.45">
      <c r="B67" s="19">
        <f t="shared" si="2"/>
        <v>36</v>
      </c>
      <c r="C67" s="10">
        <v>46237</v>
      </c>
      <c r="D67" s="21" t="s">
        <v>72</v>
      </c>
      <c r="E67" s="22">
        <v>21</v>
      </c>
      <c r="F67" s="22">
        <v>5</v>
      </c>
      <c r="G67" s="35">
        <v>24675</v>
      </c>
      <c r="H67" s="35">
        <v>8775</v>
      </c>
      <c r="I67" s="25">
        <f t="shared" si="1"/>
        <v>15900</v>
      </c>
      <c r="J67" s="27"/>
      <c r="K67" s="18">
        <f t="shared" si="3"/>
        <v>28804</v>
      </c>
    </row>
    <row r="68" spans="2:11" ht="14.65" thickBot="1" x14ac:dyDescent="0.5">
      <c r="B68" s="19">
        <f t="shared" si="2"/>
        <v>37</v>
      </c>
      <c r="C68" s="10">
        <v>46237</v>
      </c>
      <c r="D68" s="21" t="s">
        <v>73</v>
      </c>
      <c r="E68" s="22">
        <v>2</v>
      </c>
      <c r="F68" s="59">
        <v>4</v>
      </c>
      <c r="G68" s="60">
        <v>4000</v>
      </c>
      <c r="H68" s="60">
        <v>0</v>
      </c>
      <c r="I68" s="25">
        <f t="shared" si="1"/>
        <v>4000</v>
      </c>
      <c r="J68" s="27"/>
      <c r="K68" s="18">
        <f t="shared" si="3"/>
        <v>28805</v>
      </c>
    </row>
    <row r="69" spans="2:11" ht="14.65" thickBot="1" x14ac:dyDescent="0.5">
      <c r="F69" s="61" t="s">
        <v>26</v>
      </c>
      <c r="G69" s="62">
        <f>SUM(G32:G68)</f>
        <v>441825</v>
      </c>
      <c r="H69" s="62">
        <f t="shared" ref="H69:I69" si="4">SUM(H32:H68)</f>
        <v>78195</v>
      </c>
      <c r="I69" s="62">
        <f t="shared" si="4"/>
        <v>363630</v>
      </c>
      <c r="K69" s="41"/>
    </row>
    <row r="71" spans="2:11" ht="15.75" x14ac:dyDescent="0.5">
      <c r="D71" s="42" t="s">
        <v>28</v>
      </c>
      <c r="E71" s="42"/>
      <c r="F71" s="43" t="s">
        <v>29</v>
      </c>
      <c r="G71" s="44"/>
      <c r="H71" s="44"/>
      <c r="I71" s="45"/>
      <c r="J71" s="46"/>
    </row>
    <row r="72" spans="2:11" x14ac:dyDescent="0.45">
      <c r="D72" s="47" t="s">
        <v>30</v>
      </c>
      <c r="E72" s="47"/>
      <c r="F72" s="48">
        <v>29630</v>
      </c>
      <c r="G72" s="49"/>
      <c r="H72" s="49"/>
      <c r="I72" s="50"/>
      <c r="K72" s="51"/>
    </row>
    <row r="73" spans="2:11" x14ac:dyDescent="0.45">
      <c r="D73" s="47" t="s">
        <v>31</v>
      </c>
      <c r="E73" s="47"/>
      <c r="F73" s="52">
        <v>0</v>
      </c>
      <c r="G73" s="53"/>
      <c r="H73" s="53"/>
      <c r="I73" s="50"/>
    </row>
    <row r="74" spans="2:11" x14ac:dyDescent="0.45">
      <c r="D74" s="47" t="s">
        <v>32</v>
      </c>
      <c r="E74" s="47"/>
      <c r="F74" s="54">
        <v>69360</v>
      </c>
      <c r="G74" s="55"/>
      <c r="H74" s="55"/>
      <c r="J74" s="46"/>
    </row>
    <row r="75" spans="2:11" x14ac:dyDescent="0.45">
      <c r="D75" s="47" t="s">
        <v>33</v>
      </c>
      <c r="E75" s="47"/>
      <c r="F75" s="54">
        <v>3740</v>
      </c>
      <c r="G75" s="55"/>
      <c r="H75" s="55"/>
      <c r="I75" s="50"/>
    </row>
    <row r="76" spans="2:11" x14ac:dyDescent="0.45">
      <c r="D76" s="47" t="s">
        <v>34</v>
      </c>
      <c r="E76" s="47"/>
      <c r="F76" s="52">
        <v>260900</v>
      </c>
      <c r="G76" s="53"/>
      <c r="H76" s="53"/>
      <c r="I76" s="50"/>
    </row>
    <row r="77" spans="2:11" ht="15.75" thickBot="1" x14ac:dyDescent="0.65">
      <c r="D77" s="56" t="s">
        <v>35</v>
      </c>
      <c r="E77" s="56"/>
      <c r="F77" s="57">
        <f>SUM(F72:F76)</f>
        <v>363630</v>
      </c>
      <c r="G77" s="58">
        <f>+I69-F77</f>
        <v>0</v>
      </c>
      <c r="H77" s="58"/>
      <c r="I77" s="50"/>
    </row>
    <row r="78" spans="2:11" ht="14.65" thickTop="1" x14ac:dyDescent="0.45"/>
    <row r="79" spans="2:11" ht="14.65" thickBot="1" x14ac:dyDescent="0.5"/>
    <row r="80" spans="2:11" ht="21.4" thickBot="1" x14ac:dyDescent="0.7">
      <c r="B80" s="1" t="s">
        <v>74</v>
      </c>
      <c r="C80" s="1"/>
      <c r="D80" s="2"/>
      <c r="E80" s="1"/>
      <c r="F80" s="1"/>
      <c r="G80" s="1"/>
      <c r="H80" s="1"/>
      <c r="I80" s="1"/>
      <c r="J80" s="1"/>
      <c r="K80" s="3"/>
    </row>
    <row r="81" spans="2:11" ht="24.4" thickBot="1" x14ac:dyDescent="0.55000000000000004">
      <c r="B81" s="4" t="s">
        <v>1</v>
      </c>
      <c r="C81" s="5" t="s">
        <v>2</v>
      </c>
      <c r="D81" s="5" t="s">
        <v>3</v>
      </c>
      <c r="E81" s="5" t="s">
        <v>4</v>
      </c>
      <c r="F81" s="6" t="s">
        <v>5</v>
      </c>
      <c r="G81" s="6" t="s">
        <v>6</v>
      </c>
      <c r="H81" s="6" t="s">
        <v>7</v>
      </c>
      <c r="I81" s="7" t="s">
        <v>8</v>
      </c>
      <c r="J81" s="5" t="s">
        <v>9</v>
      </c>
      <c r="K81" s="8" t="s">
        <v>10</v>
      </c>
    </row>
    <row r="82" spans="2:11" x14ac:dyDescent="0.45">
      <c r="B82" s="9">
        <v>1</v>
      </c>
      <c r="C82" s="10">
        <v>46238</v>
      </c>
      <c r="D82" s="11" t="s">
        <v>75</v>
      </c>
      <c r="E82" s="12">
        <v>2</v>
      </c>
      <c r="F82" s="13">
        <v>1</v>
      </c>
      <c r="G82" s="14">
        <v>5000</v>
      </c>
      <c r="H82" s="15">
        <v>1500</v>
      </c>
      <c r="I82" s="16">
        <f>+G82-H82</f>
        <v>3500</v>
      </c>
      <c r="J82" s="17"/>
      <c r="K82" s="18">
        <v>28806</v>
      </c>
    </row>
    <row r="83" spans="2:11" x14ac:dyDescent="0.45">
      <c r="B83" s="19">
        <f>+B82+1</f>
        <v>2</v>
      </c>
      <c r="C83" s="10">
        <v>46238</v>
      </c>
      <c r="D83" s="21" t="s">
        <v>76</v>
      </c>
      <c r="E83" s="22">
        <v>1</v>
      </c>
      <c r="F83" s="23">
        <v>3</v>
      </c>
      <c r="G83" s="24">
        <v>220</v>
      </c>
      <c r="H83" s="24">
        <v>0</v>
      </c>
      <c r="I83" s="25">
        <f t="shared" ref="I83:I105" si="5">+G83-H83</f>
        <v>220</v>
      </c>
      <c r="J83" s="26"/>
      <c r="K83" s="18">
        <f>+K82+1</f>
        <v>28807</v>
      </c>
    </row>
    <row r="84" spans="2:11" x14ac:dyDescent="0.45">
      <c r="B84" s="19">
        <f t="shared" ref="B84:B105" si="6">+B83+1</f>
        <v>3</v>
      </c>
      <c r="C84" s="10">
        <v>46238</v>
      </c>
      <c r="D84" s="21" t="s">
        <v>77</v>
      </c>
      <c r="E84" s="22">
        <v>1</v>
      </c>
      <c r="F84" s="23">
        <v>4</v>
      </c>
      <c r="G84" s="24">
        <v>1700</v>
      </c>
      <c r="H84" s="24">
        <v>510</v>
      </c>
      <c r="I84" s="25">
        <f t="shared" si="5"/>
        <v>1190</v>
      </c>
      <c r="J84" s="26"/>
      <c r="K84" s="18">
        <f t="shared" ref="K84:K105" si="7">+K83+1</f>
        <v>28808</v>
      </c>
    </row>
    <row r="85" spans="2:11" x14ac:dyDescent="0.45">
      <c r="B85" s="19">
        <f t="shared" si="6"/>
        <v>4</v>
      </c>
      <c r="C85" s="10">
        <v>46238</v>
      </c>
      <c r="D85" s="21" t="s">
        <v>78</v>
      </c>
      <c r="E85" s="22">
        <v>1</v>
      </c>
      <c r="F85" s="23">
        <v>1</v>
      </c>
      <c r="G85" s="24">
        <v>2000</v>
      </c>
      <c r="H85" s="24">
        <v>1000</v>
      </c>
      <c r="I85" s="25">
        <f t="shared" si="5"/>
        <v>1000</v>
      </c>
      <c r="J85" s="27"/>
      <c r="K85" s="18">
        <f t="shared" si="7"/>
        <v>28809</v>
      </c>
    </row>
    <row r="86" spans="2:11" x14ac:dyDescent="0.45">
      <c r="B86" s="19">
        <f t="shared" si="6"/>
        <v>5</v>
      </c>
      <c r="C86" s="10">
        <v>46238</v>
      </c>
      <c r="D86" s="21" t="s">
        <v>79</v>
      </c>
      <c r="E86" s="22">
        <v>1</v>
      </c>
      <c r="F86" s="23">
        <v>1</v>
      </c>
      <c r="G86" s="24">
        <v>1900</v>
      </c>
      <c r="H86" s="24">
        <v>760</v>
      </c>
      <c r="I86" s="25">
        <f t="shared" si="5"/>
        <v>1140</v>
      </c>
      <c r="J86" s="28"/>
      <c r="K86" s="18">
        <f t="shared" si="7"/>
        <v>28810</v>
      </c>
    </row>
    <row r="87" spans="2:11" x14ac:dyDescent="0.45">
      <c r="B87" s="19">
        <f t="shared" si="6"/>
        <v>6</v>
      </c>
      <c r="C87" s="10">
        <v>46238</v>
      </c>
      <c r="D87" s="21" t="s">
        <v>80</v>
      </c>
      <c r="E87" s="22">
        <v>1</v>
      </c>
      <c r="F87" s="23">
        <v>1</v>
      </c>
      <c r="G87" s="24">
        <v>1700</v>
      </c>
      <c r="H87" s="24">
        <v>0</v>
      </c>
      <c r="I87" s="25">
        <f t="shared" si="5"/>
        <v>1700</v>
      </c>
      <c r="J87" s="27"/>
      <c r="K87" s="18">
        <f t="shared" si="7"/>
        <v>28811</v>
      </c>
    </row>
    <row r="88" spans="2:11" x14ac:dyDescent="0.45">
      <c r="B88" s="19">
        <f t="shared" si="6"/>
        <v>7</v>
      </c>
      <c r="C88" s="10">
        <v>46238</v>
      </c>
      <c r="D88" s="21" t="s">
        <v>81</v>
      </c>
      <c r="E88" s="22">
        <v>1</v>
      </c>
      <c r="F88" s="23">
        <v>1</v>
      </c>
      <c r="G88" s="24">
        <v>1800</v>
      </c>
      <c r="H88" s="24">
        <v>300</v>
      </c>
      <c r="I88" s="25">
        <f t="shared" si="5"/>
        <v>1500</v>
      </c>
      <c r="J88" s="27"/>
      <c r="K88" s="18">
        <f t="shared" si="7"/>
        <v>28812</v>
      </c>
    </row>
    <row r="89" spans="2:11" x14ac:dyDescent="0.45">
      <c r="B89" s="19">
        <f t="shared" si="6"/>
        <v>8</v>
      </c>
      <c r="C89" s="10">
        <v>46238</v>
      </c>
      <c r="D89" s="21" t="s">
        <v>82</v>
      </c>
      <c r="E89" s="22">
        <v>1</v>
      </c>
      <c r="F89" s="23">
        <v>3</v>
      </c>
      <c r="G89" s="24">
        <v>1800</v>
      </c>
      <c r="H89" s="24">
        <v>540</v>
      </c>
      <c r="I89" s="25">
        <f t="shared" si="5"/>
        <v>1260</v>
      </c>
      <c r="J89" s="27"/>
      <c r="K89" s="18">
        <f t="shared" si="7"/>
        <v>28813</v>
      </c>
    </row>
    <row r="90" spans="2:11" x14ac:dyDescent="0.45">
      <c r="B90" s="19">
        <f t="shared" si="6"/>
        <v>9</v>
      </c>
      <c r="C90" s="10">
        <v>46238</v>
      </c>
      <c r="D90" s="21" t="s">
        <v>83</v>
      </c>
      <c r="E90" s="22">
        <v>1</v>
      </c>
      <c r="F90" s="23">
        <v>3</v>
      </c>
      <c r="G90" s="24">
        <v>1900</v>
      </c>
      <c r="H90" s="24">
        <v>570</v>
      </c>
      <c r="I90" s="25">
        <f t="shared" si="5"/>
        <v>1330</v>
      </c>
      <c r="J90" s="27"/>
      <c r="K90" s="18">
        <f t="shared" si="7"/>
        <v>28814</v>
      </c>
    </row>
    <row r="91" spans="2:11" x14ac:dyDescent="0.45">
      <c r="B91" s="19">
        <f t="shared" si="6"/>
        <v>10</v>
      </c>
      <c r="C91" s="10">
        <v>46238</v>
      </c>
      <c r="D91" s="11" t="s">
        <v>72</v>
      </c>
      <c r="E91" s="30">
        <v>1</v>
      </c>
      <c r="F91" s="31">
        <v>5</v>
      </c>
      <c r="G91" s="32">
        <v>1175</v>
      </c>
      <c r="H91" s="32">
        <v>475</v>
      </c>
      <c r="I91" s="25">
        <f t="shared" si="5"/>
        <v>700</v>
      </c>
      <c r="J91" s="27"/>
      <c r="K91" s="18">
        <f t="shared" si="7"/>
        <v>28815</v>
      </c>
    </row>
    <row r="92" spans="2:11" x14ac:dyDescent="0.45">
      <c r="B92" s="19">
        <f t="shared" si="6"/>
        <v>11</v>
      </c>
      <c r="C92" s="10">
        <v>46238</v>
      </c>
      <c r="D92" s="21" t="s">
        <v>84</v>
      </c>
      <c r="E92" s="22">
        <v>1</v>
      </c>
      <c r="F92" s="33">
        <v>4</v>
      </c>
      <c r="G92" s="34">
        <v>4500</v>
      </c>
      <c r="H92" s="34">
        <v>0</v>
      </c>
      <c r="I92" s="25">
        <f t="shared" si="5"/>
        <v>4500</v>
      </c>
      <c r="J92" s="28"/>
      <c r="K92" s="18">
        <f t="shared" si="7"/>
        <v>28816</v>
      </c>
    </row>
    <row r="93" spans="2:11" x14ac:dyDescent="0.45">
      <c r="B93" s="19">
        <f t="shared" si="6"/>
        <v>12</v>
      </c>
      <c r="C93" s="10">
        <v>46238</v>
      </c>
      <c r="D93" s="21" t="s">
        <v>85</v>
      </c>
      <c r="E93" s="22">
        <v>1</v>
      </c>
      <c r="F93" s="22">
        <v>3</v>
      </c>
      <c r="G93" s="35">
        <v>3000</v>
      </c>
      <c r="H93" s="35">
        <v>0</v>
      </c>
      <c r="I93" s="25">
        <f t="shared" si="5"/>
        <v>3000</v>
      </c>
      <c r="J93" s="27"/>
      <c r="K93" s="18">
        <f t="shared" si="7"/>
        <v>28817</v>
      </c>
    </row>
    <row r="94" spans="2:11" x14ac:dyDescent="0.45">
      <c r="B94" s="19">
        <f t="shared" si="6"/>
        <v>13</v>
      </c>
      <c r="C94" s="10">
        <v>46238</v>
      </c>
      <c r="D94" s="21" t="s">
        <v>86</v>
      </c>
      <c r="E94" s="22">
        <v>1</v>
      </c>
      <c r="F94" s="22">
        <v>1</v>
      </c>
      <c r="G94" s="35">
        <v>1900</v>
      </c>
      <c r="H94" s="35">
        <v>760</v>
      </c>
      <c r="I94" s="25">
        <f t="shared" si="5"/>
        <v>1140</v>
      </c>
      <c r="J94" s="27"/>
      <c r="K94" s="18">
        <f t="shared" si="7"/>
        <v>28818</v>
      </c>
    </row>
    <row r="95" spans="2:11" x14ac:dyDescent="0.45">
      <c r="B95" s="19">
        <f t="shared" si="6"/>
        <v>14</v>
      </c>
      <c r="C95" s="10">
        <v>46238</v>
      </c>
      <c r="D95" s="21" t="s">
        <v>87</v>
      </c>
      <c r="E95" s="22">
        <v>1</v>
      </c>
      <c r="F95" s="22">
        <v>1</v>
      </c>
      <c r="G95" s="35">
        <v>1900</v>
      </c>
      <c r="H95" s="35">
        <v>570</v>
      </c>
      <c r="I95" s="25">
        <f t="shared" si="5"/>
        <v>1330</v>
      </c>
      <c r="J95" s="27"/>
      <c r="K95" s="18">
        <f t="shared" si="7"/>
        <v>28819</v>
      </c>
    </row>
    <row r="96" spans="2:11" x14ac:dyDescent="0.45">
      <c r="B96" s="19">
        <f t="shared" si="6"/>
        <v>15</v>
      </c>
      <c r="C96" s="10">
        <v>46238</v>
      </c>
      <c r="D96" s="21" t="s">
        <v>88</v>
      </c>
      <c r="E96" s="22">
        <v>4</v>
      </c>
      <c r="F96" s="22">
        <v>4</v>
      </c>
      <c r="G96" s="35">
        <f>3500*4</f>
        <v>14000</v>
      </c>
      <c r="H96" s="35">
        <v>800</v>
      </c>
      <c r="I96" s="25">
        <f t="shared" si="5"/>
        <v>13200</v>
      </c>
      <c r="J96" s="27"/>
      <c r="K96" s="18">
        <f t="shared" si="7"/>
        <v>28820</v>
      </c>
    </row>
    <row r="97" spans="2:11" x14ac:dyDescent="0.45">
      <c r="B97" s="19">
        <f t="shared" si="6"/>
        <v>16</v>
      </c>
      <c r="C97" s="10">
        <v>46238</v>
      </c>
      <c r="D97" s="21" t="s">
        <v>89</v>
      </c>
      <c r="E97" s="22">
        <v>1</v>
      </c>
      <c r="F97" s="22">
        <v>5</v>
      </c>
      <c r="G97" s="35">
        <v>2000</v>
      </c>
      <c r="H97" s="35">
        <v>200</v>
      </c>
      <c r="I97" s="25">
        <f t="shared" si="5"/>
        <v>1800</v>
      </c>
      <c r="J97" s="27"/>
      <c r="K97" s="18">
        <f t="shared" si="7"/>
        <v>28821</v>
      </c>
    </row>
    <row r="98" spans="2:11" x14ac:dyDescent="0.45">
      <c r="B98" s="19">
        <f t="shared" si="6"/>
        <v>17</v>
      </c>
      <c r="C98" s="10">
        <v>46238</v>
      </c>
      <c r="D98" s="21" t="s">
        <v>90</v>
      </c>
      <c r="E98" s="22">
        <v>1</v>
      </c>
      <c r="F98" s="22">
        <v>3</v>
      </c>
      <c r="G98" s="35">
        <v>1900</v>
      </c>
      <c r="H98" s="35">
        <v>570</v>
      </c>
      <c r="I98" s="25">
        <f t="shared" si="5"/>
        <v>1330</v>
      </c>
      <c r="J98" s="27"/>
      <c r="K98" s="18">
        <f t="shared" si="7"/>
        <v>28822</v>
      </c>
    </row>
    <row r="99" spans="2:11" x14ac:dyDescent="0.45">
      <c r="B99" s="19">
        <f t="shared" si="6"/>
        <v>18</v>
      </c>
      <c r="C99" s="10">
        <v>46238</v>
      </c>
      <c r="D99" s="21" t="s">
        <v>91</v>
      </c>
      <c r="E99" s="22">
        <v>10</v>
      </c>
      <c r="F99" s="22">
        <v>4</v>
      </c>
      <c r="G99" s="35">
        <f>3500*10</f>
        <v>35000</v>
      </c>
      <c r="H99" s="35">
        <v>10500</v>
      </c>
      <c r="I99" s="25">
        <f t="shared" si="5"/>
        <v>24500</v>
      </c>
      <c r="J99" s="27"/>
      <c r="K99" s="18">
        <f>+K98+1</f>
        <v>28823</v>
      </c>
    </row>
    <row r="100" spans="2:11" x14ac:dyDescent="0.45">
      <c r="B100" s="19">
        <f t="shared" si="6"/>
        <v>19</v>
      </c>
      <c r="C100" s="10">
        <v>46238</v>
      </c>
      <c r="D100" s="21" t="s">
        <v>92</v>
      </c>
      <c r="E100" s="22">
        <v>1</v>
      </c>
      <c r="F100" s="22">
        <v>3</v>
      </c>
      <c r="G100" s="35">
        <v>4900</v>
      </c>
      <c r="H100" s="35">
        <v>1470</v>
      </c>
      <c r="I100" s="25">
        <f t="shared" si="5"/>
        <v>3430</v>
      </c>
      <c r="J100" s="27"/>
      <c r="K100" s="18">
        <f t="shared" si="7"/>
        <v>28824</v>
      </c>
    </row>
    <row r="101" spans="2:11" x14ac:dyDescent="0.45">
      <c r="B101" s="19">
        <f t="shared" si="6"/>
        <v>20</v>
      </c>
      <c r="C101" s="10">
        <v>46238</v>
      </c>
      <c r="D101" s="21" t="s">
        <v>93</v>
      </c>
      <c r="E101" s="22">
        <v>1</v>
      </c>
      <c r="F101" s="22">
        <v>3</v>
      </c>
      <c r="G101" s="35">
        <v>1900</v>
      </c>
      <c r="H101" s="35">
        <v>570</v>
      </c>
      <c r="I101" s="25">
        <f t="shared" si="5"/>
        <v>1330</v>
      </c>
      <c r="J101" s="27"/>
      <c r="K101" s="18">
        <f t="shared" si="7"/>
        <v>28825</v>
      </c>
    </row>
    <row r="102" spans="2:11" x14ac:dyDescent="0.45">
      <c r="B102" s="19">
        <f t="shared" si="6"/>
        <v>21</v>
      </c>
      <c r="C102" s="10">
        <v>46238</v>
      </c>
      <c r="D102" s="21" t="s">
        <v>94</v>
      </c>
      <c r="E102" s="22">
        <v>1</v>
      </c>
      <c r="F102" s="22">
        <v>3</v>
      </c>
      <c r="G102" s="35">
        <v>2700</v>
      </c>
      <c r="H102" s="35">
        <v>1080</v>
      </c>
      <c r="I102" s="25">
        <f t="shared" si="5"/>
        <v>1620</v>
      </c>
      <c r="J102" s="27"/>
      <c r="K102" s="18">
        <f t="shared" si="7"/>
        <v>28826</v>
      </c>
    </row>
    <row r="103" spans="2:11" x14ac:dyDescent="0.45">
      <c r="B103" s="19">
        <f t="shared" si="6"/>
        <v>22</v>
      </c>
      <c r="C103" s="10">
        <v>46238</v>
      </c>
      <c r="D103" s="21" t="s">
        <v>95</v>
      </c>
      <c r="E103" s="22">
        <v>1</v>
      </c>
      <c r="F103" s="22">
        <v>3</v>
      </c>
      <c r="G103" s="35">
        <v>1800</v>
      </c>
      <c r="H103" s="35">
        <v>200</v>
      </c>
      <c r="I103" s="25">
        <f t="shared" si="5"/>
        <v>1600</v>
      </c>
      <c r="J103" s="27"/>
      <c r="K103" s="18">
        <f t="shared" si="7"/>
        <v>28827</v>
      </c>
    </row>
    <row r="104" spans="2:11" x14ac:dyDescent="0.45">
      <c r="B104" s="19">
        <f t="shared" si="6"/>
        <v>23</v>
      </c>
      <c r="C104" s="10">
        <v>46238</v>
      </c>
      <c r="D104" s="21" t="s">
        <v>96</v>
      </c>
      <c r="E104" s="22">
        <v>1</v>
      </c>
      <c r="F104" s="22">
        <v>1</v>
      </c>
      <c r="G104" s="35">
        <v>2700</v>
      </c>
      <c r="H104" s="35">
        <v>0</v>
      </c>
      <c r="I104" s="25">
        <f t="shared" si="5"/>
        <v>2700</v>
      </c>
      <c r="J104" s="27"/>
      <c r="K104" s="18">
        <f t="shared" si="7"/>
        <v>28828</v>
      </c>
    </row>
    <row r="105" spans="2:11" ht="14.65" thickBot="1" x14ac:dyDescent="0.5">
      <c r="B105" s="19">
        <f t="shared" si="6"/>
        <v>24</v>
      </c>
      <c r="C105" s="10">
        <v>46238</v>
      </c>
      <c r="D105" s="21" t="s">
        <v>97</v>
      </c>
      <c r="E105" s="22">
        <v>1</v>
      </c>
      <c r="F105" s="22">
        <v>3</v>
      </c>
      <c r="G105" s="35">
        <v>1800</v>
      </c>
      <c r="H105" s="35">
        <v>300</v>
      </c>
      <c r="I105" s="25">
        <f t="shared" si="5"/>
        <v>1500</v>
      </c>
      <c r="J105" s="27"/>
      <c r="K105" s="18">
        <f t="shared" si="7"/>
        <v>28829</v>
      </c>
    </row>
    <row r="106" spans="2:11" ht="14.65" thickBot="1" x14ac:dyDescent="0.5">
      <c r="F106" s="61" t="s">
        <v>26</v>
      </c>
      <c r="G106" s="62">
        <f>SUM(G82:G105)</f>
        <v>99195</v>
      </c>
      <c r="H106" s="62">
        <f>SUM(H82:H105)</f>
        <v>22675</v>
      </c>
      <c r="I106" s="62">
        <f>SUM(I82:I105)</f>
        <v>76520</v>
      </c>
      <c r="K106" s="41"/>
    </row>
    <row r="108" spans="2:11" ht="15.75" x14ac:dyDescent="0.5">
      <c r="D108" s="42" t="s">
        <v>28</v>
      </c>
      <c r="E108" s="42"/>
      <c r="F108" s="43" t="s">
        <v>29</v>
      </c>
      <c r="G108" s="44"/>
      <c r="H108" s="44"/>
      <c r="I108" s="45"/>
      <c r="J108" s="46"/>
    </row>
    <row r="109" spans="2:11" x14ac:dyDescent="0.45">
      <c r="D109" s="47" t="s">
        <v>30</v>
      </c>
      <c r="E109" s="47"/>
      <c r="F109" s="48">
        <v>10510</v>
      </c>
      <c r="G109" s="49"/>
      <c r="H109" s="49"/>
      <c r="I109" s="50"/>
      <c r="K109" s="51"/>
    </row>
    <row r="110" spans="2:11" x14ac:dyDescent="0.45">
      <c r="D110" s="47" t="s">
        <v>31</v>
      </c>
      <c r="E110" s="47"/>
      <c r="F110" s="52">
        <v>0</v>
      </c>
      <c r="G110" s="53"/>
      <c r="H110" s="53"/>
      <c r="I110" s="50"/>
    </row>
    <row r="111" spans="2:11" x14ac:dyDescent="0.45">
      <c r="D111" s="47" t="s">
        <v>32</v>
      </c>
      <c r="E111" s="47"/>
      <c r="F111" s="54">
        <f>16400+220</f>
        <v>16620</v>
      </c>
      <c r="G111" s="55"/>
      <c r="H111" s="55"/>
      <c r="J111" s="46"/>
    </row>
    <row r="112" spans="2:11" x14ac:dyDescent="0.45">
      <c r="D112" s="47" t="s">
        <v>33</v>
      </c>
      <c r="E112" s="47"/>
      <c r="F112" s="54">
        <v>46890</v>
      </c>
      <c r="G112" s="55"/>
      <c r="H112" s="55"/>
      <c r="I112" s="50"/>
    </row>
    <row r="113" spans="2:11" x14ac:dyDescent="0.45">
      <c r="D113" s="47" t="s">
        <v>34</v>
      </c>
      <c r="E113" s="47"/>
      <c r="F113" s="52">
        <v>2500</v>
      </c>
      <c r="G113" s="53"/>
      <c r="H113" s="53"/>
      <c r="I113" s="50"/>
    </row>
    <row r="114" spans="2:11" ht="15.75" thickBot="1" x14ac:dyDescent="0.65">
      <c r="D114" s="56" t="s">
        <v>35</v>
      </c>
      <c r="E114" s="56"/>
      <c r="F114" s="57">
        <f>SUM(F109:F113)</f>
        <v>76520</v>
      </c>
      <c r="G114" s="58">
        <f>+I106-F114</f>
        <v>0</v>
      </c>
      <c r="H114" s="58"/>
      <c r="I114" s="50"/>
    </row>
    <row r="115" spans="2:11" ht="15" thickTop="1" thickBot="1" x14ac:dyDescent="0.5"/>
    <row r="116" spans="2:11" ht="21.4" thickBot="1" x14ac:dyDescent="0.7">
      <c r="B116" s="1" t="s">
        <v>98</v>
      </c>
      <c r="C116" s="1"/>
      <c r="D116" s="2"/>
      <c r="E116" s="1"/>
      <c r="F116" s="1"/>
      <c r="G116" s="1"/>
      <c r="H116" s="1"/>
      <c r="I116" s="1"/>
      <c r="J116" s="1"/>
      <c r="K116" s="3"/>
    </row>
    <row r="117" spans="2:11" ht="24.4" thickBot="1" x14ac:dyDescent="0.55000000000000004">
      <c r="B117" s="4" t="s">
        <v>1</v>
      </c>
      <c r="C117" s="5" t="s">
        <v>2</v>
      </c>
      <c r="D117" s="5" t="s">
        <v>3</v>
      </c>
      <c r="E117" s="5" t="s">
        <v>4</v>
      </c>
      <c r="F117" s="6" t="s">
        <v>5</v>
      </c>
      <c r="G117" s="6" t="s">
        <v>6</v>
      </c>
      <c r="H117" s="6" t="s">
        <v>7</v>
      </c>
      <c r="I117" s="7" t="s">
        <v>8</v>
      </c>
      <c r="J117" s="5" t="s">
        <v>9</v>
      </c>
      <c r="K117" s="8" t="s">
        <v>10</v>
      </c>
    </row>
    <row r="118" spans="2:11" x14ac:dyDescent="0.45">
      <c r="B118" s="9">
        <v>1</v>
      </c>
      <c r="C118" s="10">
        <v>46239</v>
      </c>
      <c r="D118" s="11" t="s">
        <v>99</v>
      </c>
      <c r="E118" s="12"/>
      <c r="F118" s="13"/>
      <c r="G118" s="14">
        <v>440</v>
      </c>
      <c r="H118" s="15">
        <v>0</v>
      </c>
      <c r="I118" s="16">
        <f>+G118-H118</f>
        <v>440</v>
      </c>
      <c r="J118" s="17"/>
      <c r="K118" s="18">
        <v>28830</v>
      </c>
    </row>
    <row r="119" spans="2:11" x14ac:dyDescent="0.45">
      <c r="B119" s="19">
        <f>+B118+1</f>
        <v>2</v>
      </c>
      <c r="C119" s="10">
        <v>46239</v>
      </c>
      <c r="D119" s="21" t="s">
        <v>100</v>
      </c>
      <c r="E119" s="22"/>
      <c r="F119" s="23"/>
      <c r="G119" s="24">
        <v>220</v>
      </c>
      <c r="H119" s="24">
        <v>0</v>
      </c>
      <c r="I119" s="25">
        <f t="shared" ref="I119:I159" si="8">+G119-H119</f>
        <v>220</v>
      </c>
      <c r="J119" s="26"/>
      <c r="K119" s="18">
        <f>+K118+1</f>
        <v>28831</v>
      </c>
    </row>
    <row r="120" spans="2:11" x14ac:dyDescent="0.45">
      <c r="B120" s="19">
        <f t="shared" ref="B120:B159" si="9">+B119+1</f>
        <v>3</v>
      </c>
      <c r="C120" s="10">
        <v>46239</v>
      </c>
      <c r="D120" s="21" t="s">
        <v>101</v>
      </c>
      <c r="E120" s="22"/>
      <c r="F120" s="23"/>
      <c r="G120" s="24">
        <v>220</v>
      </c>
      <c r="H120" s="24">
        <v>0</v>
      </c>
      <c r="I120" s="25">
        <f t="shared" si="8"/>
        <v>220</v>
      </c>
      <c r="J120" s="26"/>
      <c r="K120" s="18">
        <f t="shared" ref="K120:K159" si="10">+K119+1</f>
        <v>28832</v>
      </c>
    </row>
    <row r="121" spans="2:11" x14ac:dyDescent="0.45">
      <c r="B121" s="19">
        <f t="shared" si="9"/>
        <v>4</v>
      </c>
      <c r="C121" s="10">
        <v>46239</v>
      </c>
      <c r="D121" s="21" t="s">
        <v>102</v>
      </c>
      <c r="E121" s="22"/>
      <c r="F121" s="23"/>
      <c r="G121" s="24">
        <v>1900</v>
      </c>
      <c r="H121" s="24">
        <v>0</v>
      </c>
      <c r="I121" s="25">
        <f t="shared" si="8"/>
        <v>1900</v>
      </c>
      <c r="J121" s="27"/>
      <c r="K121" s="18">
        <f t="shared" si="10"/>
        <v>28833</v>
      </c>
    </row>
    <row r="122" spans="2:11" x14ac:dyDescent="0.45">
      <c r="B122" s="19">
        <f t="shared" si="9"/>
        <v>5</v>
      </c>
      <c r="C122" s="10">
        <v>46239</v>
      </c>
      <c r="D122" s="21" t="s">
        <v>103</v>
      </c>
      <c r="E122" s="22"/>
      <c r="F122" s="23"/>
      <c r="G122" s="24">
        <f>3500*9</f>
        <v>31500</v>
      </c>
      <c r="H122" s="24">
        <v>9450</v>
      </c>
      <c r="I122" s="25">
        <f t="shared" si="8"/>
        <v>22050</v>
      </c>
      <c r="J122" s="28"/>
      <c r="K122" s="18">
        <f t="shared" si="10"/>
        <v>28834</v>
      </c>
    </row>
    <row r="123" spans="2:11" x14ac:dyDescent="0.45">
      <c r="B123" s="19">
        <f t="shared" si="9"/>
        <v>6</v>
      </c>
      <c r="C123" s="10">
        <v>46239</v>
      </c>
      <c r="D123" s="21" t="s">
        <v>104</v>
      </c>
      <c r="E123" s="22"/>
      <c r="F123" s="23"/>
      <c r="G123" s="24">
        <v>1710</v>
      </c>
      <c r="H123" s="24">
        <v>350</v>
      </c>
      <c r="I123" s="25">
        <f t="shared" si="8"/>
        <v>1360</v>
      </c>
      <c r="J123" s="27"/>
      <c r="K123" s="18">
        <f t="shared" si="10"/>
        <v>28835</v>
      </c>
    </row>
    <row r="124" spans="2:11" x14ac:dyDescent="0.45">
      <c r="B124" s="19">
        <f t="shared" si="9"/>
        <v>7</v>
      </c>
      <c r="C124" s="10">
        <v>46239</v>
      </c>
      <c r="D124" s="21" t="s">
        <v>51</v>
      </c>
      <c r="E124" s="22"/>
      <c r="F124" s="23"/>
      <c r="G124" s="24">
        <v>220</v>
      </c>
      <c r="H124" s="24">
        <v>0</v>
      </c>
      <c r="I124" s="25">
        <f t="shared" si="8"/>
        <v>220</v>
      </c>
      <c r="J124" s="27"/>
      <c r="K124" s="18">
        <f t="shared" si="10"/>
        <v>28836</v>
      </c>
    </row>
    <row r="125" spans="2:11" x14ac:dyDescent="0.45">
      <c r="B125" s="19">
        <f t="shared" si="9"/>
        <v>8</v>
      </c>
      <c r="C125" s="10">
        <v>46239</v>
      </c>
      <c r="D125" s="63" t="s">
        <v>105</v>
      </c>
      <c r="E125" s="22"/>
      <c r="F125" s="23"/>
      <c r="G125" s="24">
        <v>13900</v>
      </c>
      <c r="H125" s="24">
        <v>2800</v>
      </c>
      <c r="I125" s="25">
        <f t="shared" si="8"/>
        <v>11100</v>
      </c>
      <c r="J125" s="27"/>
      <c r="K125" s="18">
        <f t="shared" si="10"/>
        <v>28837</v>
      </c>
    </row>
    <row r="126" spans="2:11" x14ac:dyDescent="0.45">
      <c r="B126" s="19">
        <f t="shared" si="9"/>
        <v>9</v>
      </c>
      <c r="C126" s="10">
        <v>46239</v>
      </c>
      <c r="D126" s="21" t="s">
        <v>105</v>
      </c>
      <c r="E126" s="22"/>
      <c r="F126" s="23"/>
      <c r="G126" s="24">
        <v>1700</v>
      </c>
      <c r="H126" s="24">
        <v>200</v>
      </c>
      <c r="I126" s="25">
        <f t="shared" si="8"/>
        <v>1500</v>
      </c>
      <c r="J126" s="27"/>
      <c r="K126" s="18">
        <f t="shared" si="10"/>
        <v>28838</v>
      </c>
    </row>
    <row r="127" spans="2:11" x14ac:dyDescent="0.45">
      <c r="B127" s="19">
        <f t="shared" si="9"/>
        <v>10</v>
      </c>
      <c r="C127" s="10">
        <v>46239</v>
      </c>
      <c r="D127" s="21" t="s">
        <v>106</v>
      </c>
      <c r="E127" s="30"/>
      <c r="F127" s="31"/>
      <c r="G127" s="32">
        <v>220</v>
      </c>
      <c r="H127" s="32">
        <v>0</v>
      </c>
      <c r="I127" s="25">
        <f t="shared" si="8"/>
        <v>220</v>
      </c>
      <c r="J127" s="27"/>
      <c r="K127" s="18">
        <f t="shared" si="10"/>
        <v>28839</v>
      </c>
    </row>
    <row r="128" spans="2:11" x14ac:dyDescent="0.45">
      <c r="B128" s="19">
        <f t="shared" si="9"/>
        <v>11</v>
      </c>
      <c r="C128" s="10">
        <v>46239</v>
      </c>
      <c r="D128" s="21" t="s">
        <v>107</v>
      </c>
      <c r="E128" s="22"/>
      <c r="F128" s="33"/>
      <c r="G128" s="34">
        <v>700</v>
      </c>
      <c r="H128" s="34">
        <v>0</v>
      </c>
      <c r="I128" s="25">
        <f t="shared" si="8"/>
        <v>700</v>
      </c>
      <c r="J128" s="28"/>
      <c r="K128" s="18">
        <f t="shared" si="10"/>
        <v>28840</v>
      </c>
    </row>
    <row r="129" spans="2:11" x14ac:dyDescent="0.45">
      <c r="B129" s="19">
        <f t="shared" si="9"/>
        <v>12</v>
      </c>
      <c r="C129" s="10">
        <v>46239</v>
      </c>
      <c r="D129" s="21" t="s">
        <v>51</v>
      </c>
      <c r="E129" s="22"/>
      <c r="F129" s="22"/>
      <c r="G129" s="35">
        <v>100</v>
      </c>
      <c r="H129" s="35">
        <v>0</v>
      </c>
      <c r="I129" s="25">
        <f t="shared" si="8"/>
        <v>100</v>
      </c>
      <c r="J129" s="27"/>
      <c r="K129" s="18">
        <f t="shared" si="10"/>
        <v>28841</v>
      </c>
    </row>
    <row r="130" spans="2:11" x14ac:dyDescent="0.45">
      <c r="B130" s="19">
        <f t="shared" si="9"/>
        <v>13</v>
      </c>
      <c r="C130" s="10">
        <v>46239</v>
      </c>
      <c r="D130" s="21" t="s">
        <v>18</v>
      </c>
      <c r="E130" s="22"/>
      <c r="F130" s="22"/>
      <c r="G130" s="35">
        <v>440</v>
      </c>
      <c r="H130" s="35">
        <v>0</v>
      </c>
      <c r="I130" s="25">
        <f t="shared" si="8"/>
        <v>440</v>
      </c>
      <c r="J130" s="27"/>
      <c r="K130" s="18">
        <f t="shared" si="10"/>
        <v>28842</v>
      </c>
    </row>
    <row r="131" spans="2:11" x14ac:dyDescent="0.45">
      <c r="B131" s="19">
        <f t="shared" si="9"/>
        <v>14</v>
      </c>
      <c r="C131" s="10">
        <v>46239</v>
      </c>
      <c r="D131" s="21" t="s">
        <v>48</v>
      </c>
      <c r="E131" s="22"/>
      <c r="F131" s="22"/>
      <c r="G131" s="35">
        <v>660</v>
      </c>
      <c r="H131" s="35">
        <v>0</v>
      </c>
      <c r="I131" s="25">
        <f t="shared" si="8"/>
        <v>660</v>
      </c>
      <c r="J131" s="27"/>
      <c r="K131" s="18">
        <f t="shared" si="10"/>
        <v>28843</v>
      </c>
    </row>
    <row r="132" spans="2:11" x14ac:dyDescent="0.45">
      <c r="B132" s="19">
        <f t="shared" si="9"/>
        <v>15</v>
      </c>
      <c r="C132" s="10">
        <v>46239</v>
      </c>
      <c r="D132" s="21" t="s">
        <v>108</v>
      </c>
      <c r="E132" s="22"/>
      <c r="F132" s="22"/>
      <c r="G132" s="35">
        <v>640</v>
      </c>
      <c r="H132" s="35">
        <v>0</v>
      </c>
      <c r="I132" s="25">
        <f t="shared" si="8"/>
        <v>640</v>
      </c>
      <c r="J132" s="27"/>
      <c r="K132" s="18">
        <f t="shared" si="10"/>
        <v>28844</v>
      </c>
    </row>
    <row r="133" spans="2:11" x14ac:dyDescent="0.45">
      <c r="B133" s="19">
        <f t="shared" si="9"/>
        <v>16</v>
      </c>
      <c r="C133" s="10">
        <v>46239</v>
      </c>
      <c r="D133" s="21" t="s">
        <v>109</v>
      </c>
      <c r="E133" s="22"/>
      <c r="F133" s="22"/>
      <c r="G133" s="35">
        <v>220</v>
      </c>
      <c r="H133" s="35">
        <v>0</v>
      </c>
      <c r="I133" s="25">
        <f t="shared" si="8"/>
        <v>220</v>
      </c>
      <c r="J133" s="27"/>
      <c r="K133" s="18">
        <f t="shared" si="10"/>
        <v>28845</v>
      </c>
    </row>
    <row r="134" spans="2:11" x14ac:dyDescent="0.45">
      <c r="B134" s="19">
        <f t="shared" si="9"/>
        <v>17</v>
      </c>
      <c r="C134" s="10">
        <v>46239</v>
      </c>
      <c r="D134" s="21" t="s">
        <v>19</v>
      </c>
      <c r="E134" s="22"/>
      <c r="F134" s="22"/>
      <c r="G134" s="35">
        <v>220</v>
      </c>
      <c r="H134" s="35">
        <v>0</v>
      </c>
      <c r="I134" s="25">
        <f t="shared" si="8"/>
        <v>220</v>
      </c>
      <c r="J134" s="27"/>
      <c r="K134" s="18">
        <f t="shared" si="10"/>
        <v>28846</v>
      </c>
    </row>
    <row r="135" spans="2:11" x14ac:dyDescent="0.45">
      <c r="B135" s="19">
        <f t="shared" si="9"/>
        <v>18</v>
      </c>
      <c r="C135" s="10">
        <v>46239</v>
      </c>
      <c r="D135" s="21" t="s">
        <v>110</v>
      </c>
      <c r="E135" s="22"/>
      <c r="F135" s="22"/>
      <c r="G135" s="35">
        <v>440</v>
      </c>
      <c r="H135" s="35">
        <v>0</v>
      </c>
      <c r="I135" s="25">
        <f t="shared" si="8"/>
        <v>440</v>
      </c>
      <c r="J135" s="27"/>
      <c r="K135" s="18">
        <f t="shared" si="10"/>
        <v>28847</v>
      </c>
    </row>
    <row r="136" spans="2:11" x14ac:dyDescent="0.45">
      <c r="B136" s="19">
        <f t="shared" si="9"/>
        <v>19</v>
      </c>
      <c r="C136" s="10">
        <v>46239</v>
      </c>
      <c r="D136" s="21" t="s">
        <v>111</v>
      </c>
      <c r="E136" s="22"/>
      <c r="F136" s="22"/>
      <c r="G136" s="35">
        <v>3800</v>
      </c>
      <c r="H136" s="35">
        <v>1140</v>
      </c>
      <c r="I136" s="25">
        <f t="shared" si="8"/>
        <v>2660</v>
      </c>
      <c r="J136" s="27"/>
      <c r="K136" s="18">
        <f t="shared" si="10"/>
        <v>28848</v>
      </c>
    </row>
    <row r="137" spans="2:11" x14ac:dyDescent="0.45">
      <c r="B137" s="19">
        <f t="shared" si="9"/>
        <v>20</v>
      </c>
      <c r="C137" s="10">
        <v>46239</v>
      </c>
      <c r="D137" s="21" t="s">
        <v>112</v>
      </c>
      <c r="E137" s="22"/>
      <c r="F137" s="22"/>
      <c r="G137" s="35">
        <v>3200</v>
      </c>
      <c r="H137" s="35">
        <v>0</v>
      </c>
      <c r="I137" s="25">
        <f t="shared" si="8"/>
        <v>3200</v>
      </c>
      <c r="J137" s="27"/>
      <c r="K137" s="18">
        <f t="shared" si="10"/>
        <v>28849</v>
      </c>
    </row>
    <row r="138" spans="2:11" x14ac:dyDescent="0.45">
      <c r="B138" s="19">
        <f t="shared" si="9"/>
        <v>21</v>
      </c>
      <c r="C138" s="10">
        <v>46239</v>
      </c>
      <c r="D138" s="21" t="s">
        <v>113</v>
      </c>
      <c r="E138" s="22"/>
      <c r="F138" s="22"/>
      <c r="G138" s="35">
        <v>4900</v>
      </c>
      <c r="H138" s="35">
        <v>200</v>
      </c>
      <c r="I138" s="25">
        <f t="shared" si="8"/>
        <v>4700</v>
      </c>
      <c r="J138" s="27"/>
      <c r="K138" s="18">
        <f t="shared" si="10"/>
        <v>28850</v>
      </c>
    </row>
    <row r="139" spans="2:11" x14ac:dyDescent="0.45">
      <c r="B139" s="19">
        <f t="shared" si="9"/>
        <v>22</v>
      </c>
      <c r="C139" s="10">
        <v>46239</v>
      </c>
      <c r="D139" s="21" t="s">
        <v>114</v>
      </c>
      <c r="E139" s="22"/>
      <c r="F139" s="22"/>
      <c r="G139" s="35">
        <v>1700</v>
      </c>
      <c r="H139" s="35">
        <v>200</v>
      </c>
      <c r="I139" s="25">
        <f t="shared" si="8"/>
        <v>1500</v>
      </c>
      <c r="J139" s="27"/>
      <c r="K139" s="18">
        <f t="shared" si="10"/>
        <v>28851</v>
      </c>
    </row>
    <row r="140" spans="2:11" x14ac:dyDescent="0.45">
      <c r="B140" s="19">
        <f t="shared" si="9"/>
        <v>23</v>
      </c>
      <c r="C140" s="10">
        <v>46239</v>
      </c>
      <c r="D140" s="21" t="s">
        <v>115</v>
      </c>
      <c r="E140" s="22"/>
      <c r="F140" s="22"/>
      <c r="G140" s="35">
        <v>2800</v>
      </c>
      <c r="H140" s="35">
        <v>0</v>
      </c>
      <c r="I140" s="25">
        <f t="shared" si="8"/>
        <v>2800</v>
      </c>
      <c r="J140" s="27"/>
      <c r="K140" s="18">
        <f t="shared" si="10"/>
        <v>28852</v>
      </c>
    </row>
    <row r="141" spans="2:11" x14ac:dyDescent="0.45">
      <c r="B141" s="19">
        <f t="shared" si="9"/>
        <v>24</v>
      </c>
      <c r="C141" s="10">
        <v>46239</v>
      </c>
      <c r="D141" s="21" t="s">
        <v>116</v>
      </c>
      <c r="E141" s="22"/>
      <c r="F141" s="22"/>
      <c r="G141" s="35">
        <v>4900</v>
      </c>
      <c r="H141" s="35">
        <v>1470</v>
      </c>
      <c r="I141" s="25">
        <f t="shared" si="8"/>
        <v>3430</v>
      </c>
      <c r="J141" s="27"/>
      <c r="K141" s="18">
        <f t="shared" si="10"/>
        <v>28853</v>
      </c>
    </row>
    <row r="142" spans="2:11" x14ac:dyDescent="0.45">
      <c r="B142" s="19">
        <f t="shared" si="9"/>
        <v>25</v>
      </c>
      <c r="C142" s="10">
        <v>46239</v>
      </c>
      <c r="D142" s="21" t="s">
        <v>117</v>
      </c>
      <c r="E142" s="22"/>
      <c r="F142" s="22"/>
      <c r="G142" s="35">
        <v>2500</v>
      </c>
      <c r="H142" s="35">
        <v>0</v>
      </c>
      <c r="I142" s="25">
        <f t="shared" si="8"/>
        <v>2500</v>
      </c>
      <c r="J142" s="27"/>
      <c r="K142" s="18">
        <f t="shared" si="10"/>
        <v>28854</v>
      </c>
    </row>
    <row r="143" spans="2:11" x14ac:dyDescent="0.45">
      <c r="B143" s="19">
        <f t="shared" si="9"/>
        <v>26</v>
      </c>
      <c r="C143" s="10">
        <v>46239</v>
      </c>
      <c r="D143" s="21" t="s">
        <v>118</v>
      </c>
      <c r="E143" s="22"/>
      <c r="F143" s="22"/>
      <c r="G143" s="35">
        <v>4900</v>
      </c>
      <c r="H143" s="35">
        <v>400</v>
      </c>
      <c r="I143" s="25">
        <f t="shared" si="8"/>
        <v>4500</v>
      </c>
      <c r="J143" s="27"/>
      <c r="K143" s="18">
        <f t="shared" si="10"/>
        <v>28855</v>
      </c>
    </row>
    <row r="144" spans="2:11" x14ac:dyDescent="0.45">
      <c r="B144" s="19">
        <f t="shared" si="9"/>
        <v>27</v>
      </c>
      <c r="C144" s="10">
        <v>46239</v>
      </c>
      <c r="D144" s="21" t="s">
        <v>119</v>
      </c>
      <c r="E144" s="22"/>
      <c r="F144" s="22"/>
      <c r="G144" s="35">
        <v>10000</v>
      </c>
      <c r="H144" s="35">
        <v>0</v>
      </c>
      <c r="I144" s="25">
        <f t="shared" si="8"/>
        <v>10000</v>
      </c>
      <c r="J144" s="27"/>
      <c r="K144" s="18">
        <f t="shared" si="10"/>
        <v>28856</v>
      </c>
    </row>
    <row r="145" spans="2:11" x14ac:dyDescent="0.45">
      <c r="B145" s="19">
        <f t="shared" si="9"/>
        <v>28</v>
      </c>
      <c r="C145" s="10">
        <v>46239</v>
      </c>
      <c r="D145" s="21" t="s">
        <v>120</v>
      </c>
      <c r="E145" s="22"/>
      <c r="F145" s="22"/>
      <c r="G145" s="35">
        <v>2300</v>
      </c>
      <c r="H145" s="35">
        <v>690</v>
      </c>
      <c r="I145" s="25">
        <f t="shared" si="8"/>
        <v>1610</v>
      </c>
      <c r="J145" s="27"/>
      <c r="K145" s="18">
        <f t="shared" si="10"/>
        <v>28857</v>
      </c>
    </row>
    <row r="146" spans="2:11" x14ac:dyDescent="0.45">
      <c r="B146" s="19">
        <f t="shared" si="9"/>
        <v>29</v>
      </c>
      <c r="C146" s="10">
        <v>46239</v>
      </c>
      <c r="D146" s="21" t="s">
        <v>121</v>
      </c>
      <c r="E146" s="22"/>
      <c r="F146" s="22"/>
      <c r="G146" s="35">
        <v>1800</v>
      </c>
      <c r="H146" s="35">
        <v>540</v>
      </c>
      <c r="I146" s="25">
        <f t="shared" si="8"/>
        <v>1260</v>
      </c>
      <c r="J146" s="27"/>
      <c r="K146" s="18">
        <f t="shared" si="10"/>
        <v>28858</v>
      </c>
    </row>
    <row r="147" spans="2:11" x14ac:dyDescent="0.45">
      <c r="B147" s="19">
        <f t="shared" si="9"/>
        <v>30</v>
      </c>
      <c r="C147" s="10">
        <v>46239</v>
      </c>
      <c r="D147" s="21" t="s">
        <v>122</v>
      </c>
      <c r="E147" s="22"/>
      <c r="F147" s="22"/>
      <c r="G147" s="35">
        <v>5400</v>
      </c>
      <c r="H147" s="35">
        <v>1400</v>
      </c>
      <c r="I147" s="25">
        <f t="shared" si="8"/>
        <v>4000</v>
      </c>
      <c r="J147" s="27"/>
      <c r="K147" s="18">
        <f t="shared" si="10"/>
        <v>28859</v>
      </c>
    </row>
    <row r="148" spans="2:11" x14ac:dyDescent="0.45">
      <c r="B148" s="19">
        <f t="shared" si="9"/>
        <v>31</v>
      </c>
      <c r="C148" s="10">
        <v>46239</v>
      </c>
      <c r="D148" s="21" t="s">
        <v>123</v>
      </c>
      <c r="E148" s="22"/>
      <c r="F148" s="22"/>
      <c r="G148" s="35">
        <v>1800</v>
      </c>
      <c r="H148" s="35">
        <v>200</v>
      </c>
      <c r="I148" s="25">
        <f t="shared" si="8"/>
        <v>1600</v>
      </c>
      <c r="J148" s="27"/>
      <c r="K148" s="18">
        <f t="shared" si="10"/>
        <v>28860</v>
      </c>
    </row>
    <row r="149" spans="2:11" x14ac:dyDescent="0.45">
      <c r="B149" s="19">
        <f t="shared" si="9"/>
        <v>32</v>
      </c>
      <c r="C149" s="10">
        <v>46239</v>
      </c>
      <c r="D149" s="21" t="s">
        <v>122</v>
      </c>
      <c r="E149" s="22"/>
      <c r="F149" s="22"/>
      <c r="G149" s="35">
        <v>2000</v>
      </c>
      <c r="H149" s="35">
        <v>1000</v>
      </c>
      <c r="I149" s="25">
        <f t="shared" si="8"/>
        <v>1000</v>
      </c>
      <c r="J149" s="27"/>
      <c r="K149" s="18">
        <f t="shared" si="10"/>
        <v>28861</v>
      </c>
    </row>
    <row r="150" spans="2:11" x14ac:dyDescent="0.45">
      <c r="B150" s="19">
        <f t="shared" si="9"/>
        <v>33</v>
      </c>
      <c r="C150" s="10">
        <v>46239</v>
      </c>
      <c r="D150" s="21" t="s">
        <v>124</v>
      </c>
      <c r="E150" s="22"/>
      <c r="F150" s="22"/>
      <c r="G150" s="35">
        <v>1800</v>
      </c>
      <c r="H150" s="35">
        <v>300</v>
      </c>
      <c r="I150" s="25">
        <f t="shared" si="8"/>
        <v>1500</v>
      </c>
      <c r="J150" s="27"/>
      <c r="K150" s="18">
        <f t="shared" si="10"/>
        <v>28862</v>
      </c>
    </row>
    <row r="151" spans="2:11" x14ac:dyDescent="0.45">
      <c r="B151" s="19">
        <f t="shared" si="9"/>
        <v>34</v>
      </c>
      <c r="C151" s="10">
        <v>46239</v>
      </c>
      <c r="D151" s="21" t="s">
        <v>125</v>
      </c>
      <c r="E151" s="22"/>
      <c r="F151" s="22"/>
      <c r="G151" s="35">
        <v>1900</v>
      </c>
      <c r="H151" s="35">
        <v>0</v>
      </c>
      <c r="I151" s="25">
        <f t="shared" si="8"/>
        <v>1900</v>
      </c>
      <c r="J151" s="27"/>
      <c r="K151" s="18">
        <f t="shared" si="10"/>
        <v>28863</v>
      </c>
    </row>
    <row r="152" spans="2:11" x14ac:dyDescent="0.45">
      <c r="B152" s="19">
        <f t="shared" si="9"/>
        <v>35</v>
      </c>
      <c r="C152" s="10">
        <v>46239</v>
      </c>
      <c r="D152" s="21" t="s">
        <v>126</v>
      </c>
      <c r="E152" s="22"/>
      <c r="F152" s="22"/>
      <c r="G152" s="35">
        <v>1900</v>
      </c>
      <c r="H152" s="35">
        <v>0</v>
      </c>
      <c r="I152" s="25">
        <f t="shared" si="8"/>
        <v>1900</v>
      </c>
      <c r="J152" s="27"/>
      <c r="K152" s="18">
        <f t="shared" si="10"/>
        <v>28864</v>
      </c>
    </row>
    <row r="153" spans="2:11" x14ac:dyDescent="0.45">
      <c r="B153" s="19">
        <f t="shared" si="9"/>
        <v>36</v>
      </c>
      <c r="C153" s="10">
        <v>46239</v>
      </c>
      <c r="D153" s="21" t="s">
        <v>127</v>
      </c>
      <c r="E153" s="22"/>
      <c r="F153" s="22"/>
      <c r="G153" s="35">
        <v>6600</v>
      </c>
      <c r="H153" s="35">
        <v>400</v>
      </c>
      <c r="I153" s="25">
        <f t="shared" si="8"/>
        <v>6200</v>
      </c>
      <c r="J153" s="27"/>
      <c r="K153" s="18">
        <f t="shared" si="10"/>
        <v>28865</v>
      </c>
    </row>
    <row r="154" spans="2:11" x14ac:dyDescent="0.45">
      <c r="B154" s="19">
        <f t="shared" si="9"/>
        <v>37</v>
      </c>
      <c r="C154" s="10">
        <v>46239</v>
      </c>
      <c r="D154" s="21" t="s">
        <v>128</v>
      </c>
      <c r="E154" s="22"/>
      <c r="F154" s="22"/>
      <c r="G154" s="35">
        <v>1900</v>
      </c>
      <c r="H154" s="35">
        <v>400</v>
      </c>
      <c r="I154" s="25">
        <f t="shared" si="8"/>
        <v>1500</v>
      </c>
      <c r="J154" s="27"/>
      <c r="K154" s="18">
        <f t="shared" si="10"/>
        <v>28866</v>
      </c>
    </row>
    <row r="155" spans="2:11" x14ac:dyDescent="0.45">
      <c r="B155" s="19">
        <f t="shared" si="9"/>
        <v>38</v>
      </c>
      <c r="C155" s="10">
        <v>46239</v>
      </c>
      <c r="D155" s="21" t="s">
        <v>129</v>
      </c>
      <c r="E155" s="22"/>
      <c r="F155" s="22"/>
      <c r="G155" s="35">
        <v>1800</v>
      </c>
      <c r="H155" s="35">
        <v>300</v>
      </c>
      <c r="I155" s="25">
        <f t="shared" si="8"/>
        <v>1500</v>
      </c>
      <c r="J155" s="27"/>
      <c r="K155" s="18">
        <f t="shared" si="10"/>
        <v>28867</v>
      </c>
    </row>
    <row r="156" spans="2:11" x14ac:dyDescent="0.45">
      <c r="B156" s="19">
        <f t="shared" si="9"/>
        <v>39</v>
      </c>
      <c r="C156" s="10">
        <v>46239</v>
      </c>
      <c r="D156" s="21" t="s">
        <v>130</v>
      </c>
      <c r="E156" s="22"/>
      <c r="F156" s="22"/>
      <c r="G156" s="35">
        <v>1900</v>
      </c>
      <c r="H156" s="35">
        <v>570</v>
      </c>
      <c r="I156" s="25">
        <f t="shared" si="8"/>
        <v>1330</v>
      </c>
      <c r="J156" s="27"/>
      <c r="K156" s="18">
        <f t="shared" si="10"/>
        <v>28868</v>
      </c>
    </row>
    <row r="157" spans="2:11" x14ac:dyDescent="0.45">
      <c r="B157" s="19">
        <f t="shared" si="9"/>
        <v>40</v>
      </c>
      <c r="C157" s="10">
        <v>46239</v>
      </c>
      <c r="D157" s="21" t="s">
        <v>75</v>
      </c>
      <c r="E157" s="22"/>
      <c r="F157" s="22"/>
      <c r="G157" s="35">
        <v>4940</v>
      </c>
      <c r="H157" s="35">
        <v>1440</v>
      </c>
      <c r="I157" s="25">
        <f t="shared" si="8"/>
        <v>3500</v>
      </c>
      <c r="J157" s="27"/>
      <c r="K157" s="18">
        <f t="shared" si="10"/>
        <v>28869</v>
      </c>
    </row>
    <row r="158" spans="2:11" x14ac:dyDescent="0.45">
      <c r="B158" s="19">
        <f t="shared" si="9"/>
        <v>41</v>
      </c>
      <c r="C158" s="10">
        <v>46239</v>
      </c>
      <c r="D158" s="21" t="s">
        <v>131</v>
      </c>
      <c r="E158" s="22"/>
      <c r="F158" s="22"/>
      <c r="G158" s="35">
        <v>6960</v>
      </c>
      <c r="H158" s="35">
        <v>1100</v>
      </c>
      <c r="I158" s="25">
        <f t="shared" si="8"/>
        <v>5860</v>
      </c>
      <c r="J158" s="27"/>
      <c r="K158" s="18">
        <f t="shared" si="10"/>
        <v>28870</v>
      </c>
    </row>
    <row r="159" spans="2:11" ht="14.65" thickBot="1" x14ac:dyDescent="0.5">
      <c r="B159" s="19">
        <f t="shared" si="9"/>
        <v>42</v>
      </c>
      <c r="C159" s="10">
        <v>46239</v>
      </c>
      <c r="D159" s="21" t="s">
        <v>12</v>
      </c>
      <c r="E159" s="22"/>
      <c r="F159" s="59"/>
      <c r="G159" s="60">
        <v>3120</v>
      </c>
      <c r="H159" s="60">
        <v>300</v>
      </c>
      <c r="I159" s="25">
        <f t="shared" si="8"/>
        <v>2820</v>
      </c>
      <c r="J159" s="27"/>
      <c r="K159" s="18">
        <f t="shared" si="10"/>
        <v>28871</v>
      </c>
    </row>
    <row r="160" spans="2:11" ht="14.65" thickBot="1" x14ac:dyDescent="0.5">
      <c r="F160" s="61" t="s">
        <v>26</v>
      </c>
      <c r="G160" s="62">
        <f>SUM(G118:G159)</f>
        <v>140270</v>
      </c>
      <c r="H160" s="62">
        <f>SUM(H118:H159)</f>
        <v>24850</v>
      </c>
      <c r="I160" s="62">
        <f>SUM(I118:I159)</f>
        <v>115420</v>
      </c>
      <c r="K160" s="41"/>
    </row>
    <row r="162" spans="2:11" ht="15.75" x14ac:dyDescent="0.5">
      <c r="D162" s="42" t="s">
        <v>28</v>
      </c>
      <c r="E162" s="42"/>
      <c r="F162" s="43" t="s">
        <v>29</v>
      </c>
      <c r="G162" s="44"/>
      <c r="H162" s="44"/>
      <c r="I162" s="45"/>
      <c r="J162" s="46"/>
    </row>
    <row r="163" spans="2:11" x14ac:dyDescent="0.45">
      <c r="D163" s="47" t="s">
        <v>30</v>
      </c>
      <c r="E163" s="47"/>
      <c r="F163" s="48">
        <v>37060</v>
      </c>
      <c r="G163" s="49"/>
      <c r="H163" s="49"/>
      <c r="I163" s="50"/>
      <c r="K163" s="51"/>
    </row>
    <row r="164" spans="2:11" x14ac:dyDescent="0.45">
      <c r="D164" s="47" t="s">
        <v>31</v>
      </c>
      <c r="E164" s="47"/>
      <c r="F164" s="52">
        <v>0</v>
      </c>
      <c r="G164" s="53"/>
      <c r="H164" s="53"/>
      <c r="I164" s="50"/>
    </row>
    <row r="165" spans="2:11" x14ac:dyDescent="0.45">
      <c r="D165" s="47" t="s">
        <v>32</v>
      </c>
      <c r="E165" s="47"/>
      <c r="F165" s="54">
        <v>17890</v>
      </c>
      <c r="G165" s="55"/>
      <c r="H165" s="55"/>
      <c r="J165" s="46"/>
    </row>
    <row r="166" spans="2:11" x14ac:dyDescent="0.45">
      <c r="D166" s="47" t="s">
        <v>33</v>
      </c>
      <c r="E166" s="47"/>
      <c r="F166" s="54">
        <v>34430</v>
      </c>
      <c r="G166" s="55"/>
      <c r="H166" s="55"/>
      <c r="I166" s="50"/>
    </row>
    <row r="167" spans="2:11" x14ac:dyDescent="0.45">
      <c r="D167" s="47" t="s">
        <v>34</v>
      </c>
      <c r="E167" s="47"/>
      <c r="F167" s="52">
        <v>26040</v>
      </c>
      <c r="G167" s="53"/>
      <c r="H167" s="53"/>
      <c r="I167" s="50"/>
    </row>
    <row r="168" spans="2:11" ht="15.75" thickBot="1" x14ac:dyDescent="0.65">
      <c r="D168" s="56" t="s">
        <v>35</v>
      </c>
      <c r="E168" s="56"/>
      <c r="F168" s="57">
        <f>SUM(F163:F167)</f>
        <v>115420</v>
      </c>
      <c r="G168" s="58">
        <f>+I160-F168</f>
        <v>0</v>
      </c>
      <c r="H168" s="58"/>
      <c r="I168" s="50"/>
    </row>
    <row r="169" spans="2:11" ht="16.149999999999999" thickTop="1" thickBot="1" x14ac:dyDescent="0.65">
      <c r="D169" s="64"/>
      <c r="E169" s="64"/>
      <c r="F169" s="65"/>
      <c r="G169" s="58"/>
      <c r="H169" s="58"/>
      <c r="I169" s="50"/>
    </row>
    <row r="170" spans="2:11" ht="21.4" thickBot="1" x14ac:dyDescent="0.7">
      <c r="B170" s="1" t="s">
        <v>132</v>
      </c>
      <c r="C170" s="1"/>
      <c r="D170" s="2"/>
      <c r="E170" s="1"/>
      <c r="F170" s="1"/>
      <c r="G170" s="1"/>
      <c r="H170" s="1"/>
      <c r="I170" s="1"/>
      <c r="J170" s="1"/>
      <c r="K170" s="3"/>
    </row>
    <row r="171" spans="2:11" ht="24.4" thickBot="1" x14ac:dyDescent="0.55000000000000004">
      <c r="B171" s="4" t="s">
        <v>1</v>
      </c>
      <c r="C171" s="5" t="s">
        <v>2</v>
      </c>
      <c r="D171" s="5" t="s">
        <v>3</v>
      </c>
      <c r="E171" s="5" t="s">
        <v>4</v>
      </c>
      <c r="F171" s="6" t="s">
        <v>5</v>
      </c>
      <c r="G171" s="6" t="s">
        <v>6</v>
      </c>
      <c r="H171" s="6" t="s">
        <v>7</v>
      </c>
      <c r="I171" s="7" t="s">
        <v>8</v>
      </c>
      <c r="J171" s="5" t="s">
        <v>9</v>
      </c>
      <c r="K171" s="8" t="s">
        <v>10</v>
      </c>
    </row>
    <row r="172" spans="2:11" x14ac:dyDescent="0.45">
      <c r="B172" s="9">
        <v>1</v>
      </c>
      <c r="C172" s="10">
        <v>46240</v>
      </c>
      <c r="D172" s="11" t="s">
        <v>133</v>
      </c>
      <c r="E172" s="12"/>
      <c r="F172" s="13"/>
      <c r="G172" s="14">
        <v>52500</v>
      </c>
      <c r="H172" s="15">
        <v>19500</v>
      </c>
      <c r="I172" s="16">
        <f>+G172-H172</f>
        <v>33000</v>
      </c>
      <c r="J172" s="17"/>
      <c r="K172" s="18">
        <v>28872</v>
      </c>
    </row>
    <row r="173" spans="2:11" x14ac:dyDescent="0.45">
      <c r="B173" s="19">
        <f>+B172+1</f>
        <v>2</v>
      </c>
      <c r="C173" s="10">
        <v>46240</v>
      </c>
      <c r="D173" s="21" t="s">
        <v>134</v>
      </c>
      <c r="E173" s="22"/>
      <c r="F173" s="23"/>
      <c r="G173" s="24">
        <v>440</v>
      </c>
      <c r="H173" s="24">
        <v>0</v>
      </c>
      <c r="I173" s="25">
        <f t="shared" ref="I173:I202" si="11">+G173-H173</f>
        <v>440</v>
      </c>
      <c r="J173" s="26"/>
      <c r="K173" s="18">
        <f>+K172+1</f>
        <v>28873</v>
      </c>
    </row>
    <row r="174" spans="2:11" x14ac:dyDescent="0.45">
      <c r="B174" s="19">
        <f t="shared" ref="B174:B202" si="12">+B173+1</f>
        <v>3</v>
      </c>
      <c r="C174" s="10">
        <v>46240</v>
      </c>
      <c r="D174" s="63" t="s">
        <v>135</v>
      </c>
      <c r="E174" s="22"/>
      <c r="F174" s="23"/>
      <c r="G174" s="24">
        <v>100</v>
      </c>
      <c r="H174" s="24">
        <v>0</v>
      </c>
      <c r="I174" s="25">
        <f t="shared" si="11"/>
        <v>100</v>
      </c>
      <c r="J174" s="26"/>
      <c r="K174" s="18">
        <f t="shared" ref="K174:K202" si="13">+K173+1</f>
        <v>28874</v>
      </c>
    </row>
    <row r="175" spans="2:11" x14ac:dyDescent="0.45">
      <c r="B175" s="19">
        <f t="shared" si="12"/>
        <v>4</v>
      </c>
      <c r="C175" s="10">
        <v>46240</v>
      </c>
      <c r="D175" s="21" t="s">
        <v>136</v>
      </c>
      <c r="E175" s="22"/>
      <c r="F175" s="23"/>
      <c r="G175" s="24">
        <v>1900</v>
      </c>
      <c r="H175" s="24">
        <v>570</v>
      </c>
      <c r="I175" s="25">
        <f t="shared" si="11"/>
        <v>1330</v>
      </c>
      <c r="J175" s="27"/>
      <c r="K175" s="18">
        <f t="shared" si="13"/>
        <v>28875</v>
      </c>
    </row>
    <row r="176" spans="2:11" x14ac:dyDescent="0.45">
      <c r="B176" s="19">
        <f t="shared" si="12"/>
        <v>5</v>
      </c>
      <c r="C176" s="10">
        <v>46240</v>
      </c>
      <c r="D176" s="21" t="s">
        <v>137</v>
      </c>
      <c r="E176" s="22"/>
      <c r="F176" s="23"/>
      <c r="G176" s="24">
        <v>6500</v>
      </c>
      <c r="H176" s="24">
        <v>6500</v>
      </c>
      <c r="I176" s="25">
        <f t="shared" si="11"/>
        <v>0</v>
      </c>
      <c r="J176" s="28"/>
      <c r="K176" s="18">
        <f t="shared" si="13"/>
        <v>28876</v>
      </c>
    </row>
    <row r="177" spans="2:11" x14ac:dyDescent="0.45">
      <c r="B177" s="19">
        <f t="shared" si="12"/>
        <v>6</v>
      </c>
      <c r="C177" s="10">
        <v>46240</v>
      </c>
      <c r="D177" s="21" t="s">
        <v>138</v>
      </c>
      <c r="E177" s="22"/>
      <c r="F177" s="23"/>
      <c r="G177" s="24">
        <v>1900</v>
      </c>
      <c r="H177" s="24">
        <v>570</v>
      </c>
      <c r="I177" s="25">
        <f t="shared" si="11"/>
        <v>1330</v>
      </c>
      <c r="J177" s="27"/>
      <c r="K177" s="18">
        <f t="shared" si="13"/>
        <v>28877</v>
      </c>
    </row>
    <row r="178" spans="2:11" x14ac:dyDescent="0.45">
      <c r="B178" s="19">
        <f t="shared" si="12"/>
        <v>7</v>
      </c>
      <c r="C178" s="10">
        <v>46240</v>
      </c>
      <c r="D178" s="21" t="s">
        <v>139</v>
      </c>
      <c r="E178" s="22"/>
      <c r="F178" s="23"/>
      <c r="G178" s="24">
        <v>2300</v>
      </c>
      <c r="H178" s="24">
        <v>0</v>
      </c>
      <c r="I178" s="25">
        <f t="shared" si="11"/>
        <v>2300</v>
      </c>
      <c r="J178" s="27"/>
      <c r="K178" s="18">
        <f t="shared" si="13"/>
        <v>28878</v>
      </c>
    </row>
    <row r="179" spans="2:11" x14ac:dyDescent="0.45">
      <c r="B179" s="19">
        <f t="shared" si="12"/>
        <v>8</v>
      </c>
      <c r="C179" s="10">
        <v>46240</v>
      </c>
      <c r="D179" s="21" t="s">
        <v>140</v>
      </c>
      <c r="E179" s="22"/>
      <c r="F179" s="23"/>
      <c r="G179" s="24">
        <v>2200</v>
      </c>
      <c r="H179" s="24">
        <v>660</v>
      </c>
      <c r="I179" s="25">
        <f t="shared" si="11"/>
        <v>1540</v>
      </c>
      <c r="J179" s="27"/>
      <c r="K179" s="18">
        <f t="shared" si="13"/>
        <v>28879</v>
      </c>
    </row>
    <row r="180" spans="2:11" x14ac:dyDescent="0.45">
      <c r="B180" s="19">
        <f t="shared" si="12"/>
        <v>9</v>
      </c>
      <c r="C180" s="10">
        <v>46240</v>
      </c>
      <c r="D180" s="21" t="s">
        <v>67</v>
      </c>
      <c r="E180" s="22"/>
      <c r="F180" s="23"/>
      <c r="G180" s="24">
        <v>7200</v>
      </c>
      <c r="H180" s="24">
        <v>0</v>
      </c>
      <c r="I180" s="25">
        <f t="shared" si="11"/>
        <v>7200</v>
      </c>
      <c r="J180" s="27"/>
      <c r="K180" s="18">
        <f t="shared" si="13"/>
        <v>28880</v>
      </c>
    </row>
    <row r="181" spans="2:11" x14ac:dyDescent="0.45">
      <c r="B181" s="19">
        <f t="shared" si="12"/>
        <v>10</v>
      </c>
      <c r="C181" s="10">
        <v>46240</v>
      </c>
      <c r="D181" s="21" t="s">
        <v>141</v>
      </c>
      <c r="E181" s="30"/>
      <c r="F181" s="31"/>
      <c r="G181" s="24">
        <v>3200</v>
      </c>
      <c r="H181" s="24">
        <v>0</v>
      </c>
      <c r="I181" s="25">
        <f t="shared" si="11"/>
        <v>3200</v>
      </c>
      <c r="J181" s="27"/>
      <c r="K181" s="18">
        <f t="shared" si="13"/>
        <v>28881</v>
      </c>
    </row>
    <row r="182" spans="2:11" x14ac:dyDescent="0.45">
      <c r="B182" s="19">
        <f t="shared" si="12"/>
        <v>11</v>
      </c>
      <c r="C182" s="10">
        <v>46240</v>
      </c>
      <c r="D182" s="21" t="s">
        <v>142</v>
      </c>
      <c r="E182" s="22"/>
      <c r="F182" s="33"/>
      <c r="G182" s="24">
        <v>100</v>
      </c>
      <c r="H182" s="24">
        <v>0</v>
      </c>
      <c r="I182" s="25">
        <f t="shared" si="11"/>
        <v>100</v>
      </c>
      <c r="J182" s="28"/>
      <c r="K182" s="18">
        <f t="shared" si="13"/>
        <v>28882</v>
      </c>
    </row>
    <row r="183" spans="2:11" x14ac:dyDescent="0.45">
      <c r="B183" s="19">
        <f t="shared" si="12"/>
        <v>12</v>
      </c>
      <c r="C183" s="10">
        <v>46240</v>
      </c>
      <c r="D183" s="63" t="s">
        <v>143</v>
      </c>
      <c r="E183" s="22"/>
      <c r="F183" s="22"/>
      <c r="G183" s="24">
        <v>2700</v>
      </c>
      <c r="H183" s="24">
        <v>0</v>
      </c>
      <c r="I183" s="25">
        <f t="shared" si="11"/>
        <v>2700</v>
      </c>
      <c r="J183" s="27"/>
      <c r="K183" s="18">
        <f t="shared" si="13"/>
        <v>28883</v>
      </c>
    </row>
    <row r="184" spans="2:11" x14ac:dyDescent="0.45">
      <c r="B184" s="19">
        <f t="shared" si="12"/>
        <v>13</v>
      </c>
      <c r="C184" s="10">
        <v>46240</v>
      </c>
      <c r="D184" s="21" t="s">
        <v>144</v>
      </c>
      <c r="E184" s="22"/>
      <c r="F184" s="22"/>
      <c r="G184" s="24">
        <v>220</v>
      </c>
      <c r="H184" s="24">
        <v>0</v>
      </c>
      <c r="I184" s="25">
        <f t="shared" si="11"/>
        <v>220</v>
      </c>
      <c r="J184" s="27"/>
      <c r="K184" s="18">
        <f t="shared" si="13"/>
        <v>28884</v>
      </c>
    </row>
    <row r="185" spans="2:11" x14ac:dyDescent="0.45">
      <c r="B185" s="19">
        <f t="shared" si="12"/>
        <v>14</v>
      </c>
      <c r="C185" s="10">
        <v>46240</v>
      </c>
      <c r="D185" s="21" t="s">
        <v>50</v>
      </c>
      <c r="E185" s="22"/>
      <c r="F185" s="22"/>
      <c r="G185" s="24">
        <v>1100</v>
      </c>
      <c r="H185" s="24">
        <v>0</v>
      </c>
      <c r="I185" s="25">
        <f t="shared" si="11"/>
        <v>1100</v>
      </c>
      <c r="J185" s="27"/>
      <c r="K185" s="18">
        <f t="shared" si="13"/>
        <v>28885</v>
      </c>
    </row>
    <row r="186" spans="2:11" x14ac:dyDescent="0.45">
      <c r="B186" s="19">
        <f t="shared" si="12"/>
        <v>15</v>
      </c>
      <c r="C186" s="10">
        <v>46240</v>
      </c>
      <c r="D186" s="21" t="s">
        <v>145</v>
      </c>
      <c r="E186" s="22"/>
      <c r="F186" s="22"/>
      <c r="G186" s="24">
        <v>500</v>
      </c>
      <c r="H186" s="24">
        <v>0</v>
      </c>
      <c r="I186" s="25">
        <f t="shared" si="11"/>
        <v>500</v>
      </c>
      <c r="J186" s="27"/>
      <c r="K186" s="18">
        <f t="shared" si="13"/>
        <v>28886</v>
      </c>
    </row>
    <row r="187" spans="2:11" x14ac:dyDescent="0.45">
      <c r="B187" s="19">
        <f t="shared" si="12"/>
        <v>16</v>
      </c>
      <c r="C187" s="10">
        <v>46240</v>
      </c>
      <c r="D187" s="21" t="s">
        <v>18</v>
      </c>
      <c r="E187" s="22"/>
      <c r="F187" s="22"/>
      <c r="G187" s="24">
        <v>440</v>
      </c>
      <c r="H187" s="24">
        <v>0</v>
      </c>
      <c r="I187" s="25">
        <f t="shared" si="11"/>
        <v>440</v>
      </c>
      <c r="J187" s="27"/>
      <c r="K187" s="18">
        <f t="shared" si="13"/>
        <v>28887</v>
      </c>
    </row>
    <row r="188" spans="2:11" x14ac:dyDescent="0.45">
      <c r="B188" s="19">
        <f t="shared" si="12"/>
        <v>17</v>
      </c>
      <c r="C188" s="10">
        <v>46240</v>
      </c>
      <c r="D188" s="21" t="s">
        <v>146</v>
      </c>
      <c r="E188" s="22"/>
      <c r="F188" s="22"/>
      <c r="G188" s="24">
        <v>1700</v>
      </c>
      <c r="H188" s="24">
        <v>0</v>
      </c>
      <c r="I188" s="25">
        <f t="shared" si="11"/>
        <v>1700</v>
      </c>
      <c r="J188" s="27"/>
      <c r="K188" s="18">
        <f t="shared" si="13"/>
        <v>28888</v>
      </c>
    </row>
    <row r="189" spans="2:11" x14ac:dyDescent="0.45">
      <c r="B189" s="19">
        <f t="shared" si="12"/>
        <v>18</v>
      </c>
      <c r="C189" s="10">
        <v>46240</v>
      </c>
      <c r="D189" s="21" t="s">
        <v>147</v>
      </c>
      <c r="E189" s="22"/>
      <c r="F189" s="22"/>
      <c r="G189" s="24">
        <v>5000</v>
      </c>
      <c r="H189" s="24">
        <v>1570</v>
      </c>
      <c r="I189" s="25">
        <f t="shared" si="11"/>
        <v>3430</v>
      </c>
      <c r="J189" s="27"/>
      <c r="K189" s="18">
        <f t="shared" si="13"/>
        <v>28889</v>
      </c>
    </row>
    <row r="190" spans="2:11" x14ac:dyDescent="0.45">
      <c r="B190" s="19">
        <f t="shared" si="12"/>
        <v>19</v>
      </c>
      <c r="C190" s="10">
        <v>46240</v>
      </c>
      <c r="D190" s="21" t="s">
        <v>148</v>
      </c>
      <c r="E190" s="22"/>
      <c r="F190" s="22"/>
      <c r="G190" s="24">
        <f>3500*6</f>
        <v>21000</v>
      </c>
      <c r="H190" s="24">
        <v>6300</v>
      </c>
      <c r="I190" s="25">
        <f t="shared" si="11"/>
        <v>14700</v>
      </c>
      <c r="J190" s="27"/>
      <c r="K190" s="18">
        <f t="shared" si="13"/>
        <v>28890</v>
      </c>
    </row>
    <row r="191" spans="2:11" x14ac:dyDescent="0.45">
      <c r="B191" s="19">
        <f t="shared" si="12"/>
        <v>20</v>
      </c>
      <c r="C191" s="10">
        <v>46240</v>
      </c>
      <c r="D191" s="21" t="s">
        <v>149</v>
      </c>
      <c r="E191" s="22"/>
      <c r="F191" s="22"/>
      <c r="G191" s="24">
        <f>3500*4</f>
        <v>14000</v>
      </c>
      <c r="H191" s="24">
        <v>800</v>
      </c>
      <c r="I191" s="25">
        <f t="shared" si="11"/>
        <v>13200</v>
      </c>
      <c r="J191" s="27"/>
      <c r="K191" s="18">
        <f t="shared" si="13"/>
        <v>28891</v>
      </c>
    </row>
    <row r="192" spans="2:11" x14ac:dyDescent="0.45">
      <c r="B192" s="19">
        <f t="shared" si="12"/>
        <v>21</v>
      </c>
      <c r="C192" s="10">
        <v>46240</v>
      </c>
      <c r="D192" s="21" t="s">
        <v>18</v>
      </c>
      <c r="E192" s="22"/>
      <c r="F192" s="22"/>
      <c r="G192" s="24">
        <v>440</v>
      </c>
      <c r="H192" s="24">
        <v>0</v>
      </c>
      <c r="I192" s="25">
        <f t="shared" si="11"/>
        <v>440</v>
      </c>
      <c r="J192" s="27"/>
      <c r="K192" s="18">
        <f t="shared" si="13"/>
        <v>28892</v>
      </c>
    </row>
    <row r="193" spans="2:11" x14ac:dyDescent="0.45">
      <c r="B193" s="19">
        <f t="shared" si="12"/>
        <v>22</v>
      </c>
      <c r="C193" s="10">
        <v>46240</v>
      </c>
      <c r="D193" s="21" t="s">
        <v>18</v>
      </c>
      <c r="E193" s="22"/>
      <c r="F193" s="22"/>
      <c r="G193" s="24">
        <v>220</v>
      </c>
      <c r="H193" s="24">
        <v>0</v>
      </c>
      <c r="I193" s="25">
        <f t="shared" si="11"/>
        <v>220</v>
      </c>
      <c r="J193" s="27"/>
      <c r="K193" s="18">
        <f t="shared" si="13"/>
        <v>28893</v>
      </c>
    </row>
    <row r="194" spans="2:11" x14ac:dyDescent="0.45">
      <c r="B194" s="19">
        <f t="shared" si="12"/>
        <v>23</v>
      </c>
      <c r="C194" s="10">
        <v>46240</v>
      </c>
      <c r="D194" s="21" t="s">
        <v>150</v>
      </c>
      <c r="E194" s="22"/>
      <c r="F194" s="22"/>
      <c r="G194" s="24">
        <v>1800</v>
      </c>
      <c r="H194" s="24">
        <v>300</v>
      </c>
      <c r="I194" s="25">
        <f t="shared" si="11"/>
        <v>1500</v>
      </c>
      <c r="J194" s="27"/>
      <c r="K194" s="18">
        <f t="shared" si="13"/>
        <v>28894</v>
      </c>
    </row>
    <row r="195" spans="2:11" x14ac:dyDescent="0.45">
      <c r="B195" s="19">
        <f t="shared" si="12"/>
        <v>24</v>
      </c>
      <c r="C195" s="10">
        <v>46240</v>
      </c>
      <c r="D195" s="21" t="s">
        <v>151</v>
      </c>
      <c r="E195" s="22"/>
      <c r="F195" s="22"/>
      <c r="G195" s="24">
        <v>4420</v>
      </c>
      <c r="H195" s="24">
        <v>600</v>
      </c>
      <c r="I195" s="25">
        <f t="shared" si="11"/>
        <v>3820</v>
      </c>
      <c r="J195" s="27"/>
      <c r="K195" s="18">
        <f t="shared" si="13"/>
        <v>28895</v>
      </c>
    </row>
    <row r="196" spans="2:11" x14ac:dyDescent="0.45">
      <c r="B196" s="19">
        <f t="shared" si="12"/>
        <v>25</v>
      </c>
      <c r="C196" s="10">
        <v>46240</v>
      </c>
      <c r="D196" s="21" t="s">
        <v>152</v>
      </c>
      <c r="E196" s="22"/>
      <c r="F196" s="22"/>
      <c r="G196" s="24">
        <v>2000</v>
      </c>
      <c r="H196" s="24">
        <v>300</v>
      </c>
      <c r="I196" s="25">
        <f t="shared" si="11"/>
        <v>1700</v>
      </c>
      <c r="J196" s="27"/>
      <c r="K196" s="18">
        <f t="shared" si="13"/>
        <v>28896</v>
      </c>
    </row>
    <row r="197" spans="2:11" x14ac:dyDescent="0.45">
      <c r="B197" s="19">
        <f t="shared" si="12"/>
        <v>26</v>
      </c>
      <c r="C197" s="10">
        <v>46240</v>
      </c>
      <c r="D197" s="21" t="s">
        <v>153</v>
      </c>
      <c r="E197" s="22"/>
      <c r="F197" s="22"/>
      <c r="G197" s="24">
        <v>1700</v>
      </c>
      <c r="H197" s="24">
        <v>200</v>
      </c>
      <c r="I197" s="25">
        <f t="shared" si="11"/>
        <v>1500</v>
      </c>
      <c r="J197" s="27"/>
      <c r="K197" s="18">
        <f t="shared" si="13"/>
        <v>28897</v>
      </c>
    </row>
    <row r="198" spans="2:11" x14ac:dyDescent="0.45">
      <c r="B198" s="19">
        <f t="shared" si="12"/>
        <v>27</v>
      </c>
      <c r="C198" s="10">
        <v>46240</v>
      </c>
      <c r="D198" s="21" t="s">
        <v>154</v>
      </c>
      <c r="E198" s="22"/>
      <c r="F198" s="22"/>
      <c r="G198" s="24">
        <v>1900</v>
      </c>
      <c r="H198" s="24">
        <v>570</v>
      </c>
      <c r="I198" s="25">
        <f t="shared" si="11"/>
        <v>1330</v>
      </c>
      <c r="J198" s="27"/>
      <c r="K198" s="18">
        <f t="shared" si="13"/>
        <v>28898</v>
      </c>
    </row>
    <row r="199" spans="2:11" x14ac:dyDescent="0.45">
      <c r="B199" s="19">
        <f t="shared" si="12"/>
        <v>28</v>
      </c>
      <c r="C199" s="10">
        <v>46240</v>
      </c>
      <c r="D199" s="21" t="s">
        <v>155</v>
      </c>
      <c r="E199" s="22"/>
      <c r="F199" s="22"/>
      <c r="G199" s="24">
        <v>2500</v>
      </c>
      <c r="H199" s="24">
        <v>200</v>
      </c>
      <c r="I199" s="25">
        <f t="shared" si="11"/>
        <v>2300</v>
      </c>
      <c r="J199" s="27"/>
      <c r="K199" s="18">
        <f t="shared" si="13"/>
        <v>28899</v>
      </c>
    </row>
    <row r="200" spans="2:11" x14ac:dyDescent="0.45">
      <c r="B200" s="19">
        <f t="shared" si="12"/>
        <v>29</v>
      </c>
      <c r="C200" s="10">
        <v>46240</v>
      </c>
      <c r="D200" s="11" t="s">
        <v>63</v>
      </c>
      <c r="E200" s="22"/>
      <c r="F200" s="22"/>
      <c r="G200" s="24">
        <v>2500</v>
      </c>
      <c r="H200" s="24">
        <v>600</v>
      </c>
      <c r="I200" s="25">
        <f t="shared" si="11"/>
        <v>1900</v>
      </c>
      <c r="J200" s="27"/>
      <c r="K200" s="18">
        <f t="shared" si="13"/>
        <v>28900</v>
      </c>
    </row>
    <row r="201" spans="2:11" x14ac:dyDescent="0.45">
      <c r="B201" s="19">
        <f t="shared" si="12"/>
        <v>30</v>
      </c>
      <c r="C201" s="10">
        <v>46240</v>
      </c>
      <c r="D201" s="21" t="s">
        <v>156</v>
      </c>
      <c r="E201" s="22"/>
      <c r="F201" s="22"/>
      <c r="G201" s="24">
        <v>1920</v>
      </c>
      <c r="H201" s="24">
        <v>200</v>
      </c>
      <c r="I201" s="25">
        <f t="shared" si="11"/>
        <v>1720</v>
      </c>
      <c r="J201" s="27"/>
      <c r="K201" s="18">
        <f t="shared" si="13"/>
        <v>28901</v>
      </c>
    </row>
    <row r="202" spans="2:11" ht="14.65" thickBot="1" x14ac:dyDescent="0.5">
      <c r="B202" s="19">
        <f t="shared" si="12"/>
        <v>31</v>
      </c>
      <c r="C202" s="10">
        <v>46240</v>
      </c>
      <c r="D202" s="21" t="s">
        <v>76</v>
      </c>
      <c r="E202" s="22"/>
      <c r="F202" s="22"/>
      <c r="G202" s="24">
        <v>2020</v>
      </c>
      <c r="H202" s="24">
        <v>400</v>
      </c>
      <c r="I202" s="25">
        <f t="shared" si="11"/>
        <v>1620</v>
      </c>
      <c r="J202" s="27"/>
      <c r="K202" s="18">
        <f t="shared" si="13"/>
        <v>28902</v>
      </c>
    </row>
    <row r="203" spans="2:11" ht="14.65" thickBot="1" x14ac:dyDescent="0.5">
      <c r="F203" s="61" t="s">
        <v>26</v>
      </c>
      <c r="G203" s="62">
        <f>SUM(G172:G202)</f>
        <v>146420</v>
      </c>
      <c r="H203" s="62">
        <f>SUM(H172:H202)</f>
        <v>39840</v>
      </c>
      <c r="I203" s="62">
        <f>SUM(I172:I202)</f>
        <v>106580</v>
      </c>
      <c r="K203" s="41"/>
    </row>
    <row r="205" spans="2:11" ht="15.75" x14ac:dyDescent="0.5">
      <c r="D205" s="42" t="s">
        <v>28</v>
      </c>
      <c r="E205" s="42"/>
      <c r="F205" s="43" t="s">
        <v>29</v>
      </c>
      <c r="G205" s="44"/>
      <c r="H205" s="44"/>
      <c r="I205" s="45"/>
      <c r="J205" s="46"/>
    </row>
    <row r="206" spans="2:11" x14ac:dyDescent="0.45">
      <c r="D206" s="47" t="s">
        <v>30</v>
      </c>
      <c r="E206" s="47"/>
      <c r="F206" s="48">
        <v>9670</v>
      </c>
      <c r="G206" s="49"/>
      <c r="H206" s="49"/>
      <c r="I206" s="50"/>
      <c r="K206" s="51"/>
    </row>
    <row r="207" spans="2:11" x14ac:dyDescent="0.45">
      <c r="D207" s="47" t="s">
        <v>31</v>
      </c>
      <c r="E207" s="47"/>
      <c r="F207" s="52">
        <v>0</v>
      </c>
      <c r="G207" s="53"/>
      <c r="H207" s="53"/>
      <c r="I207" s="50"/>
    </row>
    <row r="208" spans="2:11" x14ac:dyDescent="0.45">
      <c r="D208" s="47" t="s">
        <v>32</v>
      </c>
      <c r="E208" s="47"/>
      <c r="F208" s="54">
        <v>33250</v>
      </c>
      <c r="G208" s="55"/>
      <c r="H208" s="55"/>
      <c r="J208" s="46"/>
    </row>
    <row r="209" spans="2:11" x14ac:dyDescent="0.45">
      <c r="D209" s="47" t="s">
        <v>33</v>
      </c>
      <c r="E209" s="47"/>
      <c r="F209" s="54">
        <v>6000</v>
      </c>
      <c r="G209" s="55"/>
      <c r="H209" s="55"/>
      <c r="I209" s="50"/>
    </row>
    <row r="210" spans="2:11" x14ac:dyDescent="0.45">
      <c r="D210" s="47" t="s">
        <v>34</v>
      </c>
      <c r="E210" s="47"/>
      <c r="F210" s="52">
        <v>57660</v>
      </c>
      <c r="G210" s="53"/>
      <c r="H210" s="53"/>
      <c r="I210" s="50"/>
    </row>
    <row r="211" spans="2:11" ht="15.75" thickBot="1" x14ac:dyDescent="0.65">
      <c r="D211" s="56" t="s">
        <v>35</v>
      </c>
      <c r="E211" s="56"/>
      <c r="F211" s="57">
        <f>SUM(F206:F210)</f>
        <v>106580</v>
      </c>
      <c r="G211" s="58">
        <f>+I203-F211</f>
        <v>0</v>
      </c>
      <c r="H211" s="58"/>
      <c r="I211" s="50"/>
    </row>
    <row r="212" spans="2:11" ht="14.65" thickTop="1" x14ac:dyDescent="0.45"/>
    <row r="213" spans="2:11" ht="14.65" thickBot="1" x14ac:dyDescent="0.5"/>
    <row r="214" spans="2:11" ht="21.4" thickBot="1" x14ac:dyDescent="0.7">
      <c r="B214" s="1" t="s">
        <v>157</v>
      </c>
      <c r="C214" s="1"/>
      <c r="D214" s="2"/>
      <c r="E214" s="1"/>
      <c r="F214" s="1"/>
      <c r="G214" s="1"/>
      <c r="H214" s="1"/>
      <c r="I214" s="1"/>
      <c r="J214" s="1"/>
      <c r="K214" s="3"/>
    </row>
    <row r="215" spans="2:11" ht="24.4" thickBot="1" x14ac:dyDescent="0.55000000000000004">
      <c r="B215" s="4" t="s">
        <v>1</v>
      </c>
      <c r="C215" s="5" t="s">
        <v>2</v>
      </c>
      <c r="D215" s="5" t="s">
        <v>3</v>
      </c>
      <c r="E215" s="5" t="s">
        <v>4</v>
      </c>
      <c r="F215" s="6" t="s">
        <v>5</v>
      </c>
      <c r="G215" s="6" t="s">
        <v>6</v>
      </c>
      <c r="H215" s="6" t="s">
        <v>7</v>
      </c>
      <c r="I215" s="7" t="s">
        <v>8</v>
      </c>
      <c r="J215" s="5" t="s">
        <v>9</v>
      </c>
      <c r="K215" s="8" t="s">
        <v>10</v>
      </c>
    </row>
    <row r="216" spans="2:11" x14ac:dyDescent="0.45">
      <c r="B216" s="9">
        <v>1</v>
      </c>
      <c r="C216" s="10">
        <v>46241</v>
      </c>
      <c r="D216" s="11" t="s">
        <v>48</v>
      </c>
      <c r="E216" s="12"/>
      <c r="F216" s="13"/>
      <c r="G216" s="14">
        <v>220</v>
      </c>
      <c r="H216" s="15">
        <v>0</v>
      </c>
      <c r="I216" s="16">
        <f>+G216-H216</f>
        <v>220</v>
      </c>
      <c r="J216" s="17"/>
      <c r="K216" s="18">
        <v>28903</v>
      </c>
    </row>
    <row r="217" spans="2:11" x14ac:dyDescent="0.45">
      <c r="B217" s="19">
        <f>+B216+1</f>
        <v>2</v>
      </c>
      <c r="C217" s="10">
        <v>46241</v>
      </c>
      <c r="D217" s="66" t="s">
        <v>158</v>
      </c>
      <c r="E217" s="22"/>
      <c r="F217" s="23"/>
      <c r="G217" s="24">
        <v>100</v>
      </c>
      <c r="H217" s="24">
        <v>0</v>
      </c>
      <c r="I217" s="25">
        <f t="shared" ref="I217:I245" si="14">+G217-H217</f>
        <v>100</v>
      </c>
      <c r="J217" s="26"/>
      <c r="K217" s="18">
        <f>+K216+1</f>
        <v>28904</v>
      </c>
    </row>
    <row r="218" spans="2:11" x14ac:dyDescent="0.45">
      <c r="B218" s="19">
        <f t="shared" ref="B218:B245" si="15">+B217+1</f>
        <v>3</v>
      </c>
      <c r="C218" s="10">
        <v>46241</v>
      </c>
      <c r="D218" s="66" t="s">
        <v>110</v>
      </c>
      <c r="E218" s="22"/>
      <c r="F218" s="23"/>
      <c r="G218" s="24">
        <v>220</v>
      </c>
      <c r="H218" s="24">
        <v>0</v>
      </c>
      <c r="I218" s="25">
        <f t="shared" si="14"/>
        <v>220</v>
      </c>
      <c r="J218" s="26"/>
      <c r="K218" s="18">
        <f t="shared" ref="K218:K245" si="16">+K217+1</f>
        <v>28905</v>
      </c>
    </row>
    <row r="219" spans="2:11" x14ac:dyDescent="0.45">
      <c r="B219" s="19">
        <f t="shared" si="15"/>
        <v>4</v>
      </c>
      <c r="C219" s="10">
        <v>46241</v>
      </c>
      <c r="D219" s="67" t="s">
        <v>106</v>
      </c>
      <c r="E219" s="22"/>
      <c r="F219" s="23"/>
      <c r="G219" s="24">
        <v>1100</v>
      </c>
      <c r="H219" s="24">
        <v>0</v>
      </c>
      <c r="I219" s="25">
        <f t="shared" si="14"/>
        <v>1100</v>
      </c>
      <c r="J219" s="27"/>
      <c r="K219" s="18">
        <f t="shared" si="16"/>
        <v>28906</v>
      </c>
    </row>
    <row r="220" spans="2:11" x14ac:dyDescent="0.45">
      <c r="B220" s="19">
        <f t="shared" si="15"/>
        <v>5</v>
      </c>
      <c r="C220" s="10">
        <v>46241</v>
      </c>
      <c r="D220" s="66" t="s">
        <v>159</v>
      </c>
      <c r="E220" s="22"/>
      <c r="F220" s="23"/>
      <c r="G220" s="24">
        <v>1700</v>
      </c>
      <c r="H220" s="24">
        <v>200</v>
      </c>
      <c r="I220" s="25">
        <f t="shared" si="14"/>
        <v>1500</v>
      </c>
      <c r="J220" s="28"/>
      <c r="K220" s="18">
        <f t="shared" si="16"/>
        <v>28907</v>
      </c>
    </row>
    <row r="221" spans="2:11" x14ac:dyDescent="0.45">
      <c r="B221" s="19">
        <f t="shared" si="15"/>
        <v>6</v>
      </c>
      <c r="C221" s="10">
        <v>46241</v>
      </c>
      <c r="D221" s="66" t="s">
        <v>160</v>
      </c>
      <c r="E221" s="22"/>
      <c r="F221" s="23"/>
      <c r="G221" s="24">
        <v>1700</v>
      </c>
      <c r="H221" s="24">
        <v>200</v>
      </c>
      <c r="I221" s="25">
        <f t="shared" si="14"/>
        <v>1500</v>
      </c>
      <c r="J221" s="27"/>
      <c r="K221" s="18">
        <f t="shared" si="16"/>
        <v>28908</v>
      </c>
    </row>
    <row r="222" spans="2:11" x14ac:dyDescent="0.45">
      <c r="B222" s="19">
        <f t="shared" si="15"/>
        <v>7</v>
      </c>
      <c r="C222" s="10">
        <v>46241</v>
      </c>
      <c r="D222" s="66" t="s">
        <v>161</v>
      </c>
      <c r="E222" s="22"/>
      <c r="F222" s="23"/>
      <c r="G222" s="24">
        <v>1800</v>
      </c>
      <c r="H222" s="24">
        <v>300</v>
      </c>
      <c r="I222" s="25">
        <f t="shared" si="14"/>
        <v>1500</v>
      </c>
      <c r="J222" s="27"/>
      <c r="K222" s="18">
        <f t="shared" si="16"/>
        <v>28909</v>
      </c>
    </row>
    <row r="223" spans="2:11" x14ac:dyDescent="0.45">
      <c r="B223" s="19">
        <f t="shared" si="15"/>
        <v>8</v>
      </c>
      <c r="C223" s="10">
        <v>46241</v>
      </c>
      <c r="D223" s="66" t="s">
        <v>162</v>
      </c>
      <c r="E223" s="22"/>
      <c r="F223" s="23"/>
      <c r="G223" s="24">
        <v>1900</v>
      </c>
      <c r="H223" s="24">
        <v>200</v>
      </c>
      <c r="I223" s="25">
        <f t="shared" si="14"/>
        <v>1700</v>
      </c>
      <c r="J223" s="27"/>
      <c r="K223" s="18">
        <f t="shared" si="16"/>
        <v>28910</v>
      </c>
    </row>
    <row r="224" spans="2:11" x14ac:dyDescent="0.45">
      <c r="B224" s="19">
        <f t="shared" si="15"/>
        <v>9</v>
      </c>
      <c r="C224" s="10">
        <v>46241</v>
      </c>
      <c r="D224" s="66" t="s">
        <v>163</v>
      </c>
      <c r="E224" s="22"/>
      <c r="F224" s="23"/>
      <c r="G224" s="24">
        <v>12780</v>
      </c>
      <c r="H224" s="24">
        <v>3750</v>
      </c>
      <c r="I224" s="25">
        <f t="shared" si="14"/>
        <v>9030</v>
      </c>
      <c r="J224" s="27"/>
      <c r="K224" s="18">
        <f t="shared" si="16"/>
        <v>28911</v>
      </c>
    </row>
    <row r="225" spans="2:11" x14ac:dyDescent="0.45">
      <c r="B225" s="19">
        <f t="shared" si="15"/>
        <v>10</v>
      </c>
      <c r="C225" s="10">
        <v>46241</v>
      </c>
      <c r="D225" s="66" t="s">
        <v>164</v>
      </c>
      <c r="E225" s="30"/>
      <c r="F225" s="31"/>
      <c r="G225" s="24">
        <v>1900</v>
      </c>
      <c r="H225" s="24">
        <v>400</v>
      </c>
      <c r="I225" s="25">
        <f t="shared" si="14"/>
        <v>1500</v>
      </c>
      <c r="J225" s="27"/>
      <c r="K225" s="18">
        <f t="shared" si="16"/>
        <v>28912</v>
      </c>
    </row>
    <row r="226" spans="2:11" x14ac:dyDescent="0.45">
      <c r="B226" s="19">
        <f t="shared" si="15"/>
        <v>11</v>
      </c>
      <c r="C226" s="10">
        <v>46241</v>
      </c>
      <c r="D226" s="66" t="s">
        <v>165</v>
      </c>
      <c r="E226" s="22"/>
      <c r="F226" s="33"/>
      <c r="G226" s="24">
        <v>15000</v>
      </c>
      <c r="H226" s="24">
        <v>0</v>
      </c>
      <c r="I226" s="25">
        <f t="shared" si="14"/>
        <v>15000</v>
      </c>
      <c r="J226" s="28"/>
      <c r="K226" s="18">
        <f t="shared" si="16"/>
        <v>28913</v>
      </c>
    </row>
    <row r="227" spans="2:11" x14ac:dyDescent="0.45">
      <c r="B227" s="19">
        <f t="shared" si="15"/>
        <v>12</v>
      </c>
      <c r="C227" s="10">
        <v>46241</v>
      </c>
      <c r="D227" s="66" t="s">
        <v>166</v>
      </c>
      <c r="E227" s="22"/>
      <c r="F227" s="22"/>
      <c r="G227" s="24">
        <v>3800</v>
      </c>
      <c r="H227" s="24">
        <v>1070</v>
      </c>
      <c r="I227" s="25">
        <f t="shared" si="14"/>
        <v>2730</v>
      </c>
      <c r="J227" s="27"/>
      <c r="K227" s="18">
        <f t="shared" si="16"/>
        <v>28914</v>
      </c>
    </row>
    <row r="228" spans="2:11" x14ac:dyDescent="0.45">
      <c r="B228" s="19">
        <f t="shared" si="15"/>
        <v>13</v>
      </c>
      <c r="C228" s="10">
        <v>46241</v>
      </c>
      <c r="D228" s="66" t="s">
        <v>167</v>
      </c>
      <c r="E228" s="22"/>
      <c r="F228" s="22"/>
      <c r="G228" s="24">
        <v>3400</v>
      </c>
      <c r="H228" s="24">
        <v>700</v>
      </c>
      <c r="I228" s="25">
        <f t="shared" si="14"/>
        <v>2700</v>
      </c>
      <c r="J228" s="27"/>
      <c r="K228" s="18">
        <f t="shared" si="16"/>
        <v>28915</v>
      </c>
    </row>
    <row r="229" spans="2:11" x14ac:dyDescent="0.45">
      <c r="B229" s="19">
        <f t="shared" si="15"/>
        <v>14</v>
      </c>
      <c r="C229" s="10">
        <v>46241</v>
      </c>
      <c r="D229" s="66" t="s">
        <v>168</v>
      </c>
      <c r="E229" s="22"/>
      <c r="F229" s="22"/>
      <c r="G229" s="24">
        <v>1800</v>
      </c>
      <c r="H229" s="24">
        <v>300</v>
      </c>
      <c r="I229" s="25">
        <f t="shared" si="14"/>
        <v>1500</v>
      </c>
      <c r="J229" s="27"/>
      <c r="K229" s="18">
        <f t="shared" si="16"/>
        <v>28916</v>
      </c>
    </row>
    <row r="230" spans="2:11" x14ac:dyDescent="0.45">
      <c r="B230" s="19">
        <f t="shared" si="15"/>
        <v>15</v>
      </c>
      <c r="C230" s="10">
        <v>46241</v>
      </c>
      <c r="D230" s="66" t="s">
        <v>169</v>
      </c>
      <c r="E230" s="22"/>
      <c r="F230" s="22"/>
      <c r="G230" s="24">
        <v>13500</v>
      </c>
      <c r="H230" s="24">
        <v>3150</v>
      </c>
      <c r="I230" s="25">
        <f t="shared" si="14"/>
        <v>10350</v>
      </c>
      <c r="J230" s="27"/>
      <c r="K230" s="18">
        <f t="shared" si="16"/>
        <v>28917</v>
      </c>
    </row>
    <row r="231" spans="2:11" x14ac:dyDescent="0.45">
      <c r="B231" s="19">
        <f t="shared" si="15"/>
        <v>16</v>
      </c>
      <c r="C231" s="10">
        <v>46241</v>
      </c>
      <c r="D231" s="66" t="s">
        <v>130</v>
      </c>
      <c r="E231" s="22"/>
      <c r="F231" s="22"/>
      <c r="G231" s="24">
        <v>1900</v>
      </c>
      <c r="H231" s="24">
        <v>570</v>
      </c>
      <c r="I231" s="25">
        <f t="shared" si="14"/>
        <v>1330</v>
      </c>
      <c r="J231" s="27"/>
      <c r="K231" s="18">
        <f t="shared" si="16"/>
        <v>28918</v>
      </c>
    </row>
    <row r="232" spans="2:11" x14ac:dyDescent="0.45">
      <c r="B232" s="19">
        <f t="shared" si="15"/>
        <v>17</v>
      </c>
      <c r="C232" s="10">
        <v>46241</v>
      </c>
      <c r="D232" s="66" t="s">
        <v>137</v>
      </c>
      <c r="E232" s="22"/>
      <c r="F232" s="22"/>
      <c r="G232" s="24">
        <v>220</v>
      </c>
      <c r="H232" s="24">
        <v>0</v>
      </c>
      <c r="I232" s="25">
        <f t="shared" si="14"/>
        <v>220</v>
      </c>
      <c r="J232" s="27"/>
      <c r="K232" s="18">
        <f t="shared" si="16"/>
        <v>28919</v>
      </c>
    </row>
    <row r="233" spans="2:11" x14ac:dyDescent="0.45">
      <c r="B233" s="19">
        <f t="shared" si="15"/>
        <v>18</v>
      </c>
      <c r="C233" s="10">
        <v>46241</v>
      </c>
      <c r="D233" s="66" t="s">
        <v>170</v>
      </c>
      <c r="E233" s="22"/>
      <c r="F233" s="22"/>
      <c r="G233" s="24">
        <v>2200</v>
      </c>
      <c r="H233" s="24">
        <v>660</v>
      </c>
      <c r="I233" s="25">
        <f t="shared" si="14"/>
        <v>1540</v>
      </c>
      <c r="J233" s="27"/>
      <c r="K233" s="18">
        <f t="shared" si="16"/>
        <v>28920</v>
      </c>
    </row>
    <row r="234" spans="2:11" x14ac:dyDescent="0.45">
      <c r="B234" s="19">
        <f t="shared" si="15"/>
        <v>19</v>
      </c>
      <c r="C234" s="10">
        <v>46241</v>
      </c>
      <c r="D234" s="66" t="s">
        <v>171</v>
      </c>
      <c r="E234" s="22"/>
      <c r="F234" s="22"/>
      <c r="G234" s="24">
        <v>5900</v>
      </c>
      <c r="H234" s="24">
        <v>200</v>
      </c>
      <c r="I234" s="25">
        <f t="shared" si="14"/>
        <v>5700</v>
      </c>
      <c r="J234" s="27"/>
      <c r="K234" s="18">
        <f t="shared" si="16"/>
        <v>28921</v>
      </c>
    </row>
    <row r="235" spans="2:11" x14ac:dyDescent="0.45">
      <c r="B235" s="19">
        <f t="shared" si="15"/>
        <v>20</v>
      </c>
      <c r="C235" s="10">
        <v>46241</v>
      </c>
      <c r="D235" s="66" t="s">
        <v>172</v>
      </c>
      <c r="E235" s="22"/>
      <c r="F235" s="22"/>
      <c r="G235" s="24">
        <v>1900</v>
      </c>
      <c r="H235" s="24">
        <v>570</v>
      </c>
      <c r="I235" s="25">
        <f t="shared" si="14"/>
        <v>1330</v>
      </c>
      <c r="J235" s="27"/>
      <c r="K235" s="18">
        <f t="shared" si="16"/>
        <v>28922</v>
      </c>
    </row>
    <row r="236" spans="2:11" x14ac:dyDescent="0.45">
      <c r="B236" s="19">
        <f t="shared" si="15"/>
        <v>21</v>
      </c>
      <c r="C236" s="10">
        <v>46241</v>
      </c>
      <c r="D236" s="66" t="s">
        <v>173</v>
      </c>
      <c r="E236" s="22"/>
      <c r="F236" s="22"/>
      <c r="G236" s="24">
        <v>2000</v>
      </c>
      <c r="H236" s="24">
        <v>300</v>
      </c>
      <c r="I236" s="25">
        <f t="shared" si="14"/>
        <v>1700</v>
      </c>
      <c r="J236" s="27"/>
      <c r="K236" s="18">
        <f t="shared" si="16"/>
        <v>28923</v>
      </c>
    </row>
    <row r="237" spans="2:11" x14ac:dyDescent="0.45">
      <c r="B237" s="19">
        <f t="shared" si="15"/>
        <v>22</v>
      </c>
      <c r="C237" s="10">
        <v>46241</v>
      </c>
      <c r="D237" s="66" t="s">
        <v>174</v>
      </c>
      <c r="E237" s="22"/>
      <c r="F237" s="22"/>
      <c r="G237" s="24">
        <v>1700</v>
      </c>
      <c r="H237" s="24">
        <v>200</v>
      </c>
      <c r="I237" s="25">
        <f t="shared" si="14"/>
        <v>1500</v>
      </c>
      <c r="J237" s="27"/>
      <c r="K237" s="18">
        <f t="shared" si="16"/>
        <v>28924</v>
      </c>
    </row>
    <row r="238" spans="2:11" x14ac:dyDescent="0.45">
      <c r="B238" s="19">
        <f t="shared" si="15"/>
        <v>23</v>
      </c>
      <c r="C238" s="10">
        <v>46241</v>
      </c>
      <c r="D238" s="66" t="s">
        <v>175</v>
      </c>
      <c r="E238" s="22"/>
      <c r="F238" s="22"/>
      <c r="G238" s="24">
        <v>1900</v>
      </c>
      <c r="H238" s="24">
        <v>0</v>
      </c>
      <c r="I238" s="25">
        <f t="shared" si="14"/>
        <v>1900</v>
      </c>
      <c r="J238" s="27"/>
      <c r="K238" s="18">
        <f t="shared" si="16"/>
        <v>28925</v>
      </c>
    </row>
    <row r="239" spans="2:11" x14ac:dyDescent="0.45">
      <c r="B239" s="19">
        <f t="shared" si="15"/>
        <v>24</v>
      </c>
      <c r="C239" s="10">
        <v>46241</v>
      </c>
      <c r="D239" s="66" t="s">
        <v>176</v>
      </c>
      <c r="E239" s="22"/>
      <c r="F239" s="22"/>
      <c r="G239" s="24">
        <v>1800</v>
      </c>
      <c r="H239" s="24">
        <v>200</v>
      </c>
      <c r="I239" s="25">
        <f t="shared" si="14"/>
        <v>1600</v>
      </c>
      <c r="J239" s="27"/>
      <c r="K239" s="18">
        <f t="shared" si="16"/>
        <v>28926</v>
      </c>
    </row>
    <row r="240" spans="2:11" x14ac:dyDescent="0.45">
      <c r="B240" s="19">
        <f t="shared" si="15"/>
        <v>25</v>
      </c>
      <c r="C240" s="10">
        <v>46241</v>
      </c>
      <c r="D240" s="66" t="s">
        <v>176</v>
      </c>
      <c r="E240" s="22"/>
      <c r="F240" s="22"/>
      <c r="G240" s="24">
        <v>1800</v>
      </c>
      <c r="H240" s="24">
        <v>200</v>
      </c>
      <c r="I240" s="25">
        <f t="shared" si="14"/>
        <v>1600</v>
      </c>
      <c r="J240" s="27"/>
      <c r="K240" s="18">
        <f t="shared" si="16"/>
        <v>28927</v>
      </c>
    </row>
    <row r="241" spans="2:11" x14ac:dyDescent="0.45">
      <c r="B241" s="19">
        <f t="shared" si="15"/>
        <v>26</v>
      </c>
      <c r="C241" s="10">
        <v>46241</v>
      </c>
      <c r="D241" s="66" t="s">
        <v>177</v>
      </c>
      <c r="E241" s="22"/>
      <c r="F241" s="22"/>
      <c r="G241" s="24">
        <v>1900</v>
      </c>
      <c r="H241" s="24">
        <v>100</v>
      </c>
      <c r="I241" s="25">
        <f t="shared" si="14"/>
        <v>1800</v>
      </c>
      <c r="J241" s="27"/>
      <c r="K241" s="18">
        <f t="shared" si="16"/>
        <v>28928</v>
      </c>
    </row>
    <row r="242" spans="2:11" x14ac:dyDescent="0.45">
      <c r="B242" s="19">
        <f t="shared" si="15"/>
        <v>27</v>
      </c>
      <c r="C242" s="10">
        <v>46241</v>
      </c>
      <c r="D242" s="66" t="s">
        <v>178</v>
      </c>
      <c r="E242" s="22"/>
      <c r="F242" s="22"/>
      <c r="G242" s="24">
        <v>4900</v>
      </c>
      <c r="H242" s="24">
        <v>400</v>
      </c>
      <c r="I242" s="25">
        <f t="shared" si="14"/>
        <v>4500</v>
      </c>
      <c r="J242" s="27"/>
      <c r="K242" s="18">
        <f t="shared" si="16"/>
        <v>28929</v>
      </c>
    </row>
    <row r="243" spans="2:11" x14ac:dyDescent="0.45">
      <c r="B243" s="19">
        <f t="shared" si="15"/>
        <v>28</v>
      </c>
      <c r="C243" s="10">
        <v>46241</v>
      </c>
      <c r="D243" s="66" t="s">
        <v>179</v>
      </c>
      <c r="E243" s="22"/>
      <c r="F243" s="22"/>
      <c r="G243" s="24">
        <v>1040</v>
      </c>
      <c r="H243" s="24">
        <v>0</v>
      </c>
      <c r="I243" s="25">
        <f t="shared" si="14"/>
        <v>1040</v>
      </c>
      <c r="J243" s="27"/>
      <c r="K243" s="18">
        <f t="shared" si="16"/>
        <v>28930</v>
      </c>
    </row>
    <row r="244" spans="2:11" x14ac:dyDescent="0.45">
      <c r="B244" s="19">
        <f t="shared" si="15"/>
        <v>29</v>
      </c>
      <c r="C244" s="10">
        <v>46241</v>
      </c>
      <c r="D244" s="66" t="s">
        <v>180</v>
      </c>
      <c r="E244" s="22"/>
      <c r="F244" s="22"/>
      <c r="G244" s="24">
        <v>200</v>
      </c>
      <c r="H244" s="24">
        <v>0</v>
      </c>
      <c r="I244" s="25">
        <f t="shared" si="14"/>
        <v>200</v>
      </c>
      <c r="J244" s="27"/>
      <c r="K244" s="18">
        <f t="shared" si="16"/>
        <v>28931</v>
      </c>
    </row>
    <row r="245" spans="2:11" ht="14.65" thickBot="1" x14ac:dyDescent="0.5">
      <c r="B245" s="19">
        <f t="shared" si="15"/>
        <v>30</v>
      </c>
      <c r="C245" s="10">
        <v>46241</v>
      </c>
      <c r="D245" s="66" t="s">
        <v>89</v>
      </c>
      <c r="E245" s="22"/>
      <c r="F245" s="22"/>
      <c r="G245" s="24">
        <v>220</v>
      </c>
      <c r="H245" s="24">
        <v>0</v>
      </c>
      <c r="I245" s="25">
        <f t="shared" si="14"/>
        <v>220</v>
      </c>
      <c r="J245" s="27"/>
      <c r="K245" s="18">
        <f t="shared" si="16"/>
        <v>28932</v>
      </c>
    </row>
    <row r="246" spans="2:11" ht="14.65" thickBot="1" x14ac:dyDescent="0.5">
      <c r="F246" s="61" t="s">
        <v>26</v>
      </c>
      <c r="G246" s="62">
        <f>SUM(G216:G245)</f>
        <v>90500</v>
      </c>
      <c r="H246" s="62">
        <f>SUM(H216:H245)</f>
        <v>13670</v>
      </c>
      <c r="I246" s="62">
        <f>SUM(I216:I245)</f>
        <v>76830</v>
      </c>
      <c r="K246" s="41"/>
    </row>
    <row r="248" spans="2:11" ht="15.75" x14ac:dyDescent="0.5">
      <c r="D248" s="42" t="s">
        <v>28</v>
      </c>
      <c r="E248" s="42"/>
      <c r="F248" s="43" t="s">
        <v>29</v>
      </c>
      <c r="G248" s="44"/>
      <c r="H248" s="44"/>
      <c r="I248" s="45"/>
      <c r="J248" s="46"/>
    </row>
    <row r="249" spans="2:11" x14ac:dyDescent="0.45">
      <c r="D249" s="47" t="s">
        <v>30</v>
      </c>
      <c r="E249" s="47"/>
      <c r="F249" s="48">
        <v>29290</v>
      </c>
      <c r="G249" s="49"/>
      <c r="H249" s="49"/>
      <c r="I249" s="50"/>
      <c r="K249" s="51"/>
    </row>
    <row r="250" spans="2:11" x14ac:dyDescent="0.45">
      <c r="D250" s="47" t="s">
        <v>31</v>
      </c>
      <c r="E250" s="47"/>
      <c r="F250" s="52">
        <v>0</v>
      </c>
      <c r="G250" s="53"/>
      <c r="H250" s="53"/>
      <c r="I250" s="50"/>
    </row>
    <row r="251" spans="2:11" x14ac:dyDescent="0.45">
      <c r="D251" s="47" t="s">
        <v>32</v>
      </c>
      <c r="E251" s="47"/>
      <c r="F251" s="54">
        <v>12840</v>
      </c>
      <c r="G251" s="55"/>
      <c r="H251" s="55"/>
      <c r="J251" s="46"/>
    </row>
    <row r="252" spans="2:11" x14ac:dyDescent="0.45">
      <c r="D252" s="47" t="s">
        <v>33</v>
      </c>
      <c r="E252" s="47"/>
      <c r="F252" s="54">
        <v>15220</v>
      </c>
      <c r="G252" s="55"/>
      <c r="H252" s="55"/>
      <c r="I252" s="50"/>
    </row>
    <row r="253" spans="2:11" x14ac:dyDescent="0.45">
      <c r="D253" s="47" t="s">
        <v>34</v>
      </c>
      <c r="E253" s="47"/>
      <c r="F253" s="52">
        <v>19480</v>
      </c>
      <c r="G253" s="53"/>
      <c r="H253" s="53"/>
      <c r="I253" s="50"/>
    </row>
    <row r="254" spans="2:11" ht="15.75" thickBot="1" x14ac:dyDescent="0.65">
      <c r="D254" s="56" t="s">
        <v>35</v>
      </c>
      <c r="E254" s="56"/>
      <c r="F254" s="57">
        <f>SUM(F249:F253)</f>
        <v>76830</v>
      </c>
      <c r="G254" s="58">
        <f>+I246-F254</f>
        <v>0</v>
      </c>
      <c r="H254" s="58"/>
      <c r="I254" s="50"/>
    </row>
    <row r="255" spans="2:11" ht="15" thickTop="1" thickBot="1" x14ac:dyDescent="0.5"/>
    <row r="256" spans="2:11" ht="21.4" thickBot="1" x14ac:dyDescent="0.7">
      <c r="B256" s="1" t="s">
        <v>181</v>
      </c>
      <c r="C256" s="1"/>
      <c r="D256" s="2"/>
      <c r="E256" s="1"/>
      <c r="F256" s="1"/>
      <c r="G256" s="1"/>
      <c r="H256" s="1"/>
      <c r="I256" s="1"/>
      <c r="J256" s="1"/>
      <c r="K256" s="3"/>
    </row>
    <row r="257" spans="2:11" ht="24.4" thickBot="1" x14ac:dyDescent="0.55000000000000004">
      <c r="B257" s="4" t="s">
        <v>1</v>
      </c>
      <c r="C257" s="5" t="s">
        <v>2</v>
      </c>
      <c r="D257" s="5" t="s">
        <v>3</v>
      </c>
      <c r="E257" s="5" t="s">
        <v>4</v>
      </c>
      <c r="F257" s="6" t="s">
        <v>5</v>
      </c>
      <c r="G257" s="6" t="s">
        <v>6</v>
      </c>
      <c r="H257" s="6" t="s">
        <v>7</v>
      </c>
      <c r="I257" s="7" t="s">
        <v>8</v>
      </c>
      <c r="J257" s="5" t="s">
        <v>9</v>
      </c>
      <c r="K257" s="8" t="s">
        <v>10</v>
      </c>
    </row>
    <row r="258" spans="2:11" x14ac:dyDescent="0.45">
      <c r="B258" s="9">
        <v>1</v>
      </c>
      <c r="C258" s="10">
        <v>46242</v>
      </c>
      <c r="D258" s="11" t="s">
        <v>182</v>
      </c>
      <c r="E258" s="12"/>
      <c r="F258" s="13"/>
      <c r="G258" s="14">
        <v>1700</v>
      </c>
      <c r="H258" s="15">
        <v>200</v>
      </c>
      <c r="I258" s="16">
        <f>+G258-H258</f>
        <v>1500</v>
      </c>
      <c r="J258" s="17"/>
      <c r="K258" s="18">
        <v>28933</v>
      </c>
    </row>
    <row r="259" spans="2:11" x14ac:dyDescent="0.45">
      <c r="B259" s="19">
        <f>+B258+1</f>
        <v>2</v>
      </c>
      <c r="C259" s="10">
        <v>46242</v>
      </c>
      <c r="D259" s="21" t="s">
        <v>183</v>
      </c>
      <c r="E259" s="22"/>
      <c r="F259" s="23"/>
      <c r="G259" s="24">
        <v>4900</v>
      </c>
      <c r="H259" s="24">
        <v>1470</v>
      </c>
      <c r="I259" s="25">
        <f t="shared" ref="I259:I263" si="17">+G259-H259</f>
        <v>3430</v>
      </c>
      <c r="J259" s="26"/>
      <c r="K259" s="18">
        <f>+K258+1</f>
        <v>28934</v>
      </c>
    </row>
    <row r="260" spans="2:11" x14ac:dyDescent="0.45">
      <c r="B260" s="19">
        <f t="shared" ref="B260:B263" si="18">+B259+1</f>
        <v>3</v>
      </c>
      <c r="C260" s="10">
        <v>46242</v>
      </c>
      <c r="D260" s="21" t="s">
        <v>184</v>
      </c>
      <c r="E260" s="22"/>
      <c r="F260" s="23"/>
      <c r="G260" s="24">
        <v>440</v>
      </c>
      <c r="H260" s="24">
        <v>0</v>
      </c>
      <c r="I260" s="25">
        <f t="shared" si="17"/>
        <v>440</v>
      </c>
      <c r="J260" s="26"/>
      <c r="K260" s="18">
        <f t="shared" ref="K260:K263" si="19">+K259+1</f>
        <v>28935</v>
      </c>
    </row>
    <row r="261" spans="2:11" x14ac:dyDescent="0.45">
      <c r="B261" s="19">
        <f t="shared" si="18"/>
        <v>4</v>
      </c>
      <c r="C261" s="10">
        <v>46242</v>
      </c>
      <c r="D261" s="21" t="s">
        <v>185</v>
      </c>
      <c r="E261" s="22"/>
      <c r="F261" s="23"/>
      <c r="G261" s="24">
        <v>1900</v>
      </c>
      <c r="H261" s="24">
        <v>0</v>
      </c>
      <c r="I261" s="25">
        <f t="shared" si="17"/>
        <v>1900</v>
      </c>
      <c r="J261" s="27"/>
      <c r="K261" s="18">
        <f t="shared" si="19"/>
        <v>28936</v>
      </c>
    </row>
    <row r="262" spans="2:11" x14ac:dyDescent="0.45">
      <c r="B262" s="19">
        <f t="shared" si="18"/>
        <v>5</v>
      </c>
      <c r="C262" s="10">
        <v>46242</v>
      </c>
      <c r="D262" s="21" t="s">
        <v>186</v>
      </c>
      <c r="E262" s="22"/>
      <c r="F262" s="23"/>
      <c r="G262" s="24">
        <v>1800</v>
      </c>
      <c r="H262" s="24">
        <v>540</v>
      </c>
      <c r="I262" s="25">
        <f t="shared" si="17"/>
        <v>1260</v>
      </c>
      <c r="J262" s="28"/>
      <c r="K262" s="18">
        <f t="shared" si="19"/>
        <v>28937</v>
      </c>
    </row>
    <row r="263" spans="2:11" ht="14.65" thickBot="1" x14ac:dyDescent="0.5">
      <c r="B263" s="19">
        <f t="shared" si="18"/>
        <v>6</v>
      </c>
      <c r="C263" s="10">
        <v>46242</v>
      </c>
      <c r="D263" s="21" t="s">
        <v>187</v>
      </c>
      <c r="E263" s="22"/>
      <c r="F263" s="23"/>
      <c r="G263" s="24">
        <v>1800</v>
      </c>
      <c r="H263" s="24">
        <v>300</v>
      </c>
      <c r="I263" s="25">
        <f t="shared" si="17"/>
        <v>1500</v>
      </c>
      <c r="J263" s="27"/>
      <c r="K263" s="18">
        <f t="shared" si="19"/>
        <v>28938</v>
      </c>
    </row>
    <row r="264" spans="2:11" ht="14.65" thickBot="1" x14ac:dyDescent="0.5">
      <c r="F264" s="61" t="s">
        <v>26</v>
      </c>
      <c r="G264" s="62">
        <f>SUM(G258:G263)</f>
        <v>12540</v>
      </c>
      <c r="H264" s="62">
        <f>SUM(H258:H263)</f>
        <v>2510</v>
      </c>
      <c r="I264" s="62">
        <f>SUM(I258:I263)</f>
        <v>10030</v>
      </c>
      <c r="K264" s="41"/>
    </row>
    <row r="266" spans="2:11" ht="15.75" x14ac:dyDescent="0.5">
      <c r="D266" s="42" t="s">
        <v>28</v>
      </c>
      <c r="E266" s="42"/>
      <c r="F266" s="43" t="s">
        <v>29</v>
      </c>
      <c r="G266" s="44"/>
      <c r="H266" s="44"/>
      <c r="I266" s="45"/>
      <c r="J266" s="46"/>
    </row>
    <row r="267" spans="2:11" x14ac:dyDescent="0.45">
      <c r="D267" s="47" t="s">
        <v>30</v>
      </c>
      <c r="E267" s="47"/>
      <c r="F267" s="48">
        <v>9590</v>
      </c>
      <c r="G267" s="49"/>
      <c r="H267" s="49"/>
      <c r="I267" s="50"/>
      <c r="K267" s="51"/>
    </row>
    <row r="268" spans="2:11" x14ac:dyDescent="0.45">
      <c r="D268" s="47" t="s">
        <v>31</v>
      </c>
      <c r="E268" s="47"/>
      <c r="F268" s="52">
        <v>0</v>
      </c>
      <c r="G268" s="53"/>
      <c r="H268" s="53"/>
      <c r="I268" s="50"/>
    </row>
    <row r="269" spans="2:11" x14ac:dyDescent="0.45">
      <c r="D269" s="47" t="s">
        <v>32</v>
      </c>
      <c r="E269" s="47"/>
      <c r="F269" s="54">
        <v>0</v>
      </c>
      <c r="G269" s="55"/>
      <c r="H269" s="55"/>
      <c r="J269" s="46"/>
    </row>
    <row r="270" spans="2:11" x14ac:dyDescent="0.45">
      <c r="D270" s="47" t="s">
        <v>33</v>
      </c>
      <c r="E270" s="47"/>
      <c r="F270" s="54">
        <v>0</v>
      </c>
      <c r="G270" s="55"/>
      <c r="H270" s="55"/>
      <c r="I270" s="50"/>
    </row>
    <row r="271" spans="2:11" x14ac:dyDescent="0.45">
      <c r="D271" s="47" t="s">
        <v>34</v>
      </c>
      <c r="E271" s="47"/>
      <c r="F271" s="52">
        <v>440</v>
      </c>
      <c r="G271" s="53"/>
      <c r="H271" s="53"/>
      <c r="I271" s="50"/>
    </row>
    <row r="272" spans="2:11" ht="15.75" thickBot="1" x14ac:dyDescent="0.65">
      <c r="D272" s="56" t="s">
        <v>35</v>
      </c>
      <c r="E272" s="56"/>
      <c r="F272" s="57">
        <f>SUM(F267:F271)</f>
        <v>10030</v>
      </c>
      <c r="G272" s="58">
        <f>+I264-F272</f>
        <v>0</v>
      </c>
      <c r="H272" s="58"/>
      <c r="I272" s="50"/>
    </row>
    <row r="273" spans="2:11" ht="14.65" thickTop="1" x14ac:dyDescent="0.45"/>
    <row r="274" spans="2:11" ht="15.75" thickBot="1" x14ac:dyDescent="0.65">
      <c r="D274" s="64"/>
      <c r="E274" s="64"/>
      <c r="F274" s="65"/>
      <c r="G274" s="58"/>
      <c r="H274" s="58"/>
      <c r="I274" s="50"/>
    </row>
    <row r="275" spans="2:11" ht="21.4" thickBot="1" x14ac:dyDescent="0.7">
      <c r="B275" s="1" t="s">
        <v>188</v>
      </c>
      <c r="C275" s="1"/>
      <c r="D275" s="2"/>
      <c r="E275" s="1"/>
      <c r="F275" s="1"/>
      <c r="G275" s="1"/>
      <c r="H275" s="1"/>
      <c r="I275" s="1"/>
      <c r="J275" s="1"/>
      <c r="K275" s="3"/>
    </row>
    <row r="276" spans="2:11" ht="24.4" thickBot="1" x14ac:dyDescent="0.55000000000000004">
      <c r="B276" s="4" t="s">
        <v>1</v>
      </c>
      <c r="C276" s="5" t="s">
        <v>2</v>
      </c>
      <c r="D276" s="5" t="s">
        <v>3</v>
      </c>
      <c r="E276" s="5" t="s">
        <v>4</v>
      </c>
      <c r="F276" s="6" t="s">
        <v>5</v>
      </c>
      <c r="G276" s="6" t="s">
        <v>6</v>
      </c>
      <c r="H276" s="6" t="s">
        <v>7</v>
      </c>
      <c r="I276" s="7" t="s">
        <v>8</v>
      </c>
      <c r="J276" s="5" t="s">
        <v>9</v>
      </c>
      <c r="K276" s="8" t="s">
        <v>10</v>
      </c>
    </row>
    <row r="277" spans="2:11" x14ac:dyDescent="0.45">
      <c r="B277" s="9">
        <v>1</v>
      </c>
      <c r="C277" s="10">
        <v>46244</v>
      </c>
      <c r="D277" s="11" t="s">
        <v>189</v>
      </c>
      <c r="E277" s="30"/>
      <c r="F277" s="31"/>
      <c r="G277" s="32">
        <f>3500*4</f>
        <v>14000</v>
      </c>
      <c r="H277" s="32">
        <v>2000</v>
      </c>
      <c r="I277" s="68">
        <f>+G277-H277</f>
        <v>12000</v>
      </c>
      <c r="J277" s="17"/>
      <c r="K277" s="18">
        <v>28939</v>
      </c>
    </row>
    <row r="278" spans="2:11" x14ac:dyDescent="0.45">
      <c r="B278" s="19">
        <f>+B277+1</f>
        <v>2</v>
      </c>
      <c r="C278" s="10">
        <v>46244</v>
      </c>
      <c r="D278" s="21" t="s">
        <v>122</v>
      </c>
      <c r="E278" s="22"/>
      <c r="F278" s="23"/>
      <c r="G278" s="24">
        <v>1700</v>
      </c>
      <c r="H278" s="24">
        <v>200</v>
      </c>
      <c r="I278" s="52">
        <f t="shared" ref="I278:I309" si="20">+G278-H278</f>
        <v>1500</v>
      </c>
      <c r="J278" s="26"/>
      <c r="K278" s="18">
        <f>+K277+1</f>
        <v>28940</v>
      </c>
    </row>
    <row r="279" spans="2:11" x14ac:dyDescent="0.45">
      <c r="B279" s="19">
        <f t="shared" ref="B279:B309" si="21">+B278+1</f>
        <v>3</v>
      </c>
      <c r="C279" s="10">
        <v>46244</v>
      </c>
      <c r="D279" s="21" t="s">
        <v>149</v>
      </c>
      <c r="E279" s="22"/>
      <c r="F279" s="23"/>
      <c r="G279" s="24">
        <v>1900</v>
      </c>
      <c r="H279" s="24">
        <v>200</v>
      </c>
      <c r="I279" s="52">
        <f t="shared" si="20"/>
        <v>1700</v>
      </c>
      <c r="J279" s="26"/>
      <c r="K279" s="18">
        <f t="shared" ref="K279:K309" si="22">+K278+1</f>
        <v>28941</v>
      </c>
    </row>
    <row r="280" spans="2:11" x14ac:dyDescent="0.45">
      <c r="B280" s="19">
        <f t="shared" si="21"/>
        <v>4</v>
      </c>
      <c r="C280" s="10">
        <v>46244</v>
      </c>
      <c r="D280" s="21" t="s">
        <v>149</v>
      </c>
      <c r="E280" s="22"/>
      <c r="F280" s="23"/>
      <c r="G280" s="24">
        <v>4900</v>
      </c>
      <c r="H280" s="24">
        <v>200</v>
      </c>
      <c r="I280" s="52">
        <f t="shared" si="20"/>
        <v>4700</v>
      </c>
      <c r="J280" s="27"/>
      <c r="K280" s="18">
        <f t="shared" si="22"/>
        <v>28942</v>
      </c>
    </row>
    <row r="281" spans="2:11" x14ac:dyDescent="0.45">
      <c r="B281" s="19">
        <f t="shared" si="21"/>
        <v>5</v>
      </c>
      <c r="C281" s="10">
        <v>46244</v>
      </c>
      <c r="D281" s="21" t="s">
        <v>149</v>
      </c>
      <c r="E281" s="22"/>
      <c r="F281" s="23"/>
      <c r="G281" s="24">
        <v>25500</v>
      </c>
      <c r="H281" s="24">
        <v>1500</v>
      </c>
      <c r="I281" s="52">
        <f t="shared" si="20"/>
        <v>24000</v>
      </c>
      <c r="J281" s="28"/>
      <c r="K281" s="18">
        <f t="shared" si="22"/>
        <v>28943</v>
      </c>
    </row>
    <row r="282" spans="2:11" x14ac:dyDescent="0.45">
      <c r="B282" s="19">
        <f t="shared" si="21"/>
        <v>6</v>
      </c>
      <c r="C282" s="10">
        <v>46244</v>
      </c>
      <c r="D282" s="21" t="s">
        <v>190</v>
      </c>
      <c r="E282" s="22"/>
      <c r="F282" s="23"/>
      <c r="G282" s="24">
        <v>12700</v>
      </c>
      <c r="H282" s="24">
        <v>900</v>
      </c>
      <c r="I282" s="52">
        <f t="shared" si="20"/>
        <v>11800</v>
      </c>
      <c r="J282" s="27"/>
      <c r="K282" s="18">
        <f t="shared" si="22"/>
        <v>28944</v>
      </c>
    </row>
    <row r="283" spans="2:11" x14ac:dyDescent="0.45">
      <c r="B283" s="19">
        <f t="shared" si="21"/>
        <v>7</v>
      </c>
      <c r="C283" s="10">
        <v>46244</v>
      </c>
      <c r="D283" s="21" t="s">
        <v>191</v>
      </c>
      <c r="E283" s="22"/>
      <c r="F283" s="23"/>
      <c r="G283" s="24">
        <v>3000</v>
      </c>
      <c r="H283" s="24">
        <v>1740</v>
      </c>
      <c r="I283" s="52">
        <f t="shared" si="20"/>
        <v>1260</v>
      </c>
      <c r="J283" s="27"/>
      <c r="K283" s="18">
        <f t="shared" si="22"/>
        <v>28945</v>
      </c>
    </row>
    <row r="284" spans="2:11" x14ac:dyDescent="0.45">
      <c r="B284" s="19">
        <f t="shared" si="21"/>
        <v>8</v>
      </c>
      <c r="C284" s="10">
        <v>46244</v>
      </c>
      <c r="D284" s="21" t="s">
        <v>192</v>
      </c>
      <c r="E284" s="22"/>
      <c r="F284" s="23"/>
      <c r="G284" s="24">
        <v>1700</v>
      </c>
      <c r="H284" s="24">
        <v>200</v>
      </c>
      <c r="I284" s="52">
        <f t="shared" si="20"/>
        <v>1500</v>
      </c>
      <c r="J284" s="27"/>
      <c r="K284" s="18">
        <f t="shared" si="22"/>
        <v>28946</v>
      </c>
    </row>
    <row r="285" spans="2:11" x14ac:dyDescent="0.45">
      <c r="B285" s="19">
        <f t="shared" si="21"/>
        <v>9</v>
      </c>
      <c r="C285" s="10">
        <v>46244</v>
      </c>
      <c r="D285" s="21" t="s">
        <v>193</v>
      </c>
      <c r="E285" s="22"/>
      <c r="F285" s="23"/>
      <c r="G285" s="24">
        <v>1900</v>
      </c>
      <c r="H285" s="24">
        <v>400</v>
      </c>
      <c r="I285" s="52">
        <f t="shared" si="20"/>
        <v>1500</v>
      </c>
      <c r="J285" s="27"/>
      <c r="K285" s="18">
        <f t="shared" si="22"/>
        <v>28947</v>
      </c>
    </row>
    <row r="286" spans="2:11" x14ac:dyDescent="0.45">
      <c r="B286" s="19">
        <f t="shared" si="21"/>
        <v>10</v>
      </c>
      <c r="C286" s="10">
        <v>46244</v>
      </c>
      <c r="D286" s="21" t="s">
        <v>145</v>
      </c>
      <c r="E286" s="22"/>
      <c r="F286" s="23"/>
      <c r="G286" s="24">
        <v>2240</v>
      </c>
      <c r="H286" s="24">
        <v>400</v>
      </c>
      <c r="I286" s="52">
        <f t="shared" si="20"/>
        <v>1840</v>
      </c>
      <c r="J286" s="27"/>
      <c r="K286" s="18">
        <f t="shared" si="22"/>
        <v>28948</v>
      </c>
    </row>
    <row r="287" spans="2:11" x14ac:dyDescent="0.45">
      <c r="B287" s="19">
        <f t="shared" si="21"/>
        <v>11</v>
      </c>
      <c r="C287" s="10">
        <v>46244</v>
      </c>
      <c r="D287" s="21" t="s">
        <v>194</v>
      </c>
      <c r="E287" s="22"/>
      <c r="F287" s="33"/>
      <c r="G287" s="24">
        <v>3000</v>
      </c>
      <c r="H287" s="24">
        <v>500</v>
      </c>
      <c r="I287" s="52">
        <f t="shared" si="20"/>
        <v>2500</v>
      </c>
      <c r="J287" s="28"/>
      <c r="K287" s="18">
        <f t="shared" si="22"/>
        <v>28949</v>
      </c>
    </row>
    <row r="288" spans="2:11" x14ac:dyDescent="0.45">
      <c r="B288" s="19">
        <f t="shared" si="21"/>
        <v>12</v>
      </c>
      <c r="C288" s="10">
        <v>46244</v>
      </c>
      <c r="D288" s="21" t="s">
        <v>195</v>
      </c>
      <c r="E288" s="22"/>
      <c r="F288" s="22"/>
      <c r="G288" s="24">
        <v>1900</v>
      </c>
      <c r="H288" s="24">
        <v>300</v>
      </c>
      <c r="I288" s="52">
        <f t="shared" si="20"/>
        <v>1600</v>
      </c>
      <c r="J288" s="27"/>
      <c r="K288" s="18">
        <f t="shared" si="22"/>
        <v>28950</v>
      </c>
    </row>
    <row r="289" spans="2:11" x14ac:dyDescent="0.45">
      <c r="B289" s="19">
        <f t="shared" si="21"/>
        <v>13</v>
      </c>
      <c r="C289" s="10">
        <v>46244</v>
      </c>
      <c r="D289" s="21" t="s">
        <v>196</v>
      </c>
      <c r="E289" s="22"/>
      <c r="F289" s="22"/>
      <c r="G289" s="24">
        <v>4900</v>
      </c>
      <c r="H289" s="24">
        <v>400</v>
      </c>
      <c r="I289" s="52">
        <f t="shared" si="20"/>
        <v>4500</v>
      </c>
      <c r="J289" s="27"/>
      <c r="K289" s="18">
        <f t="shared" si="22"/>
        <v>28951</v>
      </c>
    </row>
    <row r="290" spans="2:11" x14ac:dyDescent="0.45">
      <c r="B290" s="19">
        <f t="shared" si="21"/>
        <v>14</v>
      </c>
      <c r="C290" s="10">
        <v>46244</v>
      </c>
      <c r="D290" s="21" t="s">
        <v>197</v>
      </c>
      <c r="E290" s="22"/>
      <c r="F290" s="22"/>
      <c r="G290" s="24">
        <v>7400</v>
      </c>
      <c r="H290" s="24">
        <v>0</v>
      </c>
      <c r="I290" s="52">
        <f t="shared" si="20"/>
        <v>7400</v>
      </c>
      <c r="J290" s="27"/>
      <c r="K290" s="18">
        <f t="shared" si="22"/>
        <v>28952</v>
      </c>
    </row>
    <row r="291" spans="2:11" x14ac:dyDescent="0.45">
      <c r="B291" s="19">
        <f t="shared" si="21"/>
        <v>15</v>
      </c>
      <c r="C291" s="10">
        <v>46244</v>
      </c>
      <c r="D291" s="21" t="s">
        <v>198</v>
      </c>
      <c r="E291" s="22"/>
      <c r="F291" s="22"/>
      <c r="G291" s="24">
        <v>4500</v>
      </c>
      <c r="H291" s="24">
        <v>0</v>
      </c>
      <c r="I291" s="52">
        <f t="shared" si="20"/>
        <v>4500</v>
      </c>
      <c r="J291" s="27"/>
      <c r="K291" s="18">
        <f t="shared" si="22"/>
        <v>28953</v>
      </c>
    </row>
    <row r="292" spans="2:11" x14ac:dyDescent="0.45">
      <c r="B292" s="19">
        <f t="shared" si="21"/>
        <v>16</v>
      </c>
      <c r="C292" s="10">
        <v>46244</v>
      </c>
      <c r="D292" s="21" t="s">
        <v>199</v>
      </c>
      <c r="E292" s="22"/>
      <c r="F292" s="22"/>
      <c r="G292" s="24">
        <v>1800</v>
      </c>
      <c r="H292" s="24">
        <v>540</v>
      </c>
      <c r="I292" s="52">
        <f t="shared" si="20"/>
        <v>1260</v>
      </c>
      <c r="J292" s="27"/>
      <c r="K292" s="18">
        <f t="shared" si="22"/>
        <v>28954</v>
      </c>
    </row>
    <row r="293" spans="2:11" x14ac:dyDescent="0.45">
      <c r="B293" s="19">
        <f t="shared" si="21"/>
        <v>17</v>
      </c>
      <c r="C293" s="10">
        <v>46244</v>
      </c>
      <c r="D293" s="11" t="s">
        <v>89</v>
      </c>
      <c r="E293" s="22"/>
      <c r="F293" s="22"/>
      <c r="G293" s="24">
        <v>13400</v>
      </c>
      <c r="H293" s="24">
        <v>1800</v>
      </c>
      <c r="I293" s="52">
        <f t="shared" si="20"/>
        <v>11600</v>
      </c>
      <c r="J293" s="27"/>
      <c r="K293" s="18">
        <f t="shared" si="22"/>
        <v>28955</v>
      </c>
    </row>
    <row r="294" spans="2:11" x14ac:dyDescent="0.45">
      <c r="B294" s="19">
        <f t="shared" si="21"/>
        <v>18</v>
      </c>
      <c r="C294" s="10">
        <v>46244</v>
      </c>
      <c r="D294" s="21" t="s">
        <v>200</v>
      </c>
      <c r="E294" s="22"/>
      <c r="F294" s="22"/>
      <c r="G294" s="24">
        <v>2200</v>
      </c>
      <c r="H294" s="24">
        <v>0</v>
      </c>
      <c r="I294" s="52">
        <f t="shared" si="20"/>
        <v>2200</v>
      </c>
      <c r="J294" s="27"/>
      <c r="K294" s="18">
        <f t="shared" si="22"/>
        <v>28956</v>
      </c>
    </row>
    <row r="295" spans="2:11" x14ac:dyDescent="0.45">
      <c r="B295" s="19">
        <f t="shared" si="21"/>
        <v>19</v>
      </c>
      <c r="C295" s="10">
        <v>46244</v>
      </c>
      <c r="D295" s="21" t="s">
        <v>201</v>
      </c>
      <c r="E295" s="22"/>
      <c r="F295" s="22"/>
      <c r="G295" s="24">
        <f>3500*4</f>
        <v>14000</v>
      </c>
      <c r="H295" s="24">
        <v>4200</v>
      </c>
      <c r="I295" s="52">
        <f t="shared" si="20"/>
        <v>9800</v>
      </c>
      <c r="J295" s="27"/>
      <c r="K295" s="18">
        <f t="shared" si="22"/>
        <v>28957</v>
      </c>
    </row>
    <row r="296" spans="2:11" x14ac:dyDescent="0.45">
      <c r="B296" s="19">
        <f t="shared" si="21"/>
        <v>20</v>
      </c>
      <c r="C296" s="10">
        <v>46244</v>
      </c>
      <c r="D296" s="21" t="s">
        <v>14</v>
      </c>
      <c r="E296" s="22"/>
      <c r="F296" s="22"/>
      <c r="G296" s="24">
        <v>1300</v>
      </c>
      <c r="H296" s="24">
        <v>0</v>
      </c>
      <c r="I296" s="52">
        <f t="shared" si="20"/>
        <v>1300</v>
      </c>
      <c r="J296" s="27"/>
      <c r="K296" s="18">
        <f t="shared" si="22"/>
        <v>28958</v>
      </c>
    </row>
    <row r="297" spans="2:11" x14ac:dyDescent="0.45">
      <c r="B297" s="19">
        <f t="shared" si="21"/>
        <v>21</v>
      </c>
      <c r="C297" s="10">
        <v>46244</v>
      </c>
      <c r="D297" s="21" t="s">
        <v>75</v>
      </c>
      <c r="E297" s="22"/>
      <c r="F297" s="22"/>
      <c r="G297" s="24">
        <v>12220</v>
      </c>
      <c r="H297" s="24">
        <v>3575</v>
      </c>
      <c r="I297" s="52">
        <f t="shared" si="20"/>
        <v>8645</v>
      </c>
      <c r="J297" s="27"/>
      <c r="K297" s="18">
        <f t="shared" si="22"/>
        <v>28959</v>
      </c>
    </row>
    <row r="298" spans="2:11" x14ac:dyDescent="0.45">
      <c r="B298" s="19">
        <f t="shared" si="21"/>
        <v>22</v>
      </c>
      <c r="C298" s="10">
        <v>46244</v>
      </c>
      <c r="D298" s="21" t="s">
        <v>202</v>
      </c>
      <c r="E298" s="22"/>
      <c r="F298" s="22"/>
      <c r="G298" s="24">
        <v>4900</v>
      </c>
      <c r="H298" s="24">
        <v>400</v>
      </c>
      <c r="I298" s="52">
        <f t="shared" si="20"/>
        <v>4500</v>
      </c>
      <c r="J298" s="27"/>
      <c r="K298" s="18">
        <f t="shared" si="22"/>
        <v>28960</v>
      </c>
    </row>
    <row r="299" spans="2:11" x14ac:dyDescent="0.45">
      <c r="B299" s="19">
        <f t="shared" si="21"/>
        <v>23</v>
      </c>
      <c r="C299" s="10">
        <v>46244</v>
      </c>
      <c r="D299" s="21" t="s">
        <v>61</v>
      </c>
      <c r="E299" s="22"/>
      <c r="F299" s="22"/>
      <c r="G299" s="24">
        <v>13900</v>
      </c>
      <c r="H299" s="24">
        <v>1300</v>
      </c>
      <c r="I299" s="52">
        <f t="shared" si="20"/>
        <v>12600</v>
      </c>
      <c r="J299" s="27"/>
      <c r="K299" s="18">
        <f t="shared" si="22"/>
        <v>28961</v>
      </c>
    </row>
    <row r="300" spans="2:11" x14ac:dyDescent="0.45">
      <c r="B300" s="19">
        <f t="shared" si="21"/>
        <v>24</v>
      </c>
      <c r="C300" s="10">
        <v>46244</v>
      </c>
      <c r="D300" s="21" t="s">
        <v>203</v>
      </c>
      <c r="E300" s="22"/>
      <c r="F300" s="22"/>
      <c r="G300" s="24">
        <v>1800</v>
      </c>
      <c r="H300" s="24">
        <v>400</v>
      </c>
      <c r="I300" s="52">
        <f t="shared" si="20"/>
        <v>1400</v>
      </c>
      <c r="J300" s="27"/>
      <c r="K300" s="18">
        <f t="shared" si="22"/>
        <v>28962</v>
      </c>
    </row>
    <row r="301" spans="2:11" x14ac:dyDescent="0.45">
      <c r="B301" s="19">
        <f t="shared" si="21"/>
        <v>25</v>
      </c>
      <c r="C301" s="10">
        <v>46244</v>
      </c>
      <c r="D301" s="21" t="s">
        <v>204</v>
      </c>
      <c r="E301" s="22"/>
      <c r="F301" s="22"/>
      <c r="G301" s="24">
        <v>300</v>
      </c>
      <c r="H301" s="24">
        <v>0</v>
      </c>
      <c r="I301" s="52">
        <f t="shared" si="20"/>
        <v>300</v>
      </c>
      <c r="J301" s="27"/>
      <c r="K301" s="18">
        <f t="shared" si="22"/>
        <v>28963</v>
      </c>
    </row>
    <row r="302" spans="2:11" x14ac:dyDescent="0.45">
      <c r="B302" s="19">
        <f t="shared" si="21"/>
        <v>26</v>
      </c>
      <c r="C302" s="10">
        <v>46244</v>
      </c>
      <c r="D302" s="21" t="s">
        <v>205</v>
      </c>
      <c r="E302" s="22"/>
      <c r="F302" s="22"/>
      <c r="G302" s="24">
        <f>3500*6</f>
        <v>21000</v>
      </c>
      <c r="H302" s="24">
        <v>1200</v>
      </c>
      <c r="I302" s="52">
        <f t="shared" si="20"/>
        <v>19800</v>
      </c>
      <c r="J302" s="27"/>
      <c r="K302" s="18">
        <f t="shared" si="22"/>
        <v>28964</v>
      </c>
    </row>
    <row r="303" spans="2:11" x14ac:dyDescent="0.45">
      <c r="B303" s="19">
        <f t="shared" si="21"/>
        <v>27</v>
      </c>
      <c r="C303" s="10">
        <v>46244</v>
      </c>
      <c r="D303" s="21" t="s">
        <v>48</v>
      </c>
      <c r="E303" s="22"/>
      <c r="F303" s="22"/>
      <c r="G303" s="24">
        <v>220</v>
      </c>
      <c r="H303" s="24">
        <v>0</v>
      </c>
      <c r="I303" s="52">
        <f t="shared" si="20"/>
        <v>220</v>
      </c>
      <c r="J303" s="27"/>
      <c r="K303" s="18">
        <f t="shared" si="22"/>
        <v>28965</v>
      </c>
    </row>
    <row r="304" spans="2:11" x14ac:dyDescent="0.45">
      <c r="B304" s="19">
        <f t="shared" si="21"/>
        <v>28</v>
      </c>
      <c r="C304" s="10">
        <v>46244</v>
      </c>
      <c r="D304" s="21" t="s">
        <v>206</v>
      </c>
      <c r="E304" s="22"/>
      <c r="F304" s="22"/>
      <c r="G304" s="24">
        <v>1800</v>
      </c>
      <c r="H304" s="24">
        <v>400</v>
      </c>
      <c r="I304" s="52">
        <f t="shared" si="20"/>
        <v>1400</v>
      </c>
      <c r="J304" s="27"/>
      <c r="K304" s="18">
        <f t="shared" si="22"/>
        <v>28966</v>
      </c>
    </row>
    <row r="305" spans="2:11" x14ac:dyDescent="0.45">
      <c r="B305" s="19">
        <f t="shared" si="21"/>
        <v>29</v>
      </c>
      <c r="C305" s="10">
        <v>46244</v>
      </c>
      <c r="D305" s="21" t="s">
        <v>207</v>
      </c>
      <c r="E305" s="22"/>
      <c r="F305" s="22"/>
      <c r="G305" s="24">
        <v>1700</v>
      </c>
      <c r="H305" s="24">
        <v>1700</v>
      </c>
      <c r="I305" s="52">
        <f t="shared" si="20"/>
        <v>0</v>
      </c>
      <c r="J305" s="27"/>
      <c r="K305" s="18">
        <f t="shared" si="22"/>
        <v>28967</v>
      </c>
    </row>
    <row r="306" spans="2:11" x14ac:dyDescent="0.45">
      <c r="B306" s="19">
        <f t="shared" si="21"/>
        <v>30</v>
      </c>
      <c r="C306" s="10">
        <v>46244</v>
      </c>
      <c r="D306" s="21" t="s">
        <v>63</v>
      </c>
      <c r="E306" s="22"/>
      <c r="F306" s="22"/>
      <c r="G306" s="24">
        <v>10000</v>
      </c>
      <c r="H306" s="24">
        <v>2700</v>
      </c>
      <c r="I306" s="52">
        <f t="shared" si="20"/>
        <v>7300</v>
      </c>
      <c r="J306" s="27"/>
      <c r="K306" s="18">
        <f t="shared" si="22"/>
        <v>28968</v>
      </c>
    </row>
    <row r="307" spans="2:11" x14ac:dyDescent="0.45">
      <c r="B307" s="19">
        <f t="shared" si="21"/>
        <v>31</v>
      </c>
      <c r="C307" s="10">
        <v>46244</v>
      </c>
      <c r="D307" s="21" t="s">
        <v>50</v>
      </c>
      <c r="E307" s="22"/>
      <c r="F307" s="22"/>
      <c r="G307" s="24">
        <v>220</v>
      </c>
      <c r="H307" s="24">
        <v>0</v>
      </c>
      <c r="I307" s="52">
        <f t="shared" si="20"/>
        <v>220</v>
      </c>
      <c r="J307" s="27"/>
      <c r="K307" s="18">
        <f t="shared" si="22"/>
        <v>28969</v>
      </c>
    </row>
    <row r="308" spans="2:11" x14ac:dyDescent="0.45">
      <c r="B308" s="19">
        <f t="shared" si="21"/>
        <v>32</v>
      </c>
      <c r="C308" s="10">
        <v>46244</v>
      </c>
      <c r="D308" s="21" t="s">
        <v>130</v>
      </c>
      <c r="E308" s="22"/>
      <c r="F308" s="22"/>
      <c r="G308" s="24">
        <v>1900</v>
      </c>
      <c r="H308" s="24">
        <v>900</v>
      </c>
      <c r="I308" s="52">
        <f t="shared" si="20"/>
        <v>1000</v>
      </c>
      <c r="J308" s="27"/>
      <c r="K308" s="18">
        <f t="shared" si="22"/>
        <v>28970</v>
      </c>
    </row>
    <row r="309" spans="2:11" x14ac:dyDescent="0.45">
      <c r="B309" s="19">
        <f t="shared" si="21"/>
        <v>33</v>
      </c>
      <c r="C309" s="10">
        <v>46244</v>
      </c>
      <c r="D309" s="21" t="s">
        <v>166</v>
      </c>
      <c r="E309" s="22"/>
      <c r="F309" s="22"/>
      <c r="G309" s="24">
        <v>1900</v>
      </c>
      <c r="H309" s="24">
        <v>500</v>
      </c>
      <c r="I309" s="52">
        <f t="shared" si="20"/>
        <v>1400</v>
      </c>
      <c r="J309" s="27"/>
      <c r="K309" s="18">
        <f t="shared" si="22"/>
        <v>28971</v>
      </c>
    </row>
    <row r="310" spans="2:11" ht="14.65" thickBot="1" x14ac:dyDescent="0.5">
      <c r="F310" s="38" t="s">
        <v>26</v>
      </c>
      <c r="G310" s="39">
        <f>SUM(G277:G309)</f>
        <v>195800</v>
      </c>
      <c r="H310" s="39">
        <f>SUM(H277:H309)</f>
        <v>28555</v>
      </c>
      <c r="I310" s="39">
        <f>SUM(I277:I309)</f>
        <v>167245</v>
      </c>
      <c r="K310" s="41"/>
    </row>
    <row r="312" spans="2:11" ht="15.75" x14ac:dyDescent="0.5">
      <c r="D312" s="42" t="s">
        <v>28</v>
      </c>
      <c r="E312" s="42"/>
      <c r="F312" s="43" t="s">
        <v>29</v>
      </c>
      <c r="G312" s="44"/>
      <c r="H312" s="44"/>
      <c r="I312" s="45"/>
      <c r="J312" s="46"/>
    </row>
    <row r="313" spans="2:11" x14ac:dyDescent="0.45">
      <c r="D313" s="47" t="s">
        <v>30</v>
      </c>
      <c r="E313" s="47"/>
      <c r="F313" s="48">
        <v>29160</v>
      </c>
      <c r="G313" s="49"/>
      <c r="H313" s="49"/>
      <c r="I313" s="50"/>
      <c r="K313" s="51"/>
    </row>
    <row r="314" spans="2:11" x14ac:dyDescent="0.45">
      <c r="D314" s="47" t="s">
        <v>31</v>
      </c>
      <c r="E314" s="47"/>
      <c r="F314" s="52">
        <v>0</v>
      </c>
      <c r="G314" s="53"/>
      <c r="H314" s="53"/>
      <c r="I314" s="50"/>
    </row>
    <row r="315" spans="2:11" x14ac:dyDescent="0.45">
      <c r="D315" s="47" t="s">
        <v>32</v>
      </c>
      <c r="E315" s="47"/>
      <c r="F315" s="54">
        <v>56120</v>
      </c>
      <c r="G315" s="55"/>
      <c r="H315" s="55"/>
      <c r="J315" s="46"/>
    </row>
    <row r="316" spans="2:11" x14ac:dyDescent="0.45">
      <c r="D316" s="47" t="s">
        <v>33</v>
      </c>
      <c r="E316" s="47"/>
      <c r="F316" s="54">
        <v>41420</v>
      </c>
      <c r="G316" s="55"/>
      <c r="H316" s="55"/>
      <c r="I316" s="50"/>
    </row>
    <row r="317" spans="2:11" x14ac:dyDescent="0.45">
      <c r="D317" s="47" t="s">
        <v>34</v>
      </c>
      <c r="E317" s="47"/>
      <c r="F317" s="52">
        <v>40545</v>
      </c>
      <c r="G317" s="53"/>
      <c r="H317" s="53"/>
      <c r="I317" s="50"/>
    </row>
    <row r="318" spans="2:11" ht="15.75" thickBot="1" x14ac:dyDescent="0.65">
      <c r="D318" s="56" t="s">
        <v>35</v>
      </c>
      <c r="E318" s="56"/>
      <c r="F318" s="57">
        <f>SUM(F313:F317)</f>
        <v>167245</v>
      </c>
      <c r="G318" s="58">
        <f>+I310-F318</f>
        <v>0</v>
      </c>
      <c r="H318" s="58"/>
      <c r="I318" s="50"/>
    </row>
    <row r="319" spans="2:11" ht="15" thickTop="1" thickBot="1" x14ac:dyDescent="0.5"/>
    <row r="320" spans="2:11" ht="21.4" thickBot="1" x14ac:dyDescent="0.7">
      <c r="B320" s="1" t="s">
        <v>208</v>
      </c>
      <c r="C320" s="1"/>
      <c r="D320" s="2"/>
      <c r="E320" s="1"/>
      <c r="F320" s="1"/>
      <c r="G320" s="1"/>
      <c r="H320" s="1"/>
      <c r="I320" s="1"/>
      <c r="J320" s="1"/>
      <c r="K320" s="3"/>
    </row>
    <row r="321" spans="2:11" ht="24.4" thickBot="1" x14ac:dyDescent="0.55000000000000004">
      <c r="B321" s="4" t="s">
        <v>1</v>
      </c>
      <c r="C321" s="5" t="s">
        <v>2</v>
      </c>
      <c r="D321" s="5" t="s">
        <v>3</v>
      </c>
      <c r="E321" s="5" t="s">
        <v>4</v>
      </c>
      <c r="F321" s="6" t="s">
        <v>5</v>
      </c>
      <c r="G321" s="6" t="s">
        <v>6</v>
      </c>
      <c r="H321" s="6" t="s">
        <v>7</v>
      </c>
      <c r="I321" s="7" t="s">
        <v>8</v>
      </c>
      <c r="J321" s="5" t="s">
        <v>9</v>
      </c>
      <c r="K321" s="8" t="s">
        <v>10</v>
      </c>
    </row>
    <row r="322" spans="2:11" x14ac:dyDescent="0.45">
      <c r="B322" s="9">
        <v>1</v>
      </c>
      <c r="C322" s="10">
        <v>46245</v>
      </c>
      <c r="D322" s="11" t="s">
        <v>209</v>
      </c>
      <c r="E322" s="30"/>
      <c r="F322" s="31"/>
      <c r="G322" s="32">
        <v>1900</v>
      </c>
      <c r="H322" s="32">
        <v>200</v>
      </c>
      <c r="I322" s="68">
        <f>+G322-H322</f>
        <v>1700</v>
      </c>
      <c r="J322" s="17"/>
      <c r="K322" s="18">
        <v>28972</v>
      </c>
    </row>
    <row r="323" spans="2:11" x14ac:dyDescent="0.45">
      <c r="B323" s="19">
        <f>+B322+1</f>
        <v>2</v>
      </c>
      <c r="C323" s="10">
        <v>46245</v>
      </c>
      <c r="D323" s="21" t="s">
        <v>106</v>
      </c>
      <c r="E323" s="22"/>
      <c r="F323" s="23"/>
      <c r="G323" s="24">
        <v>2680</v>
      </c>
      <c r="H323" s="24">
        <v>300</v>
      </c>
      <c r="I323" s="52">
        <f t="shared" ref="I323:I353" si="23">+G323-H323</f>
        <v>2380</v>
      </c>
      <c r="J323" s="26"/>
      <c r="K323" s="18">
        <f>+K322+1</f>
        <v>28973</v>
      </c>
    </row>
    <row r="324" spans="2:11" x14ac:dyDescent="0.45">
      <c r="B324" s="19">
        <f t="shared" ref="B324:B353" si="24">+B323+1</f>
        <v>3</v>
      </c>
      <c r="C324" s="10">
        <v>46245</v>
      </c>
      <c r="D324" s="21" t="s">
        <v>210</v>
      </c>
      <c r="E324" s="22"/>
      <c r="F324" s="23"/>
      <c r="G324" s="24">
        <v>220</v>
      </c>
      <c r="H324" s="24">
        <v>0</v>
      </c>
      <c r="I324" s="52">
        <f t="shared" si="23"/>
        <v>220</v>
      </c>
      <c r="J324" s="26"/>
      <c r="K324" s="18">
        <f t="shared" ref="K324:K353" si="25">+K323+1</f>
        <v>28974</v>
      </c>
    </row>
    <row r="325" spans="2:11" x14ac:dyDescent="0.45">
      <c r="B325" s="19">
        <f t="shared" si="24"/>
        <v>4</v>
      </c>
      <c r="C325" s="10">
        <v>46245</v>
      </c>
      <c r="D325" s="63" t="s">
        <v>211</v>
      </c>
      <c r="E325" s="22"/>
      <c r="F325" s="23"/>
      <c r="G325" s="24">
        <v>100</v>
      </c>
      <c r="H325" s="24">
        <v>0</v>
      </c>
      <c r="I325" s="52">
        <f t="shared" si="23"/>
        <v>100</v>
      </c>
      <c r="J325" s="27"/>
      <c r="K325" s="18">
        <f t="shared" si="25"/>
        <v>28975</v>
      </c>
    </row>
    <row r="326" spans="2:11" x14ac:dyDescent="0.45">
      <c r="B326" s="19">
        <f t="shared" si="24"/>
        <v>5</v>
      </c>
      <c r="C326" s="10">
        <v>46245</v>
      </c>
      <c r="D326" s="21" t="s">
        <v>212</v>
      </c>
      <c r="E326" s="22"/>
      <c r="F326" s="23"/>
      <c r="G326" s="24">
        <v>1900</v>
      </c>
      <c r="H326" s="24">
        <v>200</v>
      </c>
      <c r="I326" s="52">
        <f t="shared" si="23"/>
        <v>1700</v>
      </c>
      <c r="J326" s="28"/>
      <c r="K326" s="18">
        <f t="shared" si="25"/>
        <v>28976</v>
      </c>
    </row>
    <row r="327" spans="2:11" x14ac:dyDescent="0.45">
      <c r="B327" s="19">
        <f t="shared" si="24"/>
        <v>6</v>
      </c>
      <c r="C327" s="10">
        <v>46245</v>
      </c>
      <c r="D327" s="21" t="s">
        <v>213</v>
      </c>
      <c r="E327" s="22"/>
      <c r="F327" s="23"/>
      <c r="G327" s="24">
        <v>2500</v>
      </c>
      <c r="H327" s="24">
        <v>0</v>
      </c>
      <c r="I327" s="52">
        <f t="shared" si="23"/>
        <v>2500</v>
      </c>
      <c r="J327" s="27"/>
      <c r="K327" s="18">
        <f t="shared" si="25"/>
        <v>28977</v>
      </c>
    </row>
    <row r="328" spans="2:11" x14ac:dyDescent="0.45">
      <c r="B328" s="19">
        <f t="shared" si="24"/>
        <v>7</v>
      </c>
      <c r="C328" s="10">
        <v>46245</v>
      </c>
      <c r="D328" s="21" t="s">
        <v>214</v>
      </c>
      <c r="E328" s="22"/>
      <c r="F328" s="23"/>
      <c r="G328" s="24">
        <v>1700</v>
      </c>
      <c r="H328" s="24">
        <v>510</v>
      </c>
      <c r="I328" s="52">
        <f t="shared" si="23"/>
        <v>1190</v>
      </c>
      <c r="J328" s="27"/>
      <c r="K328" s="18">
        <f t="shared" si="25"/>
        <v>28978</v>
      </c>
    </row>
    <row r="329" spans="2:11" x14ac:dyDescent="0.45">
      <c r="B329" s="19">
        <f t="shared" si="24"/>
        <v>8</v>
      </c>
      <c r="C329" s="10">
        <v>46245</v>
      </c>
      <c r="D329" s="11" t="s">
        <v>215</v>
      </c>
      <c r="E329" s="22"/>
      <c r="F329" s="23"/>
      <c r="G329" s="24">
        <v>1800</v>
      </c>
      <c r="H329" s="24">
        <v>1800</v>
      </c>
      <c r="I329" s="52">
        <f t="shared" si="23"/>
        <v>0</v>
      </c>
      <c r="J329" s="27"/>
      <c r="K329" s="18">
        <f t="shared" si="25"/>
        <v>28979</v>
      </c>
    </row>
    <row r="330" spans="2:11" x14ac:dyDescent="0.45">
      <c r="B330" s="19">
        <f t="shared" si="24"/>
        <v>9</v>
      </c>
      <c r="C330" s="10">
        <v>46245</v>
      </c>
      <c r="D330" s="21" t="s">
        <v>216</v>
      </c>
      <c r="E330" s="22"/>
      <c r="F330" s="23"/>
      <c r="G330" s="24">
        <v>2800</v>
      </c>
      <c r="H330" s="24">
        <v>0</v>
      </c>
      <c r="I330" s="52">
        <f t="shared" si="23"/>
        <v>2800</v>
      </c>
      <c r="J330" s="27"/>
      <c r="K330" s="18">
        <f t="shared" si="25"/>
        <v>28980</v>
      </c>
    </row>
    <row r="331" spans="2:11" x14ac:dyDescent="0.45">
      <c r="B331" s="19">
        <f t="shared" si="24"/>
        <v>10</v>
      </c>
      <c r="C331" s="10">
        <v>46245</v>
      </c>
      <c r="D331" s="21" t="s">
        <v>217</v>
      </c>
      <c r="E331" s="22"/>
      <c r="F331" s="23"/>
      <c r="G331" s="24">
        <v>4800</v>
      </c>
      <c r="H331" s="24">
        <v>0</v>
      </c>
      <c r="I331" s="52">
        <f t="shared" si="23"/>
        <v>4800</v>
      </c>
      <c r="J331" s="27"/>
      <c r="K331" s="18">
        <f t="shared" si="25"/>
        <v>28981</v>
      </c>
    </row>
    <row r="332" spans="2:11" x14ac:dyDescent="0.45">
      <c r="B332" s="19">
        <f t="shared" si="24"/>
        <v>11</v>
      </c>
      <c r="C332" s="10">
        <v>46245</v>
      </c>
      <c r="D332" s="21" t="s">
        <v>218</v>
      </c>
      <c r="E332" s="22"/>
      <c r="F332" s="33"/>
      <c r="G332" s="24">
        <v>2020</v>
      </c>
      <c r="H332" s="24">
        <v>300</v>
      </c>
      <c r="I332" s="52">
        <f t="shared" si="23"/>
        <v>1720</v>
      </c>
      <c r="J332" s="28"/>
      <c r="K332" s="18">
        <f t="shared" si="25"/>
        <v>28982</v>
      </c>
    </row>
    <row r="333" spans="2:11" x14ac:dyDescent="0.45">
      <c r="B333" s="19">
        <f t="shared" si="24"/>
        <v>12</v>
      </c>
      <c r="C333" s="10">
        <v>46245</v>
      </c>
      <c r="D333" s="21" t="s">
        <v>219</v>
      </c>
      <c r="E333" s="22"/>
      <c r="F333" s="22"/>
      <c r="G333" s="24">
        <v>4500</v>
      </c>
      <c r="H333" s="24">
        <v>0</v>
      </c>
      <c r="I333" s="52">
        <f t="shared" si="23"/>
        <v>4500</v>
      </c>
      <c r="J333" s="27"/>
      <c r="K333" s="18">
        <f t="shared" si="25"/>
        <v>28983</v>
      </c>
    </row>
    <row r="334" spans="2:11" x14ac:dyDescent="0.45">
      <c r="B334" s="19">
        <f t="shared" si="24"/>
        <v>13</v>
      </c>
      <c r="C334" s="10">
        <v>46245</v>
      </c>
      <c r="D334" s="21" t="s">
        <v>75</v>
      </c>
      <c r="E334" s="22"/>
      <c r="F334" s="22"/>
      <c r="G334" s="24">
        <v>2200</v>
      </c>
      <c r="H334" s="24">
        <v>660</v>
      </c>
      <c r="I334" s="52">
        <f t="shared" si="23"/>
        <v>1540</v>
      </c>
      <c r="J334" s="27"/>
      <c r="K334" s="18">
        <f t="shared" si="25"/>
        <v>28984</v>
      </c>
    </row>
    <row r="335" spans="2:11" x14ac:dyDescent="0.45">
      <c r="B335" s="19">
        <f t="shared" si="24"/>
        <v>14</v>
      </c>
      <c r="C335" s="10">
        <v>46245</v>
      </c>
      <c r="D335" s="21" t="s">
        <v>166</v>
      </c>
      <c r="E335" s="22"/>
      <c r="F335" s="22"/>
      <c r="G335" s="24">
        <v>1900</v>
      </c>
      <c r="H335" s="24">
        <v>570</v>
      </c>
      <c r="I335" s="52">
        <f t="shared" si="23"/>
        <v>1330</v>
      </c>
      <c r="J335" s="27"/>
      <c r="K335" s="18">
        <f t="shared" si="25"/>
        <v>28985</v>
      </c>
    </row>
    <row r="336" spans="2:11" x14ac:dyDescent="0.45">
      <c r="B336" s="19">
        <f t="shared" si="24"/>
        <v>15</v>
      </c>
      <c r="C336" s="10">
        <v>46245</v>
      </c>
      <c r="D336" s="21" t="s">
        <v>220</v>
      </c>
      <c r="E336" s="22"/>
      <c r="F336" s="22"/>
      <c r="G336" s="24">
        <v>1900</v>
      </c>
      <c r="H336" s="24">
        <v>200</v>
      </c>
      <c r="I336" s="52">
        <f t="shared" si="23"/>
        <v>1700</v>
      </c>
      <c r="J336" s="27"/>
      <c r="K336" s="18">
        <f t="shared" si="25"/>
        <v>28986</v>
      </c>
    </row>
    <row r="337" spans="2:11" x14ac:dyDescent="0.45">
      <c r="B337" s="19">
        <f t="shared" si="24"/>
        <v>16</v>
      </c>
      <c r="C337" s="10">
        <v>46245</v>
      </c>
      <c r="D337" s="21" t="s">
        <v>221</v>
      </c>
      <c r="E337" s="22"/>
      <c r="F337" s="22"/>
      <c r="G337" s="24">
        <v>18720</v>
      </c>
      <c r="H337" s="24">
        <v>2100</v>
      </c>
      <c r="I337" s="52">
        <f t="shared" si="23"/>
        <v>16620</v>
      </c>
      <c r="J337" s="27"/>
      <c r="K337" s="18">
        <f t="shared" si="25"/>
        <v>28987</v>
      </c>
    </row>
    <row r="338" spans="2:11" x14ac:dyDescent="0.45">
      <c r="B338" s="19">
        <f t="shared" si="24"/>
        <v>17</v>
      </c>
      <c r="C338" s="10">
        <v>46245</v>
      </c>
      <c r="D338" s="21" t="s">
        <v>222</v>
      </c>
      <c r="E338" s="22"/>
      <c r="F338" s="22"/>
      <c r="G338" s="24">
        <v>2300</v>
      </c>
      <c r="H338" s="24">
        <v>0</v>
      </c>
      <c r="I338" s="52">
        <f t="shared" si="23"/>
        <v>2300</v>
      </c>
      <c r="J338" s="27"/>
      <c r="K338" s="18">
        <f t="shared" si="25"/>
        <v>28988</v>
      </c>
    </row>
    <row r="339" spans="2:11" x14ac:dyDescent="0.45">
      <c r="B339" s="19">
        <f t="shared" si="24"/>
        <v>18</v>
      </c>
      <c r="C339" s="10">
        <v>46245</v>
      </c>
      <c r="D339" s="21" t="s">
        <v>223</v>
      </c>
      <c r="E339" s="22"/>
      <c r="F339" s="22"/>
      <c r="G339" s="24">
        <v>1900</v>
      </c>
      <c r="H339" s="24">
        <v>570</v>
      </c>
      <c r="I339" s="52">
        <f t="shared" si="23"/>
        <v>1330</v>
      </c>
      <c r="J339" s="27"/>
      <c r="K339" s="18">
        <f t="shared" si="25"/>
        <v>28989</v>
      </c>
    </row>
    <row r="340" spans="2:11" x14ac:dyDescent="0.45">
      <c r="B340" s="19">
        <f t="shared" si="24"/>
        <v>19</v>
      </c>
      <c r="C340" s="10">
        <v>46245</v>
      </c>
      <c r="D340" s="21" t="s">
        <v>224</v>
      </c>
      <c r="E340" s="22"/>
      <c r="F340" s="22"/>
      <c r="G340" s="24">
        <v>2000</v>
      </c>
      <c r="H340" s="24">
        <v>300</v>
      </c>
      <c r="I340" s="52">
        <f t="shared" si="23"/>
        <v>1700</v>
      </c>
      <c r="J340" s="27"/>
      <c r="K340" s="18">
        <f t="shared" si="25"/>
        <v>28990</v>
      </c>
    </row>
    <row r="341" spans="2:11" x14ac:dyDescent="0.45">
      <c r="B341" s="19">
        <f t="shared" si="24"/>
        <v>20</v>
      </c>
      <c r="C341" s="10">
        <v>46245</v>
      </c>
      <c r="D341" s="21" t="s">
        <v>225</v>
      </c>
      <c r="E341" s="22"/>
      <c r="F341" s="22"/>
      <c r="G341" s="24">
        <v>1800</v>
      </c>
      <c r="H341" s="24">
        <v>540</v>
      </c>
      <c r="I341" s="52">
        <f t="shared" si="23"/>
        <v>1260</v>
      </c>
      <c r="J341" s="27"/>
      <c r="K341" s="18">
        <f t="shared" si="25"/>
        <v>28991</v>
      </c>
    </row>
    <row r="342" spans="2:11" x14ac:dyDescent="0.45">
      <c r="B342" s="19">
        <f t="shared" si="24"/>
        <v>21</v>
      </c>
      <c r="C342" s="10">
        <v>46245</v>
      </c>
      <c r="D342" s="21" t="s">
        <v>226</v>
      </c>
      <c r="E342" s="22"/>
      <c r="F342" s="22"/>
      <c r="G342" s="24">
        <v>1900</v>
      </c>
      <c r="H342" s="24">
        <v>300</v>
      </c>
      <c r="I342" s="52">
        <f t="shared" si="23"/>
        <v>1600</v>
      </c>
      <c r="J342" s="27"/>
      <c r="K342" s="18">
        <f t="shared" si="25"/>
        <v>28992</v>
      </c>
    </row>
    <row r="343" spans="2:11" x14ac:dyDescent="0.45">
      <c r="B343" s="19">
        <f t="shared" si="24"/>
        <v>22</v>
      </c>
      <c r="C343" s="10">
        <v>46245</v>
      </c>
      <c r="D343" s="21" t="s">
        <v>227</v>
      </c>
      <c r="E343" s="22"/>
      <c r="F343" s="22"/>
      <c r="G343" s="24">
        <f>3500*4</f>
        <v>14000</v>
      </c>
      <c r="H343" s="24">
        <v>800</v>
      </c>
      <c r="I343" s="52">
        <f t="shared" si="23"/>
        <v>13200</v>
      </c>
      <c r="J343" s="27"/>
      <c r="K343" s="18">
        <f t="shared" si="25"/>
        <v>28993</v>
      </c>
    </row>
    <row r="344" spans="2:11" x14ac:dyDescent="0.45">
      <c r="B344" s="19">
        <f t="shared" si="24"/>
        <v>23</v>
      </c>
      <c r="C344" s="10">
        <v>46245</v>
      </c>
      <c r="D344" s="21" t="s">
        <v>228</v>
      </c>
      <c r="E344" s="22"/>
      <c r="F344" s="22"/>
      <c r="G344" s="24">
        <v>2700</v>
      </c>
      <c r="H344" s="24">
        <v>810</v>
      </c>
      <c r="I344" s="52">
        <f t="shared" si="23"/>
        <v>1890</v>
      </c>
      <c r="J344" s="27"/>
      <c r="K344" s="18">
        <f t="shared" si="25"/>
        <v>28994</v>
      </c>
    </row>
    <row r="345" spans="2:11" x14ac:dyDescent="0.45">
      <c r="B345" s="19">
        <f t="shared" si="24"/>
        <v>24</v>
      </c>
      <c r="C345" s="10">
        <v>46245</v>
      </c>
      <c r="D345" s="21" t="s">
        <v>104</v>
      </c>
      <c r="E345" s="22"/>
      <c r="F345" s="22"/>
      <c r="G345" s="24">
        <v>2440</v>
      </c>
      <c r="H345" s="24">
        <v>0</v>
      </c>
      <c r="I345" s="52">
        <f t="shared" si="23"/>
        <v>2440</v>
      </c>
      <c r="J345" s="27"/>
      <c r="K345" s="18">
        <f t="shared" si="25"/>
        <v>28995</v>
      </c>
    </row>
    <row r="346" spans="2:11" x14ac:dyDescent="0.45">
      <c r="B346" s="19">
        <f t="shared" si="24"/>
        <v>25</v>
      </c>
      <c r="C346" s="10">
        <v>46245</v>
      </c>
      <c r="D346" s="63" t="s">
        <v>229</v>
      </c>
      <c r="E346" s="22"/>
      <c r="F346" s="22"/>
      <c r="G346" s="24">
        <v>440</v>
      </c>
      <c r="H346" s="24">
        <v>0</v>
      </c>
      <c r="I346" s="52">
        <f t="shared" si="23"/>
        <v>440</v>
      </c>
      <c r="J346" s="27"/>
      <c r="K346" s="18">
        <f t="shared" si="25"/>
        <v>28996</v>
      </c>
    </row>
    <row r="347" spans="2:11" x14ac:dyDescent="0.45">
      <c r="B347" s="19">
        <f t="shared" si="24"/>
        <v>26</v>
      </c>
      <c r="C347" s="10">
        <v>46245</v>
      </c>
      <c r="D347" s="69" t="s">
        <v>230</v>
      </c>
      <c r="E347" s="22"/>
      <c r="F347" s="22"/>
      <c r="G347" s="24">
        <v>1800</v>
      </c>
      <c r="H347" s="24">
        <v>0</v>
      </c>
      <c r="I347" s="52">
        <f t="shared" si="23"/>
        <v>1800</v>
      </c>
      <c r="J347" s="27"/>
      <c r="K347" s="18">
        <f t="shared" si="25"/>
        <v>28997</v>
      </c>
    </row>
    <row r="348" spans="2:11" x14ac:dyDescent="0.45">
      <c r="B348" s="19">
        <f t="shared" si="24"/>
        <v>27</v>
      </c>
      <c r="C348" s="10">
        <v>46245</v>
      </c>
      <c r="D348" s="69" t="s">
        <v>231</v>
      </c>
      <c r="E348" s="22"/>
      <c r="F348" s="22"/>
      <c r="G348" s="24">
        <v>1800</v>
      </c>
      <c r="H348" s="24">
        <v>300</v>
      </c>
      <c r="I348" s="52">
        <f t="shared" si="23"/>
        <v>1500</v>
      </c>
      <c r="J348" s="27"/>
      <c r="K348" s="18">
        <f t="shared" si="25"/>
        <v>28998</v>
      </c>
    </row>
    <row r="349" spans="2:11" x14ac:dyDescent="0.45">
      <c r="B349" s="19">
        <f t="shared" si="24"/>
        <v>28</v>
      </c>
      <c r="C349" s="10">
        <v>46245</v>
      </c>
      <c r="D349" s="69" t="s">
        <v>232</v>
      </c>
      <c r="E349" s="22"/>
      <c r="F349" s="22"/>
      <c r="G349" s="24">
        <v>100</v>
      </c>
      <c r="H349" s="24">
        <v>0</v>
      </c>
      <c r="I349" s="52">
        <f t="shared" si="23"/>
        <v>100</v>
      </c>
      <c r="J349" s="27"/>
      <c r="K349" s="18">
        <f t="shared" si="25"/>
        <v>28999</v>
      </c>
    </row>
    <row r="350" spans="2:11" x14ac:dyDescent="0.45">
      <c r="B350" s="19">
        <f t="shared" si="24"/>
        <v>29</v>
      </c>
      <c r="C350" s="10">
        <v>46245</v>
      </c>
      <c r="D350" s="69" t="s">
        <v>233</v>
      </c>
      <c r="E350" s="22"/>
      <c r="F350" s="22"/>
      <c r="G350" s="24">
        <v>5200</v>
      </c>
      <c r="H350" s="24">
        <v>200</v>
      </c>
      <c r="I350" s="52">
        <f t="shared" si="23"/>
        <v>5000</v>
      </c>
      <c r="J350" s="27"/>
      <c r="K350" s="18">
        <f t="shared" si="25"/>
        <v>29000</v>
      </c>
    </row>
    <row r="351" spans="2:11" x14ac:dyDescent="0.45">
      <c r="B351" s="19">
        <f t="shared" si="24"/>
        <v>30</v>
      </c>
      <c r="C351" s="10">
        <v>46245</v>
      </c>
      <c r="D351" s="69" t="s">
        <v>14</v>
      </c>
      <c r="E351" s="22"/>
      <c r="F351" s="22"/>
      <c r="G351" s="24">
        <v>640</v>
      </c>
      <c r="H351" s="24">
        <v>0</v>
      </c>
      <c r="I351" s="52">
        <f t="shared" si="23"/>
        <v>640</v>
      </c>
      <c r="J351" s="27"/>
      <c r="K351" s="18">
        <f t="shared" si="25"/>
        <v>29001</v>
      </c>
    </row>
    <row r="352" spans="2:11" x14ac:dyDescent="0.45">
      <c r="B352" s="19">
        <f t="shared" si="24"/>
        <v>31</v>
      </c>
      <c r="C352" s="10">
        <v>46245</v>
      </c>
      <c r="D352" s="70" t="s">
        <v>234</v>
      </c>
      <c r="E352" s="22"/>
      <c r="F352" s="22"/>
      <c r="G352" s="24">
        <v>220</v>
      </c>
      <c r="H352" s="24">
        <v>0</v>
      </c>
      <c r="I352" s="52">
        <f t="shared" si="23"/>
        <v>220</v>
      </c>
      <c r="J352" s="27"/>
      <c r="K352" s="18">
        <f t="shared" si="25"/>
        <v>29002</v>
      </c>
    </row>
    <row r="353" spans="2:11" x14ac:dyDescent="0.45">
      <c r="B353" s="19">
        <f t="shared" si="24"/>
        <v>32</v>
      </c>
      <c r="C353" s="10">
        <v>46245</v>
      </c>
      <c r="D353" s="21" t="s">
        <v>235</v>
      </c>
      <c r="E353" s="22"/>
      <c r="F353" s="22"/>
      <c r="G353" s="24">
        <v>1900</v>
      </c>
      <c r="H353" s="24">
        <v>570</v>
      </c>
      <c r="I353" s="52">
        <f t="shared" si="23"/>
        <v>1330</v>
      </c>
      <c r="J353" s="27"/>
      <c r="K353" s="18">
        <f t="shared" si="25"/>
        <v>29003</v>
      </c>
    </row>
    <row r="354" spans="2:11" ht="14.65" thickBot="1" x14ac:dyDescent="0.5">
      <c r="F354" s="38" t="s">
        <v>26</v>
      </c>
      <c r="G354" s="39">
        <f>SUM(G322:G353)</f>
        <v>92780</v>
      </c>
      <c r="H354" s="39">
        <f>SUM(H322:H353)</f>
        <v>11230</v>
      </c>
      <c r="I354" s="39">
        <f>SUM(I322:I353)</f>
        <v>81550</v>
      </c>
      <c r="K354" s="41"/>
    </row>
    <row r="356" spans="2:11" ht="15.75" x14ac:dyDescent="0.5">
      <c r="D356" s="42" t="s">
        <v>28</v>
      </c>
      <c r="E356" s="42"/>
      <c r="F356" s="43" t="s">
        <v>29</v>
      </c>
      <c r="G356" s="44"/>
      <c r="H356" s="44"/>
      <c r="I356" s="45"/>
      <c r="J356" s="46"/>
    </row>
    <row r="357" spans="2:11" x14ac:dyDescent="0.45">
      <c r="D357" s="47" t="s">
        <v>30</v>
      </c>
      <c r="E357" s="47"/>
      <c r="F357" s="48">
        <v>23770</v>
      </c>
      <c r="G357" s="49"/>
      <c r="H357" s="49"/>
      <c r="I357" s="50"/>
      <c r="K357" s="51"/>
    </row>
    <row r="358" spans="2:11" x14ac:dyDescent="0.45">
      <c r="D358" s="47" t="s">
        <v>31</v>
      </c>
      <c r="E358" s="47"/>
      <c r="F358" s="52">
        <v>0</v>
      </c>
      <c r="G358" s="53"/>
      <c r="H358" s="53"/>
      <c r="I358" s="50"/>
    </row>
    <row r="359" spans="2:11" x14ac:dyDescent="0.45">
      <c r="D359" s="47" t="s">
        <v>32</v>
      </c>
      <c r="E359" s="47"/>
      <c r="F359" s="54">
        <v>12840</v>
      </c>
      <c r="G359" s="55"/>
      <c r="H359" s="55"/>
      <c r="J359" s="46"/>
    </row>
    <row r="360" spans="2:11" x14ac:dyDescent="0.45">
      <c r="D360" s="47" t="s">
        <v>33</v>
      </c>
      <c r="E360" s="47"/>
      <c r="F360" s="54">
        <v>43080</v>
      </c>
      <c r="G360" s="55"/>
      <c r="H360" s="55"/>
      <c r="I360" s="50"/>
    </row>
    <row r="361" spans="2:11" x14ac:dyDescent="0.45">
      <c r="D361" s="47" t="s">
        <v>34</v>
      </c>
      <c r="E361" s="47"/>
      <c r="F361" s="52">
        <v>1860</v>
      </c>
      <c r="G361" s="53"/>
      <c r="H361" s="53"/>
      <c r="I361" s="50"/>
    </row>
    <row r="362" spans="2:11" ht="15.75" thickBot="1" x14ac:dyDescent="0.65">
      <c r="D362" s="56" t="s">
        <v>35</v>
      </c>
      <c r="E362" s="56"/>
      <c r="F362" s="57">
        <f>SUM(F357:F361)</f>
        <v>81550</v>
      </c>
      <c r="G362" s="58">
        <f>+I354-F362</f>
        <v>0</v>
      </c>
      <c r="H362" s="58"/>
      <c r="I362" s="50"/>
    </row>
    <row r="363" spans="2:11" ht="15" thickTop="1" thickBot="1" x14ac:dyDescent="0.5"/>
    <row r="364" spans="2:11" ht="21.4" thickBot="1" x14ac:dyDescent="0.7">
      <c r="B364" s="1" t="s">
        <v>236</v>
      </c>
      <c r="C364" s="1"/>
      <c r="D364" s="2"/>
      <c r="E364" s="1"/>
      <c r="F364" s="1"/>
      <c r="G364" s="1"/>
      <c r="H364" s="1"/>
      <c r="I364" s="1"/>
      <c r="J364" s="1"/>
      <c r="K364" s="3"/>
    </row>
    <row r="365" spans="2:11" ht="24.4" thickBot="1" x14ac:dyDescent="0.55000000000000004">
      <c r="B365" s="4" t="s">
        <v>1</v>
      </c>
      <c r="C365" s="5" t="s">
        <v>2</v>
      </c>
      <c r="D365" s="5" t="s">
        <v>3</v>
      </c>
      <c r="E365" s="5" t="s">
        <v>4</v>
      </c>
      <c r="F365" s="6" t="s">
        <v>5</v>
      </c>
      <c r="G365" s="6" t="s">
        <v>6</v>
      </c>
      <c r="H365" s="6" t="s">
        <v>7</v>
      </c>
      <c r="I365" s="7" t="s">
        <v>8</v>
      </c>
      <c r="J365" s="5" t="s">
        <v>9</v>
      </c>
      <c r="K365" s="8" t="s">
        <v>10</v>
      </c>
    </row>
    <row r="366" spans="2:11" x14ac:dyDescent="0.45">
      <c r="B366" s="9">
        <v>1</v>
      </c>
      <c r="C366" s="10">
        <v>46246</v>
      </c>
      <c r="D366" s="21" t="s">
        <v>122</v>
      </c>
      <c r="E366" s="30"/>
      <c r="F366" s="31"/>
      <c r="G366" s="32">
        <v>4500</v>
      </c>
      <c r="H366" s="32">
        <v>0</v>
      </c>
      <c r="I366" s="68">
        <f>+G366-H366</f>
        <v>4500</v>
      </c>
      <c r="J366" s="17"/>
      <c r="K366" s="18">
        <v>29004</v>
      </c>
    </row>
    <row r="367" spans="2:11" x14ac:dyDescent="0.45">
      <c r="B367" s="19">
        <f>+B366+1</f>
        <v>2</v>
      </c>
      <c r="C367" s="10">
        <v>46246</v>
      </c>
      <c r="D367" s="63" t="s">
        <v>237</v>
      </c>
      <c r="E367" s="22"/>
      <c r="F367" s="23"/>
      <c r="G367" s="32">
        <v>2000</v>
      </c>
      <c r="H367" s="32">
        <v>1000</v>
      </c>
      <c r="I367" s="52">
        <f t="shared" ref="I367:I384" si="26">+G367-H367</f>
        <v>1000</v>
      </c>
      <c r="J367" s="26"/>
      <c r="K367" s="18">
        <f>+K366+1</f>
        <v>29005</v>
      </c>
    </row>
    <row r="368" spans="2:11" x14ac:dyDescent="0.45">
      <c r="B368" s="19">
        <f t="shared" ref="B368:B384" si="27">+B367+1</f>
        <v>3</v>
      </c>
      <c r="C368" s="10">
        <v>46246</v>
      </c>
      <c r="D368" s="21" t="s">
        <v>238</v>
      </c>
      <c r="E368" s="22"/>
      <c r="F368" s="23"/>
      <c r="G368" s="32">
        <v>5900</v>
      </c>
      <c r="H368" s="32">
        <v>1200</v>
      </c>
      <c r="I368" s="52">
        <f t="shared" si="26"/>
        <v>4700</v>
      </c>
      <c r="J368" s="26"/>
      <c r="K368" s="18">
        <f t="shared" ref="K368:K384" si="28">+K367+1</f>
        <v>29006</v>
      </c>
    </row>
    <row r="369" spans="2:11" x14ac:dyDescent="0.45">
      <c r="B369" s="19">
        <f t="shared" si="27"/>
        <v>4</v>
      </c>
      <c r="C369" s="10">
        <v>46246</v>
      </c>
      <c r="D369" s="21" t="s">
        <v>239</v>
      </c>
      <c r="E369" s="22"/>
      <c r="F369" s="23"/>
      <c r="G369" s="32">
        <v>1700</v>
      </c>
      <c r="H369" s="32">
        <v>0</v>
      </c>
      <c r="I369" s="52">
        <f t="shared" si="26"/>
        <v>1700</v>
      </c>
      <c r="J369" s="27"/>
      <c r="K369" s="18">
        <f t="shared" si="28"/>
        <v>29007</v>
      </c>
    </row>
    <row r="370" spans="2:11" x14ac:dyDescent="0.45">
      <c r="B370" s="19">
        <f t="shared" si="27"/>
        <v>5</v>
      </c>
      <c r="C370" s="10">
        <v>46246</v>
      </c>
      <c r="D370" s="21" t="s">
        <v>240</v>
      </c>
      <c r="E370" s="22"/>
      <c r="F370" s="23"/>
      <c r="G370" s="32">
        <v>1900</v>
      </c>
      <c r="H370" s="32">
        <v>570</v>
      </c>
      <c r="I370" s="52">
        <f t="shared" si="26"/>
        <v>1330</v>
      </c>
      <c r="J370" s="28"/>
      <c r="K370" s="18">
        <f t="shared" si="28"/>
        <v>29008</v>
      </c>
    </row>
    <row r="371" spans="2:11" x14ac:dyDescent="0.45">
      <c r="B371" s="19">
        <f t="shared" si="27"/>
        <v>6</v>
      </c>
      <c r="C371" s="10">
        <v>46246</v>
      </c>
      <c r="D371" s="21" t="s">
        <v>241</v>
      </c>
      <c r="E371" s="22"/>
      <c r="F371" s="23"/>
      <c r="G371" s="32">
        <v>6600</v>
      </c>
      <c r="H371" s="32">
        <v>2700</v>
      </c>
      <c r="I371" s="52">
        <f t="shared" si="26"/>
        <v>3900</v>
      </c>
      <c r="J371" s="27"/>
      <c r="K371" s="18">
        <f t="shared" si="28"/>
        <v>29009</v>
      </c>
    </row>
    <row r="372" spans="2:11" x14ac:dyDescent="0.45">
      <c r="B372" s="19">
        <f t="shared" si="27"/>
        <v>7</v>
      </c>
      <c r="C372" s="10">
        <v>46246</v>
      </c>
      <c r="D372" s="21" t="s">
        <v>242</v>
      </c>
      <c r="E372" s="22"/>
      <c r="F372" s="23"/>
      <c r="G372" s="32">
        <v>4900</v>
      </c>
      <c r="H372" s="32">
        <v>1200</v>
      </c>
      <c r="I372" s="52">
        <f t="shared" si="26"/>
        <v>3700</v>
      </c>
      <c r="J372" s="27"/>
      <c r="K372" s="18">
        <f t="shared" si="28"/>
        <v>29010</v>
      </c>
    </row>
    <row r="373" spans="2:11" x14ac:dyDescent="0.45">
      <c r="B373" s="19">
        <f t="shared" si="27"/>
        <v>8</v>
      </c>
      <c r="C373" s="10">
        <v>46246</v>
      </c>
      <c r="D373" s="21" t="s">
        <v>243</v>
      </c>
      <c r="E373" s="22"/>
      <c r="F373" s="23"/>
      <c r="G373" s="32">
        <v>100</v>
      </c>
      <c r="H373" s="32">
        <v>0</v>
      </c>
      <c r="I373" s="52">
        <f t="shared" si="26"/>
        <v>100</v>
      </c>
      <c r="J373" s="27"/>
      <c r="K373" s="18">
        <f t="shared" si="28"/>
        <v>29011</v>
      </c>
    </row>
    <row r="374" spans="2:11" x14ac:dyDescent="0.45">
      <c r="B374" s="19">
        <f t="shared" si="27"/>
        <v>9</v>
      </c>
      <c r="C374" s="10">
        <v>46246</v>
      </c>
      <c r="D374" s="21" t="s">
        <v>244</v>
      </c>
      <c r="E374" s="22"/>
      <c r="F374" s="23"/>
      <c r="G374" s="32">
        <v>1900</v>
      </c>
      <c r="H374" s="32">
        <v>0</v>
      </c>
      <c r="I374" s="52">
        <f t="shared" si="26"/>
        <v>1900</v>
      </c>
      <c r="J374" s="27"/>
      <c r="K374" s="18">
        <f t="shared" si="28"/>
        <v>29012</v>
      </c>
    </row>
    <row r="375" spans="2:11" x14ac:dyDescent="0.45">
      <c r="B375" s="19">
        <f t="shared" si="27"/>
        <v>10</v>
      </c>
      <c r="C375" s="10">
        <v>46246</v>
      </c>
      <c r="D375" s="21" t="s">
        <v>48</v>
      </c>
      <c r="E375" s="22"/>
      <c r="F375" s="23"/>
      <c r="G375" s="32">
        <v>440</v>
      </c>
      <c r="H375" s="32">
        <v>0</v>
      </c>
      <c r="I375" s="52">
        <f t="shared" si="26"/>
        <v>440</v>
      </c>
      <c r="J375" s="27"/>
      <c r="K375" s="18">
        <f t="shared" si="28"/>
        <v>29013</v>
      </c>
    </row>
    <row r="376" spans="2:11" x14ac:dyDescent="0.45">
      <c r="B376" s="19">
        <f t="shared" si="27"/>
        <v>11</v>
      </c>
      <c r="C376" s="10">
        <v>46246</v>
      </c>
      <c r="D376" s="21" t="s">
        <v>245</v>
      </c>
      <c r="E376" s="22"/>
      <c r="F376" s="33"/>
      <c r="G376" s="32">
        <v>1800</v>
      </c>
      <c r="H376" s="32">
        <v>0</v>
      </c>
      <c r="I376" s="52">
        <f t="shared" si="26"/>
        <v>1800</v>
      </c>
      <c r="J376" s="28"/>
      <c r="K376" s="18">
        <f t="shared" si="28"/>
        <v>29014</v>
      </c>
    </row>
    <row r="377" spans="2:11" x14ac:dyDescent="0.45">
      <c r="B377" s="19">
        <f t="shared" si="27"/>
        <v>12</v>
      </c>
      <c r="C377" s="10">
        <v>46246</v>
      </c>
      <c r="D377" s="21" t="s">
        <v>246</v>
      </c>
      <c r="E377" s="22"/>
      <c r="F377" s="22"/>
      <c r="G377" s="32">
        <v>1800</v>
      </c>
      <c r="H377" s="32">
        <v>400</v>
      </c>
      <c r="I377" s="52">
        <f t="shared" si="26"/>
        <v>1400</v>
      </c>
      <c r="J377" s="27"/>
      <c r="K377" s="18">
        <f t="shared" si="28"/>
        <v>29015</v>
      </c>
    </row>
    <row r="378" spans="2:11" x14ac:dyDescent="0.45">
      <c r="B378" s="19">
        <f t="shared" si="27"/>
        <v>13</v>
      </c>
      <c r="C378" s="10">
        <v>46246</v>
      </c>
      <c r="D378" s="21" t="s">
        <v>247</v>
      </c>
      <c r="E378" s="22"/>
      <c r="F378" s="22"/>
      <c r="G378" s="32">
        <v>1900</v>
      </c>
      <c r="H378" s="32">
        <v>0</v>
      </c>
      <c r="I378" s="52">
        <f t="shared" si="26"/>
        <v>1900</v>
      </c>
      <c r="J378" s="27"/>
      <c r="K378" s="18">
        <f t="shared" si="28"/>
        <v>29016</v>
      </c>
    </row>
    <row r="379" spans="2:11" x14ac:dyDescent="0.45">
      <c r="B379" s="19">
        <f t="shared" si="27"/>
        <v>14</v>
      </c>
      <c r="C379" s="10">
        <v>46246</v>
      </c>
      <c r="D379" s="21" t="s">
        <v>248</v>
      </c>
      <c r="E379" s="22"/>
      <c r="F379" s="22"/>
      <c r="G379" s="32">
        <v>1800</v>
      </c>
      <c r="H379" s="32">
        <v>200</v>
      </c>
      <c r="I379" s="52">
        <f t="shared" si="26"/>
        <v>1600</v>
      </c>
      <c r="J379" s="27"/>
      <c r="K379" s="18">
        <f t="shared" si="28"/>
        <v>29017</v>
      </c>
    </row>
    <row r="380" spans="2:11" x14ac:dyDescent="0.45">
      <c r="B380" s="19">
        <f t="shared" si="27"/>
        <v>15</v>
      </c>
      <c r="C380" s="10">
        <v>46246</v>
      </c>
      <c r="D380" s="21" t="s">
        <v>249</v>
      </c>
      <c r="E380" s="22"/>
      <c r="F380" s="22"/>
      <c r="G380" s="32">
        <v>2500</v>
      </c>
      <c r="H380" s="32">
        <v>200</v>
      </c>
      <c r="I380" s="52">
        <f t="shared" si="26"/>
        <v>2300</v>
      </c>
      <c r="J380" s="27"/>
      <c r="K380" s="18">
        <f t="shared" si="28"/>
        <v>29018</v>
      </c>
    </row>
    <row r="381" spans="2:11" x14ac:dyDescent="0.45">
      <c r="B381" s="19">
        <f t="shared" si="27"/>
        <v>16</v>
      </c>
      <c r="C381" s="10">
        <v>46246</v>
      </c>
      <c r="D381" s="21" t="s">
        <v>250</v>
      </c>
      <c r="E381" s="22"/>
      <c r="F381" s="22"/>
      <c r="G381" s="32">
        <v>4900</v>
      </c>
      <c r="H381" s="32">
        <v>200</v>
      </c>
      <c r="I381" s="52">
        <f t="shared" si="26"/>
        <v>4700</v>
      </c>
      <c r="J381" s="27"/>
      <c r="K381" s="18">
        <f t="shared" si="28"/>
        <v>29019</v>
      </c>
    </row>
    <row r="382" spans="2:11" x14ac:dyDescent="0.45">
      <c r="B382" s="19">
        <f t="shared" si="27"/>
        <v>17</v>
      </c>
      <c r="C382" s="10">
        <v>46246</v>
      </c>
      <c r="D382" s="21" t="s">
        <v>251</v>
      </c>
      <c r="E382" s="22"/>
      <c r="F382" s="22"/>
      <c r="G382" s="32">
        <v>2800</v>
      </c>
      <c r="H382" s="32">
        <v>840</v>
      </c>
      <c r="I382" s="52">
        <f t="shared" si="26"/>
        <v>1960</v>
      </c>
      <c r="J382" s="27"/>
      <c r="K382" s="18">
        <f t="shared" si="28"/>
        <v>29020</v>
      </c>
    </row>
    <row r="383" spans="2:11" x14ac:dyDescent="0.45">
      <c r="B383" s="19">
        <f t="shared" si="27"/>
        <v>18</v>
      </c>
      <c r="C383" s="10">
        <v>46246</v>
      </c>
      <c r="D383" s="21" t="s">
        <v>106</v>
      </c>
      <c r="E383" s="22"/>
      <c r="F383" s="22"/>
      <c r="G383" s="32">
        <v>880</v>
      </c>
      <c r="H383" s="32">
        <v>0</v>
      </c>
      <c r="I383" s="52">
        <f t="shared" si="26"/>
        <v>880</v>
      </c>
      <c r="J383" s="27"/>
      <c r="K383" s="18">
        <f t="shared" si="28"/>
        <v>29021</v>
      </c>
    </row>
    <row r="384" spans="2:11" x14ac:dyDescent="0.45">
      <c r="B384" s="19">
        <f t="shared" si="27"/>
        <v>19</v>
      </c>
      <c r="C384" s="10">
        <v>46246</v>
      </c>
      <c r="D384" s="21" t="s">
        <v>252</v>
      </c>
      <c r="E384" s="22"/>
      <c r="F384" s="22"/>
      <c r="G384" s="32">
        <v>220</v>
      </c>
      <c r="H384" s="32">
        <v>0</v>
      </c>
      <c r="I384" s="52">
        <f t="shared" si="26"/>
        <v>220</v>
      </c>
      <c r="J384" s="27"/>
      <c r="K384" s="18">
        <f t="shared" si="28"/>
        <v>29022</v>
      </c>
    </row>
    <row r="385" spans="2:11" ht="14.65" thickBot="1" x14ac:dyDescent="0.5">
      <c r="F385" s="38" t="s">
        <v>26</v>
      </c>
      <c r="G385" s="39">
        <f>SUM(G366:G384)</f>
        <v>48540</v>
      </c>
      <c r="H385" s="39">
        <f>SUM(H366:H384)</f>
        <v>8510</v>
      </c>
      <c r="I385" s="39">
        <f>SUM(I366:I384)</f>
        <v>40030</v>
      </c>
      <c r="K385" s="41"/>
    </row>
    <row r="387" spans="2:11" ht="15.75" x14ac:dyDescent="0.5">
      <c r="D387" s="42" t="s">
        <v>28</v>
      </c>
      <c r="E387" s="42"/>
      <c r="F387" s="43" t="s">
        <v>29</v>
      </c>
      <c r="G387" s="44"/>
      <c r="H387" s="44"/>
      <c r="I387" s="45"/>
      <c r="J387" s="46"/>
    </row>
    <row r="388" spans="2:11" x14ac:dyDescent="0.45">
      <c r="D388" s="47" t="s">
        <v>30</v>
      </c>
      <c r="E388" s="47"/>
      <c r="F388" s="48">
        <v>22130</v>
      </c>
      <c r="G388" s="49"/>
      <c r="H388" s="49"/>
      <c r="I388" s="50"/>
      <c r="K388" s="51"/>
    </row>
    <row r="389" spans="2:11" x14ac:dyDescent="0.45">
      <c r="D389" s="47" t="s">
        <v>31</v>
      </c>
      <c r="E389" s="47"/>
      <c r="F389" s="52">
        <v>0</v>
      </c>
      <c r="G389" s="53"/>
      <c r="H389" s="53"/>
      <c r="I389" s="50"/>
    </row>
    <row r="390" spans="2:11" x14ac:dyDescent="0.45">
      <c r="D390" s="47" t="s">
        <v>32</v>
      </c>
      <c r="E390" s="47"/>
      <c r="F390" s="54">
        <v>12860</v>
      </c>
      <c r="G390" s="55"/>
      <c r="H390" s="55"/>
      <c r="J390" s="46"/>
    </row>
    <row r="391" spans="2:11" x14ac:dyDescent="0.45">
      <c r="D391" s="47" t="s">
        <v>33</v>
      </c>
      <c r="E391" s="47"/>
      <c r="F391" s="54">
        <v>540</v>
      </c>
      <c r="G391" s="55"/>
      <c r="H391" s="55"/>
      <c r="I391" s="50"/>
    </row>
    <row r="392" spans="2:11" x14ac:dyDescent="0.45">
      <c r="D392" s="47" t="s">
        <v>34</v>
      </c>
      <c r="E392" s="47"/>
      <c r="F392" s="52">
        <v>4500</v>
      </c>
      <c r="G392" s="53"/>
      <c r="H392" s="53"/>
      <c r="I392" s="50"/>
    </row>
    <row r="393" spans="2:11" ht="15.75" thickBot="1" x14ac:dyDescent="0.65">
      <c r="D393" s="56" t="s">
        <v>35</v>
      </c>
      <c r="E393" s="56"/>
      <c r="F393" s="57">
        <f>SUM(F388:F392)</f>
        <v>40030</v>
      </c>
      <c r="G393" s="58">
        <f>+I385-F393</f>
        <v>0</v>
      </c>
      <c r="H393" s="58"/>
      <c r="I393" s="50"/>
    </row>
    <row r="394" spans="2:11" ht="14.65" thickTop="1" x14ac:dyDescent="0.45"/>
    <row r="395" spans="2:11" ht="15.75" thickBot="1" x14ac:dyDescent="0.65">
      <c r="D395" s="64"/>
      <c r="E395" s="64"/>
      <c r="F395" s="65"/>
      <c r="G395" s="58"/>
      <c r="H395" s="58"/>
      <c r="I395" s="50"/>
    </row>
    <row r="396" spans="2:11" ht="21.4" thickBot="1" x14ac:dyDescent="0.7">
      <c r="B396" s="1" t="s">
        <v>253</v>
      </c>
      <c r="C396" s="1"/>
      <c r="D396" s="2"/>
      <c r="E396" s="1"/>
      <c r="F396" s="1"/>
      <c r="G396" s="1"/>
      <c r="H396" s="1"/>
      <c r="I396" s="1"/>
      <c r="J396" s="1"/>
      <c r="K396" s="3"/>
    </row>
    <row r="397" spans="2:11" ht="24.4" thickBot="1" x14ac:dyDescent="0.55000000000000004">
      <c r="B397" s="4" t="s">
        <v>1</v>
      </c>
      <c r="C397" s="5" t="s">
        <v>2</v>
      </c>
      <c r="D397" s="5" t="s">
        <v>3</v>
      </c>
      <c r="E397" s="5" t="s">
        <v>4</v>
      </c>
      <c r="F397" s="6" t="s">
        <v>5</v>
      </c>
      <c r="G397" s="6" t="s">
        <v>6</v>
      </c>
      <c r="H397" s="6" t="s">
        <v>7</v>
      </c>
      <c r="I397" s="7" t="s">
        <v>8</v>
      </c>
      <c r="J397" s="5" t="s">
        <v>9</v>
      </c>
      <c r="K397" s="8" t="s">
        <v>10</v>
      </c>
    </row>
    <row r="398" spans="2:11" x14ac:dyDescent="0.45">
      <c r="B398" s="9">
        <v>1</v>
      </c>
      <c r="C398" s="10">
        <v>46247</v>
      </c>
      <c r="D398" s="11" t="s">
        <v>50</v>
      </c>
      <c r="E398" s="30"/>
      <c r="F398" s="31"/>
      <c r="G398" s="32">
        <v>2240</v>
      </c>
      <c r="H398" s="32">
        <v>300</v>
      </c>
      <c r="I398" s="68">
        <f>+G398-H398</f>
        <v>1940</v>
      </c>
      <c r="J398" s="17"/>
      <c r="K398" s="18">
        <v>29023</v>
      </c>
    </row>
    <row r="399" spans="2:11" x14ac:dyDescent="0.45">
      <c r="B399" s="19">
        <f>+B398+1</f>
        <v>2</v>
      </c>
      <c r="C399" s="10">
        <v>46247</v>
      </c>
      <c r="D399" s="63" t="s">
        <v>254</v>
      </c>
      <c r="E399" s="22"/>
      <c r="F399" s="23"/>
      <c r="G399" s="32">
        <v>4900</v>
      </c>
      <c r="H399" s="32">
        <v>1000</v>
      </c>
      <c r="I399" s="52">
        <f t="shared" ref="I399:I435" si="29">+G399-H399</f>
        <v>3900</v>
      </c>
      <c r="J399" s="26"/>
      <c r="K399" s="18">
        <f>+K398+1</f>
        <v>29024</v>
      </c>
    </row>
    <row r="400" spans="2:11" x14ac:dyDescent="0.45">
      <c r="B400" s="19">
        <f t="shared" ref="B400:B435" si="30">+B399+1</f>
        <v>3</v>
      </c>
      <c r="C400" s="10">
        <v>46247</v>
      </c>
      <c r="D400" s="21" t="s">
        <v>255</v>
      </c>
      <c r="E400" s="22"/>
      <c r="F400" s="23"/>
      <c r="G400" s="32">
        <v>4900</v>
      </c>
      <c r="H400" s="32">
        <v>200</v>
      </c>
      <c r="I400" s="52">
        <f t="shared" si="29"/>
        <v>4700</v>
      </c>
      <c r="J400" s="26"/>
      <c r="K400" s="18">
        <f t="shared" ref="K400:K435" si="31">+K399+1</f>
        <v>29025</v>
      </c>
    </row>
    <row r="401" spans="2:11" x14ac:dyDescent="0.45">
      <c r="B401" s="19">
        <f t="shared" si="30"/>
        <v>4</v>
      </c>
      <c r="C401" s="10">
        <v>46247</v>
      </c>
      <c r="D401" s="21" t="s">
        <v>256</v>
      </c>
      <c r="E401" s="22"/>
      <c r="F401" s="23"/>
      <c r="G401" s="32">
        <v>1700</v>
      </c>
      <c r="H401" s="32">
        <v>200</v>
      </c>
      <c r="I401" s="52">
        <f t="shared" si="29"/>
        <v>1500</v>
      </c>
      <c r="J401" s="27"/>
      <c r="K401" s="18">
        <f t="shared" si="31"/>
        <v>29026</v>
      </c>
    </row>
    <row r="402" spans="2:11" x14ac:dyDescent="0.45">
      <c r="B402" s="19">
        <f t="shared" si="30"/>
        <v>5</v>
      </c>
      <c r="C402" s="10">
        <v>46247</v>
      </c>
      <c r="D402" s="21" t="s">
        <v>257</v>
      </c>
      <c r="E402" s="22"/>
      <c r="F402" s="23"/>
      <c r="G402" s="32">
        <v>1700</v>
      </c>
      <c r="H402" s="32">
        <v>200</v>
      </c>
      <c r="I402" s="52">
        <f t="shared" si="29"/>
        <v>1500</v>
      </c>
      <c r="J402" s="28"/>
      <c r="K402" s="18">
        <f t="shared" si="31"/>
        <v>29027</v>
      </c>
    </row>
    <row r="403" spans="2:11" x14ac:dyDescent="0.45">
      <c r="B403" s="19">
        <f t="shared" si="30"/>
        <v>6</v>
      </c>
      <c r="C403" s="10">
        <v>46247</v>
      </c>
      <c r="D403" s="21" t="s">
        <v>258</v>
      </c>
      <c r="E403" s="22"/>
      <c r="F403" s="23"/>
      <c r="G403" s="32">
        <v>1700</v>
      </c>
      <c r="H403" s="32">
        <v>510</v>
      </c>
      <c r="I403" s="52">
        <f t="shared" si="29"/>
        <v>1190</v>
      </c>
      <c r="J403" s="27"/>
      <c r="K403" s="18">
        <f t="shared" si="31"/>
        <v>29028</v>
      </c>
    </row>
    <row r="404" spans="2:11" x14ac:dyDescent="0.45">
      <c r="B404" s="19">
        <f t="shared" si="30"/>
        <v>7</v>
      </c>
      <c r="C404" s="10">
        <v>46247</v>
      </c>
      <c r="D404" s="21" t="s">
        <v>259</v>
      </c>
      <c r="E404" s="22"/>
      <c r="F404" s="23"/>
      <c r="G404" s="32">
        <v>100</v>
      </c>
      <c r="H404" s="32">
        <v>0</v>
      </c>
      <c r="I404" s="52">
        <f t="shared" si="29"/>
        <v>100</v>
      </c>
      <c r="J404" s="27"/>
      <c r="K404" s="18">
        <f t="shared" si="31"/>
        <v>29029</v>
      </c>
    </row>
    <row r="405" spans="2:11" x14ac:dyDescent="0.45">
      <c r="B405" s="19">
        <f t="shared" si="30"/>
        <v>8</v>
      </c>
      <c r="C405" s="10">
        <v>46247</v>
      </c>
      <c r="D405" s="21" t="s">
        <v>260</v>
      </c>
      <c r="E405" s="22"/>
      <c r="F405" s="23"/>
      <c r="G405" s="32">
        <v>4900</v>
      </c>
      <c r="H405" s="32">
        <v>4900</v>
      </c>
      <c r="I405" s="52">
        <f t="shared" si="29"/>
        <v>0</v>
      </c>
      <c r="J405" s="27"/>
      <c r="K405" s="18">
        <f t="shared" si="31"/>
        <v>29030</v>
      </c>
    </row>
    <row r="406" spans="2:11" x14ac:dyDescent="0.45">
      <c r="B406" s="19">
        <f t="shared" si="30"/>
        <v>9</v>
      </c>
      <c r="C406" s="10">
        <v>46247</v>
      </c>
      <c r="D406" s="21" t="s">
        <v>144</v>
      </c>
      <c r="E406" s="22"/>
      <c r="F406" s="23"/>
      <c r="G406" s="32">
        <v>220</v>
      </c>
      <c r="H406" s="32">
        <v>0</v>
      </c>
      <c r="I406" s="52">
        <f t="shared" si="29"/>
        <v>220</v>
      </c>
      <c r="J406" s="27"/>
      <c r="K406" s="18">
        <f t="shared" si="31"/>
        <v>29031</v>
      </c>
    </row>
    <row r="407" spans="2:11" x14ac:dyDescent="0.45">
      <c r="B407" s="19">
        <f t="shared" si="30"/>
        <v>10</v>
      </c>
      <c r="C407" s="10">
        <v>46247</v>
      </c>
      <c r="D407" s="21" t="s">
        <v>261</v>
      </c>
      <c r="E407" s="22"/>
      <c r="F407" s="23"/>
      <c r="G407" s="32">
        <v>1700</v>
      </c>
      <c r="H407" s="32">
        <v>200</v>
      </c>
      <c r="I407" s="52">
        <f t="shared" si="29"/>
        <v>1500</v>
      </c>
      <c r="J407" s="27"/>
      <c r="K407" s="18">
        <f t="shared" si="31"/>
        <v>29032</v>
      </c>
    </row>
    <row r="408" spans="2:11" x14ac:dyDescent="0.45">
      <c r="B408" s="19">
        <f t="shared" si="30"/>
        <v>11</v>
      </c>
      <c r="C408" s="10">
        <v>46247</v>
      </c>
      <c r="D408" s="21" t="s">
        <v>262</v>
      </c>
      <c r="E408" s="22"/>
      <c r="F408" s="33"/>
      <c r="G408" s="32">
        <v>2000</v>
      </c>
      <c r="H408" s="32">
        <v>600</v>
      </c>
      <c r="I408" s="52">
        <f t="shared" si="29"/>
        <v>1400</v>
      </c>
      <c r="J408" s="28"/>
      <c r="K408" s="18">
        <f t="shared" si="31"/>
        <v>29033</v>
      </c>
    </row>
    <row r="409" spans="2:11" x14ac:dyDescent="0.45">
      <c r="B409" s="19">
        <f t="shared" si="30"/>
        <v>12</v>
      </c>
      <c r="C409" s="10">
        <v>46247</v>
      </c>
      <c r="D409" s="21" t="s">
        <v>263</v>
      </c>
      <c r="E409" s="22"/>
      <c r="F409" s="22"/>
      <c r="G409" s="32">
        <f>3500*7</f>
        <v>24500</v>
      </c>
      <c r="H409" s="32">
        <f>900*7</f>
        <v>6300</v>
      </c>
      <c r="I409" s="52">
        <f t="shared" si="29"/>
        <v>18200</v>
      </c>
      <c r="J409" s="27"/>
      <c r="K409" s="18">
        <f t="shared" si="31"/>
        <v>29034</v>
      </c>
    </row>
    <row r="410" spans="2:11" x14ac:dyDescent="0.45">
      <c r="B410" s="19">
        <f t="shared" si="30"/>
        <v>13</v>
      </c>
      <c r="C410" s="10">
        <v>46247</v>
      </c>
      <c r="D410" s="21" t="s">
        <v>130</v>
      </c>
      <c r="E410" s="22"/>
      <c r="F410" s="22"/>
      <c r="G410" s="32">
        <v>1900</v>
      </c>
      <c r="H410" s="32">
        <v>900</v>
      </c>
      <c r="I410" s="52">
        <f t="shared" si="29"/>
        <v>1000</v>
      </c>
      <c r="J410" s="27"/>
      <c r="K410" s="18">
        <f t="shared" si="31"/>
        <v>29035</v>
      </c>
    </row>
    <row r="411" spans="2:11" x14ac:dyDescent="0.45">
      <c r="B411" s="19">
        <f t="shared" si="30"/>
        <v>14</v>
      </c>
      <c r="C411" s="10">
        <v>46247</v>
      </c>
      <c r="D411" s="21" t="s">
        <v>142</v>
      </c>
      <c r="E411" s="22"/>
      <c r="F411" s="22"/>
      <c r="G411" s="32">
        <v>100</v>
      </c>
      <c r="H411" s="32">
        <v>0</v>
      </c>
      <c r="I411" s="52">
        <f t="shared" si="29"/>
        <v>100</v>
      </c>
      <c r="J411" s="27"/>
      <c r="K411" s="18">
        <f t="shared" si="31"/>
        <v>29036</v>
      </c>
    </row>
    <row r="412" spans="2:11" x14ac:dyDescent="0.45">
      <c r="B412" s="19">
        <f t="shared" si="30"/>
        <v>15</v>
      </c>
      <c r="C412" s="10">
        <v>46247</v>
      </c>
      <c r="D412" s="21" t="s">
        <v>264</v>
      </c>
      <c r="E412" s="22"/>
      <c r="F412" s="22"/>
      <c r="G412" s="32">
        <v>1900</v>
      </c>
      <c r="H412" s="32">
        <v>570</v>
      </c>
      <c r="I412" s="52">
        <f t="shared" si="29"/>
        <v>1330</v>
      </c>
      <c r="J412" s="27"/>
      <c r="K412" s="18">
        <f t="shared" si="31"/>
        <v>29037</v>
      </c>
    </row>
    <row r="413" spans="2:11" x14ac:dyDescent="0.45">
      <c r="B413" s="19">
        <f t="shared" si="30"/>
        <v>16</v>
      </c>
      <c r="C413" s="10">
        <v>46247</v>
      </c>
      <c r="D413" s="21" t="s">
        <v>131</v>
      </c>
      <c r="E413" s="22"/>
      <c r="F413" s="22"/>
      <c r="G413" s="32">
        <v>60760</v>
      </c>
      <c r="H413" s="32">
        <v>10000</v>
      </c>
      <c r="I413" s="52">
        <f t="shared" si="29"/>
        <v>50760</v>
      </c>
      <c r="J413" s="27"/>
      <c r="K413" s="18">
        <f t="shared" si="31"/>
        <v>29038</v>
      </c>
    </row>
    <row r="414" spans="2:11" x14ac:dyDescent="0.45">
      <c r="B414" s="19">
        <f t="shared" si="30"/>
        <v>17</v>
      </c>
      <c r="C414" s="10">
        <v>46247</v>
      </c>
      <c r="D414" s="21" t="s">
        <v>110</v>
      </c>
      <c r="E414" s="22"/>
      <c r="F414" s="22"/>
      <c r="G414" s="32">
        <v>880</v>
      </c>
      <c r="H414" s="32">
        <v>0</v>
      </c>
      <c r="I414" s="52">
        <f t="shared" si="29"/>
        <v>880</v>
      </c>
      <c r="J414" s="27"/>
      <c r="K414" s="18">
        <f t="shared" si="31"/>
        <v>29039</v>
      </c>
    </row>
    <row r="415" spans="2:11" x14ac:dyDescent="0.45">
      <c r="B415" s="19">
        <f t="shared" si="30"/>
        <v>18</v>
      </c>
      <c r="C415" s="10">
        <v>46247</v>
      </c>
      <c r="D415" s="21" t="s">
        <v>18</v>
      </c>
      <c r="E415" s="22"/>
      <c r="F415" s="22"/>
      <c r="G415" s="32">
        <v>880</v>
      </c>
      <c r="H415" s="32">
        <v>0</v>
      </c>
      <c r="I415" s="52">
        <f t="shared" si="29"/>
        <v>880</v>
      </c>
      <c r="J415" s="27"/>
      <c r="K415" s="18">
        <f t="shared" si="31"/>
        <v>29040</v>
      </c>
    </row>
    <row r="416" spans="2:11" x14ac:dyDescent="0.45">
      <c r="B416" s="19">
        <f t="shared" si="30"/>
        <v>19</v>
      </c>
      <c r="C416" s="10">
        <v>46247</v>
      </c>
      <c r="D416" s="21" t="s">
        <v>265</v>
      </c>
      <c r="E416" s="22"/>
      <c r="F416" s="22"/>
      <c r="G416" s="32">
        <v>1900</v>
      </c>
      <c r="H416" s="32">
        <v>0</v>
      </c>
      <c r="I416" s="52">
        <f t="shared" si="29"/>
        <v>1900</v>
      </c>
      <c r="J416" s="27"/>
      <c r="K416" s="18">
        <f t="shared" si="31"/>
        <v>29041</v>
      </c>
    </row>
    <row r="417" spans="2:11" x14ac:dyDescent="0.45">
      <c r="B417" s="19">
        <f t="shared" si="30"/>
        <v>20</v>
      </c>
      <c r="C417" s="10">
        <v>46247</v>
      </c>
      <c r="D417" s="21" t="s">
        <v>266</v>
      </c>
      <c r="E417" s="22"/>
      <c r="F417" s="22"/>
      <c r="G417" s="32">
        <v>1900</v>
      </c>
      <c r="H417" s="32">
        <v>570</v>
      </c>
      <c r="I417" s="52">
        <f t="shared" si="29"/>
        <v>1330</v>
      </c>
      <c r="J417" s="27"/>
      <c r="K417" s="18">
        <f t="shared" si="31"/>
        <v>29042</v>
      </c>
    </row>
    <row r="418" spans="2:11" x14ac:dyDescent="0.45">
      <c r="B418" s="19">
        <f t="shared" si="30"/>
        <v>21</v>
      </c>
      <c r="C418" s="10">
        <v>46247</v>
      </c>
      <c r="D418" s="21" t="s">
        <v>267</v>
      </c>
      <c r="E418" s="22"/>
      <c r="F418" s="22"/>
      <c r="G418" s="32">
        <v>1700</v>
      </c>
      <c r="H418" s="32">
        <v>0</v>
      </c>
      <c r="I418" s="52">
        <f t="shared" si="29"/>
        <v>1700</v>
      </c>
      <c r="J418" s="27"/>
      <c r="K418" s="18">
        <f t="shared" si="31"/>
        <v>29043</v>
      </c>
    </row>
    <row r="419" spans="2:11" x14ac:dyDescent="0.45">
      <c r="B419" s="19">
        <f t="shared" si="30"/>
        <v>22</v>
      </c>
      <c r="C419" s="10">
        <v>46247</v>
      </c>
      <c r="D419" s="21" t="s">
        <v>268</v>
      </c>
      <c r="E419" s="22"/>
      <c r="F419" s="22"/>
      <c r="G419" s="32">
        <v>4900</v>
      </c>
      <c r="H419" s="32">
        <v>1960</v>
      </c>
      <c r="I419" s="52">
        <f t="shared" si="29"/>
        <v>2940</v>
      </c>
      <c r="J419" s="27"/>
      <c r="K419" s="18">
        <f t="shared" si="31"/>
        <v>29044</v>
      </c>
    </row>
    <row r="420" spans="2:11" x14ac:dyDescent="0.45">
      <c r="B420" s="19">
        <f t="shared" si="30"/>
        <v>23</v>
      </c>
      <c r="C420" s="10">
        <v>46247</v>
      </c>
      <c r="D420" s="21" t="s">
        <v>269</v>
      </c>
      <c r="E420" s="22"/>
      <c r="F420" s="22"/>
      <c r="G420" s="32">
        <v>3600</v>
      </c>
      <c r="H420" s="32">
        <v>1600</v>
      </c>
      <c r="I420" s="52">
        <f t="shared" si="29"/>
        <v>2000</v>
      </c>
      <c r="J420" s="27"/>
      <c r="K420" s="18">
        <f t="shared" si="31"/>
        <v>29045</v>
      </c>
    </row>
    <row r="421" spans="2:11" x14ac:dyDescent="0.45">
      <c r="B421" s="19">
        <f t="shared" si="30"/>
        <v>24</v>
      </c>
      <c r="C421" s="10">
        <v>46247</v>
      </c>
      <c r="D421" s="21" t="s">
        <v>130</v>
      </c>
      <c r="E421" s="22"/>
      <c r="F421" s="22"/>
      <c r="G421" s="32">
        <v>1900</v>
      </c>
      <c r="H421" s="32">
        <v>570</v>
      </c>
      <c r="I421" s="52">
        <f t="shared" si="29"/>
        <v>1330</v>
      </c>
      <c r="J421" s="27"/>
      <c r="K421" s="18">
        <f t="shared" si="31"/>
        <v>29046</v>
      </c>
    </row>
    <row r="422" spans="2:11" x14ac:dyDescent="0.45">
      <c r="B422" s="19">
        <f t="shared" si="30"/>
        <v>25</v>
      </c>
      <c r="C422" s="10">
        <v>46247</v>
      </c>
      <c r="D422" s="63" t="s">
        <v>270</v>
      </c>
      <c r="E422" s="22"/>
      <c r="F422" s="22"/>
      <c r="G422" s="32">
        <v>4900</v>
      </c>
      <c r="H422" s="32">
        <v>1470</v>
      </c>
      <c r="I422" s="52">
        <f t="shared" si="29"/>
        <v>3430</v>
      </c>
      <c r="J422" s="27"/>
      <c r="K422" s="18">
        <f t="shared" si="31"/>
        <v>29047</v>
      </c>
    </row>
    <row r="423" spans="2:11" x14ac:dyDescent="0.45">
      <c r="B423" s="19">
        <f t="shared" si="30"/>
        <v>26</v>
      </c>
      <c r="C423" s="10">
        <v>46247</v>
      </c>
      <c r="D423" s="21" t="s">
        <v>271</v>
      </c>
      <c r="E423" s="22"/>
      <c r="F423" s="22"/>
      <c r="G423" s="32">
        <v>5500</v>
      </c>
      <c r="H423" s="32">
        <v>2500</v>
      </c>
      <c r="I423" s="52">
        <f t="shared" si="29"/>
        <v>3000</v>
      </c>
      <c r="J423" s="27"/>
      <c r="K423" s="18">
        <f t="shared" si="31"/>
        <v>29048</v>
      </c>
    </row>
    <row r="424" spans="2:11" x14ac:dyDescent="0.45">
      <c r="B424" s="19">
        <f t="shared" si="30"/>
        <v>27</v>
      </c>
      <c r="C424" s="10">
        <v>46247</v>
      </c>
      <c r="D424" s="21" t="s">
        <v>101</v>
      </c>
      <c r="E424" s="22"/>
      <c r="F424" s="22"/>
      <c r="G424" s="32">
        <v>1800</v>
      </c>
      <c r="H424" s="32">
        <v>300</v>
      </c>
      <c r="I424" s="52">
        <f t="shared" si="29"/>
        <v>1500</v>
      </c>
      <c r="J424" s="27"/>
      <c r="K424" s="18">
        <f t="shared" si="31"/>
        <v>29049</v>
      </c>
    </row>
    <row r="425" spans="2:11" x14ac:dyDescent="0.45">
      <c r="B425" s="19">
        <f t="shared" si="30"/>
        <v>28</v>
      </c>
      <c r="C425" s="10">
        <v>46247</v>
      </c>
      <c r="D425" s="21" t="s">
        <v>272</v>
      </c>
      <c r="E425" s="22"/>
      <c r="F425" s="22"/>
      <c r="G425" s="32">
        <v>34500</v>
      </c>
      <c r="H425" s="32">
        <v>0</v>
      </c>
      <c r="I425" s="52">
        <f t="shared" si="29"/>
        <v>34500</v>
      </c>
      <c r="J425" s="27"/>
      <c r="K425" s="18">
        <f t="shared" si="31"/>
        <v>29050</v>
      </c>
    </row>
    <row r="426" spans="2:11" x14ac:dyDescent="0.45">
      <c r="B426" s="19">
        <f t="shared" si="30"/>
        <v>29</v>
      </c>
      <c r="C426" s="10">
        <v>46247</v>
      </c>
      <c r="D426" s="21" t="s">
        <v>273</v>
      </c>
      <c r="E426" s="22"/>
      <c r="F426" s="22"/>
      <c r="G426" s="32">
        <v>440</v>
      </c>
      <c r="H426" s="32">
        <v>0</v>
      </c>
      <c r="I426" s="52">
        <f t="shared" si="29"/>
        <v>440</v>
      </c>
      <c r="J426" s="27"/>
      <c r="K426" s="18">
        <f t="shared" si="31"/>
        <v>29051</v>
      </c>
    </row>
    <row r="427" spans="2:11" x14ac:dyDescent="0.45">
      <c r="B427" s="19">
        <f t="shared" si="30"/>
        <v>30</v>
      </c>
      <c r="C427" s="10">
        <v>46247</v>
      </c>
      <c r="D427" s="21" t="s">
        <v>273</v>
      </c>
      <c r="E427" s="22"/>
      <c r="F427" s="22"/>
      <c r="G427" s="32">
        <v>220</v>
      </c>
      <c r="H427" s="32">
        <v>0</v>
      </c>
      <c r="I427" s="52">
        <f t="shared" si="29"/>
        <v>220</v>
      </c>
      <c r="J427" s="27"/>
      <c r="K427" s="18">
        <f t="shared" si="31"/>
        <v>29052</v>
      </c>
    </row>
    <row r="428" spans="2:11" x14ac:dyDescent="0.45">
      <c r="B428" s="19">
        <f t="shared" si="30"/>
        <v>31</v>
      </c>
      <c r="C428" s="10">
        <v>46247</v>
      </c>
      <c r="D428" s="21" t="s">
        <v>273</v>
      </c>
      <c r="E428" s="22"/>
      <c r="F428" s="22"/>
      <c r="G428" s="32">
        <v>2020</v>
      </c>
      <c r="H428" s="32">
        <v>400</v>
      </c>
      <c r="I428" s="52">
        <f t="shared" si="29"/>
        <v>1620</v>
      </c>
      <c r="J428" s="27"/>
      <c r="K428" s="18">
        <f t="shared" si="31"/>
        <v>29053</v>
      </c>
    </row>
    <row r="429" spans="2:11" x14ac:dyDescent="0.45">
      <c r="B429" s="19">
        <f t="shared" si="30"/>
        <v>32</v>
      </c>
      <c r="C429" s="10">
        <v>46247</v>
      </c>
      <c r="D429" s="21" t="s">
        <v>273</v>
      </c>
      <c r="E429" s="22"/>
      <c r="F429" s="22"/>
      <c r="G429" s="32">
        <v>660</v>
      </c>
      <c r="H429" s="32">
        <v>0</v>
      </c>
      <c r="I429" s="52">
        <f t="shared" si="29"/>
        <v>660</v>
      </c>
      <c r="J429" s="27"/>
      <c r="K429" s="18">
        <f t="shared" si="31"/>
        <v>29054</v>
      </c>
    </row>
    <row r="430" spans="2:11" x14ac:dyDescent="0.45">
      <c r="B430" s="19">
        <f t="shared" si="30"/>
        <v>33</v>
      </c>
      <c r="C430" s="10">
        <v>46247</v>
      </c>
      <c r="D430" s="21" t="s">
        <v>273</v>
      </c>
      <c r="E430" s="22"/>
      <c r="F430" s="22"/>
      <c r="G430" s="32">
        <v>2020</v>
      </c>
      <c r="H430" s="32">
        <v>400</v>
      </c>
      <c r="I430" s="52">
        <f t="shared" si="29"/>
        <v>1620</v>
      </c>
      <c r="J430" s="27"/>
      <c r="K430" s="18">
        <f t="shared" si="31"/>
        <v>29055</v>
      </c>
    </row>
    <row r="431" spans="2:11" x14ac:dyDescent="0.45">
      <c r="B431" s="19">
        <f t="shared" si="30"/>
        <v>34</v>
      </c>
      <c r="C431" s="10">
        <v>46247</v>
      </c>
      <c r="D431" s="21" t="s">
        <v>273</v>
      </c>
      <c r="E431" s="22"/>
      <c r="F431" s="22"/>
      <c r="G431" s="32">
        <v>440</v>
      </c>
      <c r="H431" s="32">
        <v>0</v>
      </c>
      <c r="I431" s="52">
        <f t="shared" si="29"/>
        <v>440</v>
      </c>
      <c r="J431" s="27"/>
      <c r="K431" s="18">
        <f t="shared" si="31"/>
        <v>29056</v>
      </c>
    </row>
    <row r="432" spans="2:11" x14ac:dyDescent="0.45">
      <c r="B432" s="19">
        <f t="shared" si="30"/>
        <v>35</v>
      </c>
      <c r="C432" s="10">
        <v>46247</v>
      </c>
      <c r="D432" s="21" t="s">
        <v>273</v>
      </c>
      <c r="E432" s="22"/>
      <c r="F432" s="22"/>
      <c r="G432" s="32">
        <v>220</v>
      </c>
      <c r="H432" s="32">
        <v>0</v>
      </c>
      <c r="I432" s="52">
        <f t="shared" si="29"/>
        <v>220</v>
      </c>
      <c r="J432" s="27"/>
      <c r="K432" s="18">
        <f t="shared" si="31"/>
        <v>29057</v>
      </c>
    </row>
    <row r="433" spans="2:11" x14ac:dyDescent="0.45">
      <c r="B433" s="19">
        <f t="shared" si="30"/>
        <v>36</v>
      </c>
      <c r="C433" s="10">
        <v>46247</v>
      </c>
      <c r="D433" s="21" t="s">
        <v>273</v>
      </c>
      <c r="E433" s="22"/>
      <c r="F433" s="22"/>
      <c r="G433" s="32">
        <v>2240</v>
      </c>
      <c r="H433" s="32">
        <v>400</v>
      </c>
      <c r="I433" s="52">
        <f t="shared" si="29"/>
        <v>1840</v>
      </c>
      <c r="J433" s="27"/>
      <c r="K433" s="18">
        <f t="shared" si="31"/>
        <v>29058</v>
      </c>
    </row>
    <row r="434" spans="2:11" x14ac:dyDescent="0.45">
      <c r="B434" s="19">
        <f t="shared" si="30"/>
        <v>37</v>
      </c>
      <c r="C434" s="10">
        <v>46247</v>
      </c>
      <c r="D434" s="21" t="s">
        <v>273</v>
      </c>
      <c r="E434" s="22"/>
      <c r="F434" s="22"/>
      <c r="G434" s="32">
        <v>220</v>
      </c>
      <c r="H434" s="32">
        <v>0</v>
      </c>
      <c r="I434" s="52">
        <f t="shared" si="29"/>
        <v>220</v>
      </c>
      <c r="J434" s="27"/>
      <c r="K434" s="18">
        <f t="shared" si="31"/>
        <v>29059</v>
      </c>
    </row>
    <row r="435" spans="2:11" x14ac:dyDescent="0.45">
      <c r="B435" s="19">
        <f t="shared" si="30"/>
        <v>38</v>
      </c>
      <c r="C435" s="10">
        <v>46247</v>
      </c>
      <c r="D435" s="21" t="s">
        <v>273</v>
      </c>
      <c r="E435" s="22"/>
      <c r="F435" s="22"/>
      <c r="G435" s="32">
        <v>880</v>
      </c>
      <c r="H435" s="32">
        <v>0</v>
      </c>
      <c r="I435" s="52">
        <f t="shared" si="29"/>
        <v>880</v>
      </c>
      <c r="J435" s="27"/>
      <c r="K435" s="18">
        <f t="shared" si="31"/>
        <v>29060</v>
      </c>
    </row>
    <row r="436" spans="2:11" ht="14.65" thickBot="1" x14ac:dyDescent="0.5">
      <c r="F436" s="38" t="s">
        <v>26</v>
      </c>
      <c r="G436" s="39">
        <f>SUM(G398:G435)</f>
        <v>188940</v>
      </c>
      <c r="H436" s="39">
        <f>SUM(H398:H435)</f>
        <v>36050</v>
      </c>
      <c r="I436" s="39">
        <f>SUM(I398:I435)</f>
        <v>152890</v>
      </c>
      <c r="K436" s="41"/>
    </row>
    <row r="438" spans="2:11" ht="15.75" x14ac:dyDescent="0.5">
      <c r="D438" s="42" t="s">
        <v>28</v>
      </c>
      <c r="E438" s="42"/>
      <c r="F438" s="43" t="s">
        <v>29</v>
      </c>
      <c r="G438" s="44"/>
      <c r="H438" s="44"/>
      <c r="I438" s="45"/>
      <c r="J438" s="46"/>
    </row>
    <row r="439" spans="2:11" x14ac:dyDescent="0.45">
      <c r="D439" s="47" t="s">
        <v>30</v>
      </c>
      <c r="E439" s="47"/>
      <c r="F439" s="48">
        <v>14750</v>
      </c>
      <c r="G439" s="49"/>
      <c r="H439" s="49"/>
      <c r="I439" s="50"/>
      <c r="K439" s="51"/>
    </row>
    <row r="440" spans="2:11" x14ac:dyDescent="0.45">
      <c r="D440" s="47" t="s">
        <v>31</v>
      </c>
      <c r="E440" s="47"/>
      <c r="F440" s="52">
        <v>0</v>
      </c>
      <c r="G440" s="53"/>
      <c r="H440" s="53"/>
      <c r="I440" s="50"/>
    </row>
    <row r="441" spans="2:11" x14ac:dyDescent="0.45">
      <c r="D441" s="47" t="s">
        <v>32</v>
      </c>
      <c r="E441" s="47"/>
      <c r="F441" s="54">
        <v>35690</v>
      </c>
      <c r="G441" s="55"/>
      <c r="H441" s="55"/>
      <c r="J441" s="46"/>
    </row>
    <row r="442" spans="2:11" x14ac:dyDescent="0.45">
      <c r="D442" s="47" t="s">
        <v>33</v>
      </c>
      <c r="E442" s="47"/>
      <c r="F442" s="54">
        <v>45490</v>
      </c>
      <c r="G442" s="55"/>
      <c r="H442" s="55"/>
      <c r="I442" s="50"/>
    </row>
    <row r="443" spans="2:11" x14ac:dyDescent="0.45">
      <c r="D443" s="47" t="s">
        <v>34</v>
      </c>
      <c r="E443" s="47"/>
      <c r="F443" s="52">
        <v>56960</v>
      </c>
      <c r="G443" s="53"/>
      <c r="H443" s="53"/>
      <c r="I443" s="50"/>
    </row>
    <row r="444" spans="2:11" ht="15.75" thickBot="1" x14ac:dyDescent="0.65">
      <c r="D444" s="56" t="s">
        <v>35</v>
      </c>
      <c r="E444" s="56"/>
      <c r="F444" s="57">
        <f>SUM(F439:F443)</f>
        <v>152890</v>
      </c>
      <c r="G444" s="58">
        <f>+I436-F444</f>
        <v>0</v>
      </c>
      <c r="H444" s="58"/>
      <c r="I444" s="50"/>
    </row>
    <row r="445" spans="2:11" ht="14.65" thickTop="1" x14ac:dyDescent="0.45"/>
    <row r="446" spans="2:11" ht="15.75" thickBot="1" x14ac:dyDescent="0.65">
      <c r="D446" s="64"/>
      <c r="E446" s="64"/>
      <c r="F446" s="65"/>
      <c r="G446" s="58"/>
      <c r="H446" s="58"/>
      <c r="I446" s="50"/>
    </row>
    <row r="447" spans="2:11" ht="21.4" thickBot="1" x14ac:dyDescent="0.7">
      <c r="B447" s="1" t="s">
        <v>274</v>
      </c>
      <c r="C447" s="1"/>
      <c r="D447" s="2"/>
      <c r="E447" s="1"/>
      <c r="F447" s="1"/>
      <c r="G447" s="1"/>
      <c r="H447" s="1"/>
      <c r="I447" s="1"/>
      <c r="J447" s="1"/>
      <c r="K447" s="3"/>
    </row>
    <row r="448" spans="2:11" ht="24.4" thickBot="1" x14ac:dyDescent="0.55000000000000004">
      <c r="B448" s="4" t="s">
        <v>1</v>
      </c>
      <c r="C448" s="5" t="s">
        <v>2</v>
      </c>
      <c r="D448" s="5" t="s">
        <v>3</v>
      </c>
      <c r="E448" s="5" t="s">
        <v>4</v>
      </c>
      <c r="F448" s="6" t="s">
        <v>5</v>
      </c>
      <c r="G448" s="6" t="s">
        <v>6</v>
      </c>
      <c r="H448" s="6" t="s">
        <v>7</v>
      </c>
      <c r="I448" s="7" t="s">
        <v>8</v>
      </c>
      <c r="J448" s="5" t="s">
        <v>9</v>
      </c>
      <c r="K448" s="71" t="s">
        <v>10</v>
      </c>
    </row>
    <row r="449" spans="2:11" x14ac:dyDescent="0.45">
      <c r="B449" s="9">
        <v>1</v>
      </c>
      <c r="C449" s="10">
        <v>46248</v>
      </c>
      <c r="D449" s="11" t="s">
        <v>275</v>
      </c>
      <c r="E449" s="30"/>
      <c r="F449" s="31"/>
      <c r="G449" s="32">
        <v>3000</v>
      </c>
      <c r="H449" s="32">
        <v>700</v>
      </c>
      <c r="I449" s="68">
        <f>+G449-H449</f>
        <v>2300</v>
      </c>
      <c r="J449" s="17"/>
      <c r="K449" s="18">
        <v>29061</v>
      </c>
    </row>
    <row r="450" spans="2:11" x14ac:dyDescent="0.45">
      <c r="B450" s="19">
        <f>+B449+1</f>
        <v>2</v>
      </c>
      <c r="C450" s="10">
        <v>46248</v>
      </c>
      <c r="D450" s="21" t="s">
        <v>276</v>
      </c>
      <c r="E450" s="22"/>
      <c r="F450" s="23"/>
      <c r="G450" s="32">
        <f>3500*6</f>
        <v>21000</v>
      </c>
      <c r="H450" s="32">
        <v>3000</v>
      </c>
      <c r="I450" s="52">
        <f t="shared" ref="I450:I469" si="32">+G450-H450</f>
        <v>18000</v>
      </c>
      <c r="J450" s="26"/>
      <c r="K450" s="18">
        <f>+K449+1</f>
        <v>29062</v>
      </c>
    </row>
    <row r="451" spans="2:11" x14ac:dyDescent="0.45">
      <c r="B451" s="19">
        <f t="shared" ref="B451:B469" si="33">+B450+1</f>
        <v>3</v>
      </c>
      <c r="C451" s="10">
        <v>46248</v>
      </c>
      <c r="D451" s="21" t="s">
        <v>277</v>
      </c>
      <c r="E451" s="22"/>
      <c r="F451" s="23"/>
      <c r="G451" s="32">
        <v>1900</v>
      </c>
      <c r="H451" s="32">
        <v>200</v>
      </c>
      <c r="I451" s="52">
        <f t="shared" si="32"/>
        <v>1700</v>
      </c>
      <c r="J451" s="26"/>
      <c r="K451" s="18">
        <f t="shared" ref="K451:K469" si="34">+K450+1</f>
        <v>29063</v>
      </c>
    </row>
    <row r="452" spans="2:11" x14ac:dyDescent="0.45">
      <c r="B452" s="19">
        <f t="shared" si="33"/>
        <v>4</v>
      </c>
      <c r="C452" s="10">
        <v>46248</v>
      </c>
      <c r="D452" s="21" t="s">
        <v>278</v>
      </c>
      <c r="E452" s="22"/>
      <c r="F452" s="23"/>
      <c r="G452" s="32">
        <v>4900</v>
      </c>
      <c r="H452" s="32">
        <v>1400</v>
      </c>
      <c r="I452" s="52">
        <f t="shared" si="32"/>
        <v>3500</v>
      </c>
      <c r="J452" s="27"/>
      <c r="K452" s="18">
        <f t="shared" si="34"/>
        <v>29064</v>
      </c>
    </row>
    <row r="453" spans="2:11" x14ac:dyDescent="0.45">
      <c r="B453" s="19">
        <f t="shared" si="33"/>
        <v>5</v>
      </c>
      <c r="C453" s="10">
        <v>46248</v>
      </c>
      <c r="D453" s="63" t="s">
        <v>279</v>
      </c>
      <c r="E453" s="22"/>
      <c r="F453" s="23"/>
      <c r="G453" s="32">
        <v>2500</v>
      </c>
      <c r="H453" s="32">
        <v>500</v>
      </c>
      <c r="I453" s="52">
        <f t="shared" si="32"/>
        <v>2000</v>
      </c>
      <c r="J453" s="28"/>
      <c r="K453" s="18">
        <f t="shared" si="34"/>
        <v>29065</v>
      </c>
    </row>
    <row r="454" spans="2:11" x14ac:dyDescent="0.45">
      <c r="B454" s="19">
        <f t="shared" si="33"/>
        <v>6</v>
      </c>
      <c r="C454" s="10">
        <v>46248</v>
      </c>
      <c r="D454" s="21" t="s">
        <v>280</v>
      </c>
      <c r="E454" s="22"/>
      <c r="F454" s="23"/>
      <c r="G454" s="32">
        <v>1800</v>
      </c>
      <c r="H454" s="32">
        <v>540</v>
      </c>
      <c r="I454" s="52">
        <f t="shared" si="32"/>
        <v>1260</v>
      </c>
      <c r="J454" s="27"/>
      <c r="K454" s="18">
        <f t="shared" si="34"/>
        <v>29066</v>
      </c>
    </row>
    <row r="455" spans="2:11" x14ac:dyDescent="0.45">
      <c r="B455" s="19">
        <f t="shared" si="33"/>
        <v>7</v>
      </c>
      <c r="C455" s="10">
        <v>46248</v>
      </c>
      <c r="D455" s="21" t="s">
        <v>281</v>
      </c>
      <c r="E455" s="22"/>
      <c r="F455" s="23"/>
      <c r="G455" s="32">
        <v>4900</v>
      </c>
      <c r="H455" s="32">
        <v>200</v>
      </c>
      <c r="I455" s="52">
        <f t="shared" si="32"/>
        <v>4700</v>
      </c>
      <c r="J455" s="27"/>
      <c r="K455" s="18">
        <f t="shared" si="34"/>
        <v>29067</v>
      </c>
    </row>
    <row r="456" spans="2:11" x14ac:dyDescent="0.45">
      <c r="B456" s="19">
        <f t="shared" si="33"/>
        <v>8</v>
      </c>
      <c r="C456" s="10">
        <v>46248</v>
      </c>
      <c r="D456" s="21" t="s">
        <v>282</v>
      </c>
      <c r="E456" s="22"/>
      <c r="F456" s="23"/>
      <c r="G456" s="32">
        <v>1700</v>
      </c>
      <c r="H456" s="32">
        <v>200</v>
      </c>
      <c r="I456" s="52">
        <f t="shared" si="32"/>
        <v>1500</v>
      </c>
      <c r="J456" s="27"/>
      <c r="K456" s="18">
        <f t="shared" si="34"/>
        <v>29068</v>
      </c>
    </row>
    <row r="457" spans="2:11" x14ac:dyDescent="0.45">
      <c r="B457" s="19">
        <f t="shared" si="33"/>
        <v>9</v>
      </c>
      <c r="C457" s="10">
        <v>46248</v>
      </c>
      <c r="D457" s="21" t="s">
        <v>283</v>
      </c>
      <c r="E457" s="22"/>
      <c r="F457" s="23"/>
      <c r="G457" s="32">
        <v>1900</v>
      </c>
      <c r="H457" s="32">
        <v>0</v>
      </c>
      <c r="I457" s="52">
        <f t="shared" si="32"/>
        <v>1900</v>
      </c>
      <c r="J457" s="27"/>
      <c r="K457" s="18">
        <f t="shared" si="34"/>
        <v>29069</v>
      </c>
    </row>
    <row r="458" spans="2:11" x14ac:dyDescent="0.45">
      <c r="B458" s="19">
        <f t="shared" si="33"/>
        <v>10</v>
      </c>
      <c r="C458" s="10">
        <v>46248</v>
      </c>
      <c r="D458" s="21" t="s">
        <v>284</v>
      </c>
      <c r="E458" s="22"/>
      <c r="F458" s="23"/>
      <c r="G458" s="32">
        <v>100</v>
      </c>
      <c r="H458" s="32">
        <v>20</v>
      </c>
      <c r="I458" s="52">
        <f t="shared" si="32"/>
        <v>80</v>
      </c>
      <c r="J458" s="27"/>
      <c r="K458" s="18">
        <f t="shared" si="34"/>
        <v>29070</v>
      </c>
    </row>
    <row r="459" spans="2:11" x14ac:dyDescent="0.45">
      <c r="B459" s="19">
        <f t="shared" si="33"/>
        <v>11</v>
      </c>
      <c r="C459" s="10">
        <v>46248</v>
      </c>
      <c r="D459" s="21" t="s">
        <v>285</v>
      </c>
      <c r="E459" s="22"/>
      <c r="F459" s="33"/>
      <c r="G459" s="32">
        <v>1800</v>
      </c>
      <c r="H459" s="32">
        <v>540</v>
      </c>
      <c r="I459" s="52">
        <f t="shared" si="32"/>
        <v>1260</v>
      </c>
      <c r="J459" s="28"/>
      <c r="K459" s="18">
        <f t="shared" si="34"/>
        <v>29071</v>
      </c>
    </row>
    <row r="460" spans="2:11" x14ac:dyDescent="0.45">
      <c r="B460" s="19">
        <f t="shared" si="33"/>
        <v>12</v>
      </c>
      <c r="C460" s="10">
        <v>46248</v>
      </c>
      <c r="D460" s="21" t="s">
        <v>286</v>
      </c>
      <c r="E460" s="22"/>
      <c r="F460" s="22"/>
      <c r="G460" s="32">
        <v>1700</v>
      </c>
      <c r="H460" s="32">
        <v>510</v>
      </c>
      <c r="I460" s="52">
        <f t="shared" si="32"/>
        <v>1190</v>
      </c>
      <c r="J460" s="27"/>
      <c r="K460" s="18">
        <f t="shared" si="34"/>
        <v>29072</v>
      </c>
    </row>
    <row r="461" spans="2:11" x14ac:dyDescent="0.45">
      <c r="B461" s="19">
        <f t="shared" si="33"/>
        <v>13</v>
      </c>
      <c r="C461" s="10">
        <v>46248</v>
      </c>
      <c r="D461" s="21" t="s">
        <v>287</v>
      </c>
      <c r="E461" s="22"/>
      <c r="F461" s="22"/>
      <c r="G461" s="32">
        <v>220</v>
      </c>
      <c r="H461" s="32">
        <v>0</v>
      </c>
      <c r="I461" s="52">
        <f t="shared" si="32"/>
        <v>220</v>
      </c>
      <c r="J461" s="27"/>
      <c r="K461" s="18">
        <f t="shared" si="34"/>
        <v>29073</v>
      </c>
    </row>
    <row r="462" spans="2:11" x14ac:dyDescent="0.45">
      <c r="B462" s="19">
        <f t="shared" si="33"/>
        <v>14</v>
      </c>
      <c r="C462" s="10">
        <v>46248</v>
      </c>
      <c r="D462" s="21" t="s">
        <v>288</v>
      </c>
      <c r="E462" s="22"/>
      <c r="F462" s="22"/>
      <c r="G462" s="32">
        <v>1700</v>
      </c>
      <c r="H462" s="32">
        <v>200</v>
      </c>
      <c r="I462" s="52">
        <f t="shared" si="32"/>
        <v>1500</v>
      </c>
      <c r="J462" s="27"/>
      <c r="K462" s="18">
        <f t="shared" si="34"/>
        <v>29074</v>
      </c>
    </row>
    <row r="463" spans="2:11" x14ac:dyDescent="0.45">
      <c r="B463" s="19">
        <f t="shared" si="33"/>
        <v>15</v>
      </c>
      <c r="C463" s="10">
        <v>46248</v>
      </c>
      <c r="D463" s="21" t="s">
        <v>212</v>
      </c>
      <c r="E463" s="22"/>
      <c r="F463" s="22"/>
      <c r="G463" s="32">
        <v>1900</v>
      </c>
      <c r="H463" s="32">
        <v>200</v>
      </c>
      <c r="I463" s="52">
        <f t="shared" si="32"/>
        <v>1700</v>
      </c>
      <c r="J463" s="27"/>
      <c r="K463" s="18">
        <f t="shared" si="34"/>
        <v>29075</v>
      </c>
    </row>
    <row r="464" spans="2:11" x14ac:dyDescent="0.45">
      <c r="B464" s="19">
        <f t="shared" si="33"/>
        <v>16</v>
      </c>
      <c r="C464" s="10">
        <v>46248</v>
      </c>
      <c r="D464" s="21" t="s">
        <v>289</v>
      </c>
      <c r="E464" s="22"/>
      <c r="F464" s="22"/>
      <c r="G464" s="32">
        <v>1700</v>
      </c>
      <c r="H464" s="32">
        <v>0</v>
      </c>
      <c r="I464" s="52">
        <f t="shared" si="32"/>
        <v>1700</v>
      </c>
      <c r="J464" s="27"/>
      <c r="K464" s="18">
        <f t="shared" si="34"/>
        <v>29076</v>
      </c>
    </row>
    <row r="465" spans="2:11" x14ac:dyDescent="0.45">
      <c r="B465" s="19">
        <f t="shared" si="33"/>
        <v>17</v>
      </c>
      <c r="C465" s="10">
        <v>46248</v>
      </c>
      <c r="D465" s="21" t="s">
        <v>18</v>
      </c>
      <c r="E465" s="22"/>
      <c r="F465" s="22"/>
      <c r="G465" s="32">
        <v>880</v>
      </c>
      <c r="H465" s="32">
        <v>0</v>
      </c>
      <c r="I465" s="52">
        <f t="shared" si="32"/>
        <v>880</v>
      </c>
      <c r="J465" s="27"/>
      <c r="K465" s="18">
        <f t="shared" si="34"/>
        <v>29077</v>
      </c>
    </row>
    <row r="466" spans="2:11" x14ac:dyDescent="0.45">
      <c r="B466" s="19">
        <f t="shared" si="33"/>
        <v>18</v>
      </c>
      <c r="C466" s="10">
        <v>46248</v>
      </c>
      <c r="D466" s="21" t="s">
        <v>290</v>
      </c>
      <c r="E466" s="22"/>
      <c r="F466" s="22"/>
      <c r="G466" s="32">
        <v>220</v>
      </c>
      <c r="H466" s="32">
        <v>0</v>
      </c>
      <c r="I466" s="52">
        <f t="shared" si="32"/>
        <v>220</v>
      </c>
      <c r="J466" s="27"/>
      <c r="K466" s="18">
        <f t="shared" si="34"/>
        <v>29078</v>
      </c>
    </row>
    <row r="467" spans="2:11" x14ac:dyDescent="0.45">
      <c r="B467" s="19">
        <f t="shared" si="33"/>
        <v>19</v>
      </c>
      <c r="C467" s="10">
        <v>46248</v>
      </c>
      <c r="D467" s="21" t="s">
        <v>110</v>
      </c>
      <c r="E467" s="22"/>
      <c r="F467" s="22"/>
      <c r="G467" s="32">
        <v>880</v>
      </c>
      <c r="H467" s="32">
        <v>0</v>
      </c>
      <c r="I467" s="52">
        <f t="shared" si="32"/>
        <v>880</v>
      </c>
      <c r="J467" s="27"/>
      <c r="K467" s="18">
        <f t="shared" si="34"/>
        <v>29079</v>
      </c>
    </row>
    <row r="468" spans="2:11" x14ac:dyDescent="0.45">
      <c r="B468" s="19">
        <f t="shared" si="33"/>
        <v>20</v>
      </c>
      <c r="C468" s="10">
        <v>46248</v>
      </c>
      <c r="D468" s="63" t="s">
        <v>179</v>
      </c>
      <c r="E468" s="22"/>
      <c r="F468" s="22"/>
      <c r="G468" s="32">
        <v>1580</v>
      </c>
      <c r="H468" s="32">
        <v>0</v>
      </c>
      <c r="I468" s="52">
        <f t="shared" si="32"/>
        <v>1580</v>
      </c>
      <c r="J468" s="27"/>
      <c r="K468" s="18">
        <f t="shared" si="34"/>
        <v>29080</v>
      </c>
    </row>
    <row r="469" spans="2:11" x14ac:dyDescent="0.45">
      <c r="B469" s="19">
        <f t="shared" si="33"/>
        <v>21</v>
      </c>
      <c r="C469" s="10">
        <v>46248</v>
      </c>
      <c r="D469" s="72" t="s">
        <v>201</v>
      </c>
      <c r="E469" s="22"/>
      <c r="F469" s="22"/>
      <c r="G469" s="32">
        <v>4900</v>
      </c>
      <c r="H469" s="32">
        <v>3200</v>
      </c>
      <c r="I469" s="52">
        <f t="shared" si="32"/>
        <v>1700</v>
      </c>
      <c r="J469" s="27"/>
      <c r="K469" s="18">
        <f t="shared" si="34"/>
        <v>29081</v>
      </c>
    </row>
    <row r="470" spans="2:11" ht="14.65" thickBot="1" x14ac:dyDescent="0.5">
      <c r="F470" s="38" t="s">
        <v>26</v>
      </c>
      <c r="G470" s="39">
        <f>SUM(G449:G469)</f>
        <v>61180</v>
      </c>
      <c r="H470" s="39">
        <f>SUM(H449:H469)</f>
        <v>11410</v>
      </c>
      <c r="I470" s="39">
        <f>SUM(I449:I469)</f>
        <v>49770</v>
      </c>
      <c r="K470" s="41"/>
    </row>
    <row r="472" spans="2:11" ht="15.75" x14ac:dyDescent="0.5">
      <c r="D472" s="42" t="s">
        <v>28</v>
      </c>
      <c r="E472" s="42"/>
      <c r="F472" s="43" t="s">
        <v>29</v>
      </c>
      <c r="G472" s="44"/>
      <c r="H472" s="44"/>
      <c r="I472" s="45"/>
      <c r="J472" s="46"/>
    </row>
    <row r="473" spans="2:11" x14ac:dyDescent="0.45">
      <c r="D473" s="47" t="s">
        <v>30</v>
      </c>
      <c r="E473" s="47"/>
      <c r="F473" s="48">
        <v>10680</v>
      </c>
      <c r="G473" s="49"/>
      <c r="H473" s="49"/>
      <c r="I473" s="50"/>
      <c r="K473" s="51"/>
    </row>
    <row r="474" spans="2:11" x14ac:dyDescent="0.45">
      <c r="D474" s="47" t="s">
        <v>31</v>
      </c>
      <c r="E474" s="47"/>
      <c r="F474" s="52">
        <v>0</v>
      </c>
      <c r="G474" s="53"/>
      <c r="H474" s="53"/>
      <c r="I474" s="50"/>
    </row>
    <row r="475" spans="2:11" x14ac:dyDescent="0.45">
      <c r="D475" s="47" t="s">
        <v>32</v>
      </c>
      <c r="E475" s="47"/>
      <c r="F475" s="54">
        <v>10290</v>
      </c>
      <c r="G475" s="55"/>
      <c r="H475" s="55"/>
      <c r="J475" s="46"/>
    </row>
    <row r="476" spans="2:11" x14ac:dyDescent="0.45">
      <c r="D476" s="47" t="s">
        <v>33</v>
      </c>
      <c r="E476" s="47"/>
      <c r="F476" s="54">
        <v>28800</v>
      </c>
      <c r="G476" s="55"/>
      <c r="H476" s="55"/>
      <c r="I476" s="50"/>
    </row>
    <row r="477" spans="2:11" x14ac:dyDescent="0.45">
      <c r="D477" s="47" t="s">
        <v>34</v>
      </c>
      <c r="E477" s="47"/>
      <c r="F477" s="52">
        <v>0</v>
      </c>
      <c r="G477" s="53"/>
      <c r="H477" s="53"/>
      <c r="I477" s="50"/>
    </row>
    <row r="478" spans="2:11" ht="15.75" thickBot="1" x14ac:dyDescent="0.65">
      <c r="D478" s="56" t="s">
        <v>35</v>
      </c>
      <c r="E478" s="56"/>
      <c r="F478" s="57">
        <f>SUM(F473:F477)</f>
        <v>49770</v>
      </c>
      <c r="G478" s="58">
        <f>+I470-F478</f>
        <v>0</v>
      </c>
      <c r="H478" s="58"/>
      <c r="I478" s="50"/>
    </row>
    <row r="479" spans="2:11" ht="15" thickTop="1" thickBot="1" x14ac:dyDescent="0.5"/>
    <row r="480" spans="2:11" ht="21.4" thickBot="1" x14ac:dyDescent="0.7">
      <c r="B480" s="1" t="s">
        <v>291</v>
      </c>
      <c r="C480" s="1"/>
      <c r="D480" s="2"/>
      <c r="E480" s="1"/>
      <c r="F480" s="1"/>
      <c r="G480" s="1"/>
      <c r="H480" s="1"/>
      <c r="I480" s="1"/>
      <c r="J480" s="1"/>
      <c r="K480" s="3"/>
    </row>
    <row r="481" spans="2:11" ht="24.4" thickBot="1" x14ac:dyDescent="0.55000000000000004">
      <c r="B481" s="4" t="s">
        <v>1</v>
      </c>
      <c r="C481" s="5" t="s">
        <v>2</v>
      </c>
      <c r="D481" s="5" t="s">
        <v>3</v>
      </c>
      <c r="E481" s="5" t="s">
        <v>4</v>
      </c>
      <c r="F481" s="6" t="s">
        <v>5</v>
      </c>
      <c r="G481" s="6" t="s">
        <v>6</v>
      </c>
      <c r="H481" s="6" t="s">
        <v>7</v>
      </c>
      <c r="I481" s="7" t="s">
        <v>8</v>
      </c>
      <c r="J481" s="5" t="s">
        <v>9</v>
      </c>
      <c r="K481" s="8" t="s">
        <v>10</v>
      </c>
    </row>
    <row r="482" spans="2:11" x14ac:dyDescent="0.45">
      <c r="B482" s="9">
        <v>1</v>
      </c>
      <c r="C482" s="10">
        <v>46249</v>
      </c>
      <c r="D482" s="11" t="s">
        <v>75</v>
      </c>
      <c r="E482" s="30"/>
      <c r="F482" s="31"/>
      <c r="G482" s="32">
        <v>18540</v>
      </c>
      <c r="H482" s="32">
        <v>5660</v>
      </c>
      <c r="I482" s="68">
        <f>+G482-H482</f>
        <v>12880</v>
      </c>
      <c r="J482" s="17"/>
      <c r="K482" s="18">
        <v>29082</v>
      </c>
    </row>
    <row r="483" spans="2:11" x14ac:dyDescent="0.45">
      <c r="B483" s="19">
        <f>+B482+1</f>
        <v>2</v>
      </c>
      <c r="C483" s="10">
        <v>46249</v>
      </c>
      <c r="D483" s="21" t="s">
        <v>292</v>
      </c>
      <c r="E483" s="22"/>
      <c r="F483" s="23"/>
      <c r="G483" s="32">
        <v>1700</v>
      </c>
      <c r="H483" s="32">
        <v>0</v>
      </c>
      <c r="I483" s="52">
        <f t="shared" ref="I483:I489" si="35">+G483-H483</f>
        <v>1700</v>
      </c>
      <c r="J483" s="26"/>
      <c r="K483" s="18">
        <f>+K482+1</f>
        <v>29083</v>
      </c>
    </row>
    <row r="484" spans="2:11" x14ac:dyDescent="0.45">
      <c r="B484" s="19">
        <f t="shared" ref="B484:B489" si="36">+B483+1</f>
        <v>3</v>
      </c>
      <c r="C484" s="10">
        <v>46249</v>
      </c>
      <c r="D484" s="21" t="s">
        <v>293</v>
      </c>
      <c r="E484" s="22"/>
      <c r="F484" s="23"/>
      <c r="G484" s="32">
        <v>1800</v>
      </c>
      <c r="H484" s="32">
        <v>200</v>
      </c>
      <c r="I484" s="52">
        <f t="shared" si="35"/>
        <v>1600</v>
      </c>
      <c r="J484" s="26"/>
      <c r="K484" s="18">
        <f t="shared" ref="K484:K489" si="37">+K483+1</f>
        <v>29084</v>
      </c>
    </row>
    <row r="485" spans="2:11" x14ac:dyDescent="0.45">
      <c r="B485" s="19">
        <f t="shared" si="36"/>
        <v>4</v>
      </c>
      <c r="C485" s="10">
        <v>46249</v>
      </c>
      <c r="D485" s="21" t="s">
        <v>294</v>
      </c>
      <c r="E485" s="22"/>
      <c r="F485" s="23"/>
      <c r="G485" s="32">
        <v>5900</v>
      </c>
      <c r="H485" s="32">
        <v>400</v>
      </c>
      <c r="I485" s="52">
        <f t="shared" si="35"/>
        <v>5500</v>
      </c>
      <c r="J485" s="27"/>
      <c r="K485" s="18">
        <f t="shared" si="37"/>
        <v>29085</v>
      </c>
    </row>
    <row r="486" spans="2:11" x14ac:dyDescent="0.45">
      <c r="B486" s="19">
        <f t="shared" si="36"/>
        <v>5</v>
      </c>
      <c r="C486" s="10">
        <v>46249</v>
      </c>
      <c r="D486" s="21" t="s">
        <v>75</v>
      </c>
      <c r="E486" s="22"/>
      <c r="F486" s="23"/>
      <c r="G486" s="32">
        <v>12220</v>
      </c>
      <c r="H486" s="32">
        <v>3645</v>
      </c>
      <c r="I486" s="52">
        <f t="shared" si="35"/>
        <v>8575</v>
      </c>
      <c r="J486" s="28"/>
      <c r="K486" s="18">
        <f t="shared" si="37"/>
        <v>29086</v>
      </c>
    </row>
    <row r="487" spans="2:11" x14ac:dyDescent="0.45">
      <c r="B487" s="19">
        <f t="shared" si="36"/>
        <v>6</v>
      </c>
      <c r="C487" s="10">
        <v>46249</v>
      </c>
      <c r="D487" s="21" t="s">
        <v>295</v>
      </c>
      <c r="E487" s="22"/>
      <c r="F487" s="23"/>
      <c r="G487" s="32">
        <v>2000</v>
      </c>
      <c r="H487" s="32">
        <v>200</v>
      </c>
      <c r="I487" s="52">
        <f t="shared" si="35"/>
        <v>1800</v>
      </c>
      <c r="J487" s="27"/>
      <c r="K487" s="18">
        <f t="shared" si="37"/>
        <v>29087</v>
      </c>
    </row>
    <row r="488" spans="2:11" x14ac:dyDescent="0.45">
      <c r="B488" s="19">
        <f t="shared" si="36"/>
        <v>7</v>
      </c>
      <c r="C488" s="10">
        <v>46249</v>
      </c>
      <c r="D488" s="21" t="s">
        <v>296</v>
      </c>
      <c r="E488" s="22"/>
      <c r="F488" s="23"/>
      <c r="G488" s="32">
        <v>2800</v>
      </c>
      <c r="H488" s="32">
        <v>0</v>
      </c>
      <c r="I488" s="52">
        <f t="shared" si="35"/>
        <v>2800</v>
      </c>
      <c r="J488" s="27"/>
      <c r="K488" s="18">
        <f t="shared" si="37"/>
        <v>29088</v>
      </c>
    </row>
    <row r="489" spans="2:11" x14ac:dyDescent="0.45">
      <c r="B489" s="19">
        <f t="shared" si="36"/>
        <v>8</v>
      </c>
      <c r="C489" s="10">
        <v>46249</v>
      </c>
      <c r="D489" s="21" t="s">
        <v>297</v>
      </c>
      <c r="E489" s="22"/>
      <c r="F489" s="23"/>
      <c r="G489" s="32">
        <v>6500</v>
      </c>
      <c r="H489" s="32">
        <v>0</v>
      </c>
      <c r="I489" s="52">
        <f t="shared" si="35"/>
        <v>6500</v>
      </c>
      <c r="J489" s="27"/>
      <c r="K489" s="18">
        <f t="shared" si="37"/>
        <v>29089</v>
      </c>
    </row>
    <row r="490" spans="2:11" ht="14.65" thickBot="1" x14ac:dyDescent="0.5">
      <c r="F490" s="38" t="s">
        <v>26</v>
      </c>
      <c r="G490" s="39">
        <f>SUM(G482:G489)</f>
        <v>51460</v>
      </c>
      <c r="H490" s="39">
        <f>SUM(H482:H489)</f>
        <v>10105</v>
      </c>
      <c r="I490" s="39">
        <f>SUM(I482:I489)</f>
        <v>41355</v>
      </c>
      <c r="K490" s="41"/>
    </row>
    <row r="492" spans="2:11" ht="15.75" x14ac:dyDescent="0.5">
      <c r="D492" s="42" t="s">
        <v>28</v>
      </c>
      <c r="E492" s="42"/>
      <c r="F492" s="43" t="s">
        <v>29</v>
      </c>
      <c r="G492" s="44"/>
      <c r="H492" s="44"/>
      <c r="I492" s="45"/>
      <c r="J492" s="46"/>
    </row>
    <row r="493" spans="2:11" x14ac:dyDescent="0.45">
      <c r="D493" s="47" t="s">
        <v>30</v>
      </c>
      <c r="E493" s="47"/>
      <c r="F493" s="48">
        <v>18300</v>
      </c>
      <c r="G493" s="49"/>
      <c r="H493" s="49"/>
      <c r="I493" s="50"/>
      <c r="K493" s="51"/>
    </row>
    <row r="494" spans="2:11" x14ac:dyDescent="0.45">
      <c r="D494" s="47" t="s">
        <v>31</v>
      </c>
      <c r="E494" s="47"/>
      <c r="F494" s="52">
        <v>0</v>
      </c>
      <c r="G494" s="53"/>
      <c r="H494" s="53"/>
      <c r="I494" s="50"/>
    </row>
    <row r="495" spans="2:11" x14ac:dyDescent="0.45">
      <c r="D495" s="47" t="s">
        <v>32</v>
      </c>
      <c r="E495" s="47"/>
      <c r="F495" s="54">
        <v>1600</v>
      </c>
      <c r="G495" s="55"/>
      <c r="H495" s="55"/>
      <c r="J495" s="46"/>
    </row>
    <row r="496" spans="2:11" x14ac:dyDescent="0.45">
      <c r="D496" s="47" t="s">
        <v>33</v>
      </c>
      <c r="E496" s="47"/>
      <c r="F496" s="54">
        <v>0</v>
      </c>
      <c r="G496" s="55"/>
      <c r="H496" s="55"/>
      <c r="I496" s="50"/>
    </row>
    <row r="497" spans="2:11" x14ac:dyDescent="0.45">
      <c r="D497" s="47" t="s">
        <v>34</v>
      </c>
      <c r="E497" s="47"/>
      <c r="F497" s="52">
        <v>21455</v>
      </c>
      <c r="G497" s="53"/>
      <c r="H497" s="53"/>
      <c r="I497" s="50"/>
    </row>
    <row r="498" spans="2:11" ht="15.75" thickBot="1" x14ac:dyDescent="0.65">
      <c r="D498" s="56" t="s">
        <v>35</v>
      </c>
      <c r="E498" s="56"/>
      <c r="F498" s="57">
        <f>SUM(F493:F497)</f>
        <v>41355</v>
      </c>
      <c r="G498" s="58">
        <f>+I490-F498</f>
        <v>0</v>
      </c>
      <c r="H498" s="58"/>
      <c r="I498" s="50"/>
    </row>
    <row r="499" spans="2:11" ht="14.65" thickTop="1" x14ac:dyDescent="0.45"/>
    <row r="500" spans="2:11" ht="15.75" thickBot="1" x14ac:dyDescent="0.65">
      <c r="D500" s="64"/>
      <c r="E500" s="64"/>
      <c r="F500" s="65"/>
      <c r="G500" s="58"/>
      <c r="H500" s="58"/>
      <c r="I500" s="50"/>
    </row>
    <row r="501" spans="2:11" ht="21.4" thickBot="1" x14ac:dyDescent="0.7">
      <c r="B501" s="1" t="s">
        <v>298</v>
      </c>
      <c r="C501" s="1"/>
      <c r="D501" s="2"/>
      <c r="E501" s="1"/>
      <c r="F501" s="1"/>
      <c r="G501" s="1"/>
      <c r="H501" s="1"/>
      <c r="I501" s="1"/>
      <c r="J501" s="1"/>
      <c r="K501" s="3"/>
    </row>
    <row r="502" spans="2:11" ht="24.4" thickBot="1" x14ac:dyDescent="0.55000000000000004">
      <c r="B502" s="4" t="s">
        <v>1</v>
      </c>
      <c r="C502" s="5" t="s">
        <v>2</v>
      </c>
      <c r="D502" s="5" t="s">
        <v>3</v>
      </c>
      <c r="E502" s="5" t="s">
        <v>4</v>
      </c>
      <c r="F502" s="6" t="s">
        <v>5</v>
      </c>
      <c r="G502" s="6" t="s">
        <v>6</v>
      </c>
      <c r="H502" s="6" t="s">
        <v>7</v>
      </c>
      <c r="I502" s="7" t="s">
        <v>8</v>
      </c>
      <c r="J502" s="5" t="s">
        <v>9</v>
      </c>
      <c r="K502" s="8" t="s">
        <v>10</v>
      </c>
    </row>
    <row r="503" spans="2:11" x14ac:dyDescent="0.45">
      <c r="B503" s="9">
        <v>1</v>
      </c>
      <c r="C503" s="10">
        <v>46251</v>
      </c>
      <c r="D503" s="11" t="s">
        <v>299</v>
      </c>
      <c r="E503" s="30"/>
      <c r="F503" s="31"/>
      <c r="G503" s="32">
        <v>2300</v>
      </c>
      <c r="H503" s="32">
        <v>300</v>
      </c>
      <c r="I503" s="68">
        <f>+G503-H503</f>
        <v>2000</v>
      </c>
      <c r="J503" s="17"/>
      <c r="K503" s="18">
        <v>29090</v>
      </c>
    </row>
    <row r="504" spans="2:11" x14ac:dyDescent="0.45">
      <c r="B504" s="19">
        <f>+B503+1</f>
        <v>2</v>
      </c>
      <c r="C504" s="10">
        <v>46251</v>
      </c>
      <c r="D504" s="21" t="s">
        <v>300</v>
      </c>
      <c r="E504" s="22"/>
      <c r="F504" s="23"/>
      <c r="G504" s="32">
        <v>4900</v>
      </c>
      <c r="H504" s="32">
        <v>0</v>
      </c>
      <c r="I504" s="52">
        <f t="shared" ref="I504:I527" si="38">+G504-H504</f>
        <v>4900</v>
      </c>
      <c r="J504" s="26"/>
      <c r="K504" s="18">
        <f>+K503+1</f>
        <v>29091</v>
      </c>
    </row>
    <row r="505" spans="2:11" x14ac:dyDescent="0.45">
      <c r="B505" s="19">
        <f t="shared" ref="B505:B527" si="39">+B504+1</f>
        <v>3</v>
      </c>
      <c r="C505" s="10">
        <v>46251</v>
      </c>
      <c r="D505" s="21" t="s">
        <v>301</v>
      </c>
      <c r="E505" s="22"/>
      <c r="F505" s="23"/>
      <c r="G505" s="32">
        <v>1700</v>
      </c>
      <c r="H505" s="32">
        <v>0</v>
      </c>
      <c r="I505" s="52">
        <f t="shared" si="38"/>
        <v>1700</v>
      </c>
      <c r="J505" s="26"/>
      <c r="K505" s="18">
        <f t="shared" ref="K505:K527" si="40">+K504+1</f>
        <v>29092</v>
      </c>
    </row>
    <row r="506" spans="2:11" x14ac:dyDescent="0.45">
      <c r="B506" s="19">
        <f t="shared" si="39"/>
        <v>4</v>
      </c>
      <c r="C506" s="10">
        <v>46251</v>
      </c>
      <c r="D506" s="21" t="s">
        <v>302</v>
      </c>
      <c r="E506" s="22"/>
      <c r="F506" s="23"/>
      <c r="G506" s="32">
        <v>3200</v>
      </c>
      <c r="H506" s="32">
        <v>300</v>
      </c>
      <c r="I506" s="52">
        <f t="shared" si="38"/>
        <v>2900</v>
      </c>
      <c r="J506" s="27"/>
      <c r="K506" s="18">
        <f t="shared" si="40"/>
        <v>29093</v>
      </c>
    </row>
    <row r="507" spans="2:11" x14ac:dyDescent="0.45">
      <c r="B507" s="19">
        <f t="shared" si="39"/>
        <v>5</v>
      </c>
      <c r="C507" s="10">
        <v>46251</v>
      </c>
      <c r="D507" s="21" t="s">
        <v>204</v>
      </c>
      <c r="E507" s="22"/>
      <c r="F507" s="23"/>
      <c r="G507" s="32">
        <v>100</v>
      </c>
      <c r="H507" s="32">
        <v>0</v>
      </c>
      <c r="I507" s="52">
        <f t="shared" si="38"/>
        <v>100</v>
      </c>
      <c r="J507" s="28"/>
      <c r="K507" s="18">
        <f t="shared" si="40"/>
        <v>29094</v>
      </c>
    </row>
    <row r="508" spans="2:11" x14ac:dyDescent="0.45">
      <c r="B508" s="19">
        <f t="shared" si="39"/>
        <v>6</v>
      </c>
      <c r="C508" s="10">
        <v>46251</v>
      </c>
      <c r="D508" s="21" t="s">
        <v>137</v>
      </c>
      <c r="E508" s="22"/>
      <c r="F508" s="23"/>
      <c r="G508" s="32">
        <v>220</v>
      </c>
      <c r="H508" s="32">
        <v>0</v>
      </c>
      <c r="I508" s="52">
        <f t="shared" si="38"/>
        <v>220</v>
      </c>
      <c r="J508" s="27"/>
      <c r="K508" s="18">
        <f t="shared" si="40"/>
        <v>29095</v>
      </c>
    </row>
    <row r="509" spans="2:11" x14ac:dyDescent="0.45">
      <c r="B509" s="19">
        <f t="shared" si="39"/>
        <v>7</v>
      </c>
      <c r="C509" s="10">
        <v>46251</v>
      </c>
      <c r="D509" s="21" t="s">
        <v>166</v>
      </c>
      <c r="E509" s="22"/>
      <c r="F509" s="23"/>
      <c r="G509" s="32">
        <v>1900</v>
      </c>
      <c r="H509" s="32">
        <v>570</v>
      </c>
      <c r="I509" s="52">
        <f t="shared" si="38"/>
        <v>1330</v>
      </c>
      <c r="J509" s="27"/>
      <c r="K509" s="18">
        <f t="shared" si="40"/>
        <v>29096</v>
      </c>
    </row>
    <row r="510" spans="2:11" x14ac:dyDescent="0.45">
      <c r="B510" s="19">
        <f t="shared" si="39"/>
        <v>8</v>
      </c>
      <c r="C510" s="10">
        <v>46251</v>
      </c>
      <c r="D510" s="21" t="s">
        <v>303</v>
      </c>
      <c r="E510" s="22"/>
      <c r="F510" s="23"/>
      <c r="G510" s="32">
        <v>1700</v>
      </c>
      <c r="H510" s="32">
        <v>510</v>
      </c>
      <c r="I510" s="52">
        <f t="shared" si="38"/>
        <v>1190</v>
      </c>
      <c r="J510" s="27"/>
      <c r="K510" s="18">
        <f t="shared" si="40"/>
        <v>29097</v>
      </c>
    </row>
    <row r="511" spans="2:11" x14ac:dyDescent="0.45">
      <c r="B511" s="19">
        <f t="shared" si="39"/>
        <v>9</v>
      </c>
      <c r="C511" s="10">
        <v>46251</v>
      </c>
      <c r="D511" s="21" t="s">
        <v>304</v>
      </c>
      <c r="E511" s="22"/>
      <c r="F511" s="23"/>
      <c r="G511" s="32">
        <v>1900</v>
      </c>
      <c r="H511" s="32">
        <v>570</v>
      </c>
      <c r="I511" s="52">
        <f t="shared" si="38"/>
        <v>1330</v>
      </c>
      <c r="J511" s="27"/>
      <c r="K511" s="18">
        <f t="shared" si="40"/>
        <v>29098</v>
      </c>
    </row>
    <row r="512" spans="2:11" x14ac:dyDescent="0.45">
      <c r="B512" s="19">
        <f t="shared" si="39"/>
        <v>10</v>
      </c>
      <c r="C512" s="10">
        <v>46251</v>
      </c>
      <c r="D512" s="21" t="s">
        <v>130</v>
      </c>
      <c r="E512" s="22"/>
      <c r="F512" s="23"/>
      <c r="G512" s="32">
        <v>1900</v>
      </c>
      <c r="H512" s="32">
        <v>200</v>
      </c>
      <c r="I512" s="52">
        <f t="shared" si="38"/>
        <v>1700</v>
      </c>
      <c r="J512" s="27"/>
      <c r="K512" s="18">
        <f t="shared" si="40"/>
        <v>29099</v>
      </c>
    </row>
    <row r="513" spans="2:11" x14ac:dyDescent="0.45">
      <c r="B513" s="19">
        <f t="shared" si="39"/>
        <v>11</v>
      </c>
      <c r="C513" s="10">
        <v>46251</v>
      </c>
      <c r="D513" s="21" t="s">
        <v>130</v>
      </c>
      <c r="E513" s="22"/>
      <c r="F513" s="33"/>
      <c r="G513" s="32">
        <v>1900</v>
      </c>
      <c r="H513" s="32">
        <v>570</v>
      </c>
      <c r="I513" s="52">
        <f t="shared" si="38"/>
        <v>1330</v>
      </c>
      <c r="J513" s="28"/>
      <c r="K513" s="18">
        <f t="shared" si="40"/>
        <v>29100</v>
      </c>
    </row>
    <row r="514" spans="2:11" x14ac:dyDescent="0.45">
      <c r="B514" s="19">
        <f t="shared" si="39"/>
        <v>12</v>
      </c>
      <c r="C514" s="10">
        <v>46251</v>
      </c>
      <c r="D514" s="21" t="s">
        <v>305</v>
      </c>
      <c r="E514" s="22"/>
      <c r="F514" s="22"/>
      <c r="G514" s="32">
        <v>220</v>
      </c>
      <c r="H514" s="32">
        <v>0</v>
      </c>
      <c r="I514" s="52">
        <f t="shared" si="38"/>
        <v>220</v>
      </c>
      <c r="J514" s="27"/>
      <c r="K514" s="18">
        <f t="shared" si="40"/>
        <v>29101</v>
      </c>
    </row>
    <row r="515" spans="2:11" x14ac:dyDescent="0.45">
      <c r="B515" s="19">
        <f t="shared" si="39"/>
        <v>13</v>
      </c>
      <c r="C515" s="10">
        <v>46251</v>
      </c>
      <c r="D515" s="21" t="s">
        <v>130</v>
      </c>
      <c r="E515" s="22"/>
      <c r="F515" s="22"/>
      <c r="G515" s="32">
        <v>1900</v>
      </c>
      <c r="H515" s="32">
        <v>200</v>
      </c>
      <c r="I515" s="52">
        <f t="shared" si="38"/>
        <v>1700</v>
      </c>
      <c r="J515" s="27"/>
      <c r="K515" s="18">
        <f t="shared" si="40"/>
        <v>29102</v>
      </c>
    </row>
    <row r="516" spans="2:11" x14ac:dyDescent="0.45">
      <c r="B516" s="19">
        <f t="shared" si="39"/>
        <v>14</v>
      </c>
      <c r="C516" s="10">
        <v>46251</v>
      </c>
      <c r="D516" s="21" t="s">
        <v>305</v>
      </c>
      <c r="E516" s="22"/>
      <c r="F516" s="22"/>
      <c r="G516" s="32">
        <v>220</v>
      </c>
      <c r="H516" s="32">
        <v>0</v>
      </c>
      <c r="I516" s="52">
        <f t="shared" si="38"/>
        <v>220</v>
      </c>
      <c r="J516" s="27"/>
      <c r="K516" s="18">
        <f t="shared" si="40"/>
        <v>29103</v>
      </c>
    </row>
    <row r="517" spans="2:11" x14ac:dyDescent="0.45">
      <c r="B517" s="19">
        <f t="shared" si="39"/>
        <v>15</v>
      </c>
      <c r="C517" s="10">
        <v>46251</v>
      </c>
      <c r="D517" s="21" t="s">
        <v>130</v>
      </c>
      <c r="E517" s="22"/>
      <c r="F517" s="22"/>
      <c r="G517" s="32">
        <v>1900</v>
      </c>
      <c r="H517" s="32">
        <v>570</v>
      </c>
      <c r="I517" s="52">
        <f t="shared" si="38"/>
        <v>1330</v>
      </c>
      <c r="J517" s="27"/>
      <c r="K517" s="18">
        <f t="shared" si="40"/>
        <v>29104</v>
      </c>
    </row>
    <row r="518" spans="2:11" x14ac:dyDescent="0.45">
      <c r="B518" s="19">
        <f t="shared" si="39"/>
        <v>16</v>
      </c>
      <c r="C518" s="10">
        <v>46251</v>
      </c>
      <c r="D518" s="21" t="s">
        <v>109</v>
      </c>
      <c r="E518" s="22"/>
      <c r="F518" s="22"/>
      <c r="G518" s="32">
        <v>440</v>
      </c>
      <c r="H518" s="32">
        <v>0</v>
      </c>
      <c r="I518" s="52">
        <f t="shared" si="38"/>
        <v>440</v>
      </c>
      <c r="J518" s="27"/>
      <c r="K518" s="18">
        <f t="shared" si="40"/>
        <v>29105</v>
      </c>
    </row>
    <row r="519" spans="2:11" x14ac:dyDescent="0.45">
      <c r="B519" s="19">
        <f t="shared" si="39"/>
        <v>17</v>
      </c>
      <c r="C519" s="10">
        <v>46251</v>
      </c>
      <c r="D519" s="21" t="s">
        <v>48</v>
      </c>
      <c r="E519" s="22"/>
      <c r="F519" s="22"/>
      <c r="G519" s="32">
        <v>440</v>
      </c>
      <c r="H519" s="32">
        <v>0</v>
      </c>
      <c r="I519" s="52">
        <f t="shared" si="38"/>
        <v>440</v>
      </c>
      <c r="J519" s="27"/>
      <c r="K519" s="18">
        <f t="shared" si="40"/>
        <v>29106</v>
      </c>
    </row>
    <row r="520" spans="2:11" x14ac:dyDescent="0.45">
      <c r="B520" s="19">
        <f t="shared" si="39"/>
        <v>18</v>
      </c>
      <c r="C520" s="10">
        <v>46251</v>
      </c>
      <c r="D520" s="21" t="s">
        <v>130</v>
      </c>
      <c r="E520" s="22"/>
      <c r="F520" s="22"/>
      <c r="G520" s="32">
        <v>1900</v>
      </c>
      <c r="H520" s="32">
        <v>570</v>
      </c>
      <c r="I520" s="52">
        <f t="shared" si="38"/>
        <v>1330</v>
      </c>
      <c r="J520" s="27"/>
      <c r="K520" s="18">
        <f t="shared" si="40"/>
        <v>29107</v>
      </c>
    </row>
    <row r="521" spans="2:11" x14ac:dyDescent="0.45">
      <c r="B521" s="19">
        <f t="shared" si="39"/>
        <v>19</v>
      </c>
      <c r="C521" s="10">
        <v>46251</v>
      </c>
      <c r="D521" s="21" t="s">
        <v>306</v>
      </c>
      <c r="E521" s="22"/>
      <c r="F521" s="22"/>
      <c r="G521" s="32">
        <v>1600</v>
      </c>
      <c r="H521" s="32">
        <v>0</v>
      </c>
      <c r="I521" s="52">
        <f t="shared" si="38"/>
        <v>1600</v>
      </c>
      <c r="J521" s="27"/>
      <c r="K521" s="18">
        <f t="shared" si="40"/>
        <v>29108</v>
      </c>
    </row>
    <row r="522" spans="2:11" x14ac:dyDescent="0.45">
      <c r="B522" s="19">
        <f t="shared" si="39"/>
        <v>20</v>
      </c>
      <c r="C522" s="10">
        <v>46251</v>
      </c>
      <c r="D522" s="21" t="s">
        <v>307</v>
      </c>
      <c r="E522" s="22"/>
      <c r="F522" s="22"/>
      <c r="G522" s="32">
        <f>1800+1540</f>
        <v>3340</v>
      </c>
      <c r="H522" s="32">
        <v>540</v>
      </c>
      <c r="I522" s="52">
        <f t="shared" si="38"/>
        <v>2800</v>
      </c>
      <c r="J522" s="27"/>
      <c r="K522" s="18">
        <f t="shared" si="40"/>
        <v>29109</v>
      </c>
    </row>
    <row r="523" spans="2:11" x14ac:dyDescent="0.45">
      <c r="B523" s="19">
        <f t="shared" si="39"/>
        <v>21</v>
      </c>
      <c r="C523" s="10">
        <v>46251</v>
      </c>
      <c r="D523" s="21" t="s">
        <v>308</v>
      </c>
      <c r="E523" s="22"/>
      <c r="F523" s="22"/>
      <c r="G523" s="32">
        <v>1900</v>
      </c>
      <c r="H523" s="32">
        <v>570</v>
      </c>
      <c r="I523" s="52">
        <f t="shared" si="38"/>
        <v>1330</v>
      </c>
      <c r="J523" s="27"/>
      <c r="K523" s="18">
        <f t="shared" si="40"/>
        <v>29110</v>
      </c>
    </row>
    <row r="524" spans="2:11" x14ac:dyDescent="0.45">
      <c r="B524" s="19">
        <f t="shared" si="39"/>
        <v>22</v>
      </c>
      <c r="C524" s="10">
        <v>46251</v>
      </c>
      <c r="D524" s="21" t="s">
        <v>309</v>
      </c>
      <c r="E524" s="22"/>
      <c r="F524" s="22"/>
      <c r="G524" s="32">
        <f>14000+10000</f>
        <v>24000</v>
      </c>
      <c r="H524" s="32">
        <f>1050*4</f>
        <v>4200</v>
      </c>
      <c r="I524" s="52">
        <f t="shared" si="38"/>
        <v>19800</v>
      </c>
      <c r="J524" s="27"/>
      <c r="K524" s="18">
        <f t="shared" si="40"/>
        <v>29111</v>
      </c>
    </row>
    <row r="525" spans="2:11" x14ac:dyDescent="0.45">
      <c r="B525" s="19">
        <f t="shared" si="39"/>
        <v>23</v>
      </c>
      <c r="C525" s="10">
        <v>46251</v>
      </c>
      <c r="D525" s="21" t="s">
        <v>310</v>
      </c>
      <c r="E525" s="22"/>
      <c r="F525" s="22"/>
      <c r="G525" s="32">
        <v>1080</v>
      </c>
      <c r="H525" s="32">
        <v>0</v>
      </c>
      <c r="I525" s="52">
        <f t="shared" si="38"/>
        <v>1080</v>
      </c>
      <c r="J525" s="27"/>
      <c r="K525" s="18">
        <f t="shared" si="40"/>
        <v>29112</v>
      </c>
    </row>
    <row r="526" spans="2:11" x14ac:dyDescent="0.45">
      <c r="B526" s="19">
        <f t="shared" si="39"/>
        <v>24</v>
      </c>
      <c r="C526" s="10">
        <v>46251</v>
      </c>
      <c r="D526" s="21" t="s">
        <v>311</v>
      </c>
      <c r="E526" s="22"/>
      <c r="F526" s="22"/>
      <c r="G526" s="32">
        <v>2800</v>
      </c>
      <c r="H526" s="32">
        <v>0</v>
      </c>
      <c r="I526" s="52">
        <f t="shared" si="38"/>
        <v>2800</v>
      </c>
      <c r="J526" s="27"/>
      <c r="K526" s="18">
        <f t="shared" si="40"/>
        <v>29113</v>
      </c>
    </row>
    <row r="527" spans="2:11" x14ac:dyDescent="0.45">
      <c r="B527" s="19">
        <f t="shared" si="39"/>
        <v>25</v>
      </c>
      <c r="C527" s="10">
        <v>46251</v>
      </c>
      <c r="D527" s="21" t="s">
        <v>312</v>
      </c>
      <c r="E527" s="22"/>
      <c r="F527" s="22"/>
      <c r="G527" s="32">
        <v>4900</v>
      </c>
      <c r="H527" s="32">
        <v>1470</v>
      </c>
      <c r="I527" s="52">
        <f t="shared" si="38"/>
        <v>3430</v>
      </c>
      <c r="J527" s="27"/>
      <c r="K527" s="18">
        <f t="shared" si="40"/>
        <v>29114</v>
      </c>
    </row>
    <row r="528" spans="2:11" ht="14.65" thickBot="1" x14ac:dyDescent="0.5">
      <c r="F528" s="38" t="s">
        <v>26</v>
      </c>
      <c r="G528" s="39">
        <f>SUM(G503:G527)</f>
        <v>68360</v>
      </c>
      <c r="H528" s="39">
        <f>SUM(H503:H527)</f>
        <v>11140</v>
      </c>
      <c r="I528" s="39">
        <f>SUM(I503:I527)</f>
        <v>57220</v>
      </c>
      <c r="K528" s="41"/>
    </row>
    <row r="530" spans="2:11" ht="15.75" x14ac:dyDescent="0.5">
      <c r="D530" s="42" t="s">
        <v>28</v>
      </c>
      <c r="E530" s="42"/>
      <c r="F530" s="43" t="s">
        <v>29</v>
      </c>
      <c r="G530" s="44"/>
      <c r="H530" s="44"/>
      <c r="I530" s="45"/>
      <c r="J530" s="46"/>
    </row>
    <row r="531" spans="2:11" x14ac:dyDescent="0.45">
      <c r="D531" s="47" t="s">
        <v>30</v>
      </c>
      <c r="E531" s="47"/>
      <c r="F531" s="48">
        <v>37360</v>
      </c>
      <c r="G531" s="49"/>
      <c r="H531" s="49"/>
      <c r="I531" s="50"/>
      <c r="K531" s="51"/>
    </row>
    <row r="532" spans="2:11" x14ac:dyDescent="0.45">
      <c r="D532" s="47" t="s">
        <v>31</v>
      </c>
      <c r="E532" s="47"/>
      <c r="F532" s="52">
        <v>0</v>
      </c>
      <c r="G532" s="53"/>
      <c r="H532" s="53"/>
      <c r="I532" s="50"/>
    </row>
    <row r="533" spans="2:11" x14ac:dyDescent="0.45">
      <c r="D533" s="47" t="s">
        <v>32</v>
      </c>
      <c r="E533" s="47"/>
      <c r="F533" s="54">
        <v>14430</v>
      </c>
      <c r="G533" s="55"/>
      <c r="H533" s="55"/>
      <c r="J533" s="46"/>
    </row>
    <row r="534" spans="2:11" x14ac:dyDescent="0.45">
      <c r="D534" s="47" t="s">
        <v>33</v>
      </c>
      <c r="E534" s="47"/>
      <c r="F534" s="54">
        <v>5430</v>
      </c>
      <c r="G534" s="55"/>
      <c r="H534" s="55"/>
      <c r="I534" s="50"/>
    </row>
    <row r="535" spans="2:11" x14ac:dyDescent="0.45">
      <c r="D535" s="47" t="s">
        <v>34</v>
      </c>
      <c r="E535" s="47"/>
      <c r="F535" s="52">
        <v>0</v>
      </c>
      <c r="G535" s="53"/>
      <c r="H535" s="53"/>
      <c r="I535" s="50"/>
    </row>
    <row r="536" spans="2:11" ht="15.75" thickBot="1" x14ac:dyDescent="0.65">
      <c r="D536" s="56" t="s">
        <v>35</v>
      </c>
      <c r="E536" s="56"/>
      <c r="F536" s="57">
        <f>SUM(F531:F535)</f>
        <v>57220</v>
      </c>
      <c r="G536" s="58">
        <f>+I528-F536</f>
        <v>0</v>
      </c>
      <c r="H536" s="58"/>
      <c r="I536" s="50"/>
    </row>
    <row r="537" spans="2:11" ht="15" thickTop="1" thickBot="1" x14ac:dyDescent="0.5"/>
    <row r="538" spans="2:11" ht="21.4" thickBot="1" x14ac:dyDescent="0.7">
      <c r="B538" s="1" t="s">
        <v>313</v>
      </c>
      <c r="C538" s="1"/>
      <c r="D538" s="2"/>
      <c r="E538" s="1"/>
      <c r="F538" s="1"/>
      <c r="G538" s="1"/>
      <c r="H538" s="1"/>
      <c r="I538" s="1"/>
      <c r="J538" s="1"/>
      <c r="K538" s="3"/>
    </row>
    <row r="539" spans="2:11" ht="24.4" thickBot="1" x14ac:dyDescent="0.55000000000000004">
      <c r="B539" s="4" t="s">
        <v>1</v>
      </c>
      <c r="C539" s="5" t="s">
        <v>2</v>
      </c>
      <c r="D539" s="5" t="s">
        <v>3</v>
      </c>
      <c r="E539" s="5" t="s">
        <v>4</v>
      </c>
      <c r="F539" s="6" t="s">
        <v>5</v>
      </c>
      <c r="G539" s="6" t="s">
        <v>6</v>
      </c>
      <c r="H539" s="6" t="s">
        <v>7</v>
      </c>
      <c r="I539" s="7" t="s">
        <v>8</v>
      </c>
      <c r="J539" s="5" t="s">
        <v>9</v>
      </c>
      <c r="K539" s="8" t="s">
        <v>10</v>
      </c>
    </row>
    <row r="540" spans="2:11" x14ac:dyDescent="0.45">
      <c r="B540" s="9">
        <v>1</v>
      </c>
      <c r="C540" s="10">
        <v>46252</v>
      </c>
      <c r="D540" s="21" t="s">
        <v>314</v>
      </c>
      <c r="E540" s="30"/>
      <c r="F540" s="31"/>
      <c r="G540" s="32">
        <v>1800</v>
      </c>
      <c r="H540" s="32">
        <v>540</v>
      </c>
      <c r="I540" s="68">
        <f>+G540-H540</f>
        <v>1260</v>
      </c>
      <c r="J540" s="17"/>
      <c r="K540" s="18">
        <v>29115</v>
      </c>
    </row>
    <row r="541" spans="2:11" x14ac:dyDescent="0.45">
      <c r="B541" s="19">
        <f>+B540+1</f>
        <v>2</v>
      </c>
      <c r="C541" s="10">
        <v>46252</v>
      </c>
      <c r="D541" s="21" t="s">
        <v>314</v>
      </c>
      <c r="E541" s="22"/>
      <c r="F541" s="23"/>
      <c r="G541" s="32">
        <v>220</v>
      </c>
      <c r="H541" s="32">
        <v>0</v>
      </c>
      <c r="I541" s="52">
        <f t="shared" ref="I541:I564" si="41">+G541-H541</f>
        <v>220</v>
      </c>
      <c r="J541" s="26"/>
      <c r="K541" s="18">
        <f>+K540+1</f>
        <v>29116</v>
      </c>
    </row>
    <row r="542" spans="2:11" x14ac:dyDescent="0.45">
      <c r="B542" s="19">
        <f t="shared" ref="B542:B564" si="42">+B541+1</f>
        <v>3</v>
      </c>
      <c r="C542" s="10">
        <v>46252</v>
      </c>
      <c r="D542" s="21" t="s">
        <v>315</v>
      </c>
      <c r="E542" s="22"/>
      <c r="F542" s="23"/>
      <c r="G542" s="32">
        <v>4900</v>
      </c>
      <c r="H542" s="32">
        <v>1470</v>
      </c>
      <c r="I542" s="52">
        <f t="shared" si="41"/>
        <v>3430</v>
      </c>
      <c r="J542" s="26"/>
      <c r="K542" s="18">
        <f t="shared" ref="K542:K564" si="43">+K541+1</f>
        <v>29117</v>
      </c>
    </row>
    <row r="543" spans="2:11" x14ac:dyDescent="0.45">
      <c r="B543" s="19">
        <f t="shared" si="42"/>
        <v>4</v>
      </c>
      <c r="C543" s="10">
        <v>46252</v>
      </c>
      <c r="D543" s="21" t="s">
        <v>316</v>
      </c>
      <c r="E543" s="22"/>
      <c r="F543" s="23"/>
      <c r="G543" s="32">
        <v>1900</v>
      </c>
      <c r="H543" s="32">
        <v>0</v>
      </c>
      <c r="I543" s="52">
        <f t="shared" si="41"/>
        <v>1900</v>
      </c>
      <c r="J543" s="27"/>
      <c r="K543" s="18">
        <f t="shared" si="43"/>
        <v>29118</v>
      </c>
    </row>
    <row r="544" spans="2:11" x14ac:dyDescent="0.45">
      <c r="B544" s="19">
        <f t="shared" si="42"/>
        <v>5</v>
      </c>
      <c r="C544" s="10">
        <v>46252</v>
      </c>
      <c r="D544" s="21" t="s">
        <v>317</v>
      </c>
      <c r="E544" s="22"/>
      <c r="F544" s="23"/>
      <c r="G544" s="32">
        <f>2500+1330</f>
        <v>3830</v>
      </c>
      <c r="H544" s="32">
        <v>750</v>
      </c>
      <c r="I544" s="52">
        <f t="shared" si="41"/>
        <v>3080</v>
      </c>
      <c r="J544" s="28"/>
      <c r="K544" s="18">
        <f t="shared" si="43"/>
        <v>29119</v>
      </c>
    </row>
    <row r="545" spans="2:11" x14ac:dyDescent="0.45">
      <c r="B545" s="19">
        <f t="shared" si="42"/>
        <v>6</v>
      </c>
      <c r="C545" s="10">
        <v>46252</v>
      </c>
      <c r="D545" s="21" t="s">
        <v>318</v>
      </c>
      <c r="E545" s="22"/>
      <c r="F545" s="23"/>
      <c r="G545" s="32">
        <v>2200</v>
      </c>
      <c r="H545" s="32">
        <v>660</v>
      </c>
      <c r="I545" s="52">
        <f t="shared" si="41"/>
        <v>1540</v>
      </c>
      <c r="J545" s="27"/>
      <c r="K545" s="18">
        <f t="shared" si="43"/>
        <v>29120</v>
      </c>
    </row>
    <row r="546" spans="2:11" x14ac:dyDescent="0.45">
      <c r="B546" s="19">
        <f t="shared" si="42"/>
        <v>7</v>
      </c>
      <c r="C546" s="10">
        <v>46252</v>
      </c>
      <c r="D546" s="21" t="s">
        <v>319</v>
      </c>
      <c r="E546" s="22"/>
      <c r="F546" s="23"/>
      <c r="G546" s="32">
        <v>1900</v>
      </c>
      <c r="H546" s="32">
        <v>0</v>
      </c>
      <c r="I546" s="52">
        <f t="shared" si="41"/>
        <v>1900</v>
      </c>
      <c r="J546" s="27"/>
      <c r="K546" s="18">
        <f t="shared" si="43"/>
        <v>29121</v>
      </c>
    </row>
    <row r="547" spans="2:11" x14ac:dyDescent="0.45">
      <c r="B547" s="19">
        <f t="shared" si="42"/>
        <v>8</v>
      </c>
      <c r="C547" s="10">
        <v>46252</v>
      </c>
      <c r="D547" s="21" t="s">
        <v>320</v>
      </c>
      <c r="E547" s="22"/>
      <c r="F547" s="23"/>
      <c r="G547" s="32">
        <v>2500</v>
      </c>
      <c r="H547" s="32">
        <v>0</v>
      </c>
      <c r="I547" s="52">
        <f t="shared" si="41"/>
        <v>2500</v>
      </c>
      <c r="J547" s="27"/>
      <c r="K547" s="18">
        <f t="shared" si="43"/>
        <v>29122</v>
      </c>
    </row>
    <row r="548" spans="2:11" x14ac:dyDescent="0.45">
      <c r="B548" s="19">
        <f t="shared" si="42"/>
        <v>9</v>
      </c>
      <c r="C548" s="10">
        <v>46252</v>
      </c>
      <c r="D548" s="21" t="s">
        <v>321</v>
      </c>
      <c r="E548" s="22"/>
      <c r="F548" s="23"/>
      <c r="G548" s="32">
        <v>1900</v>
      </c>
      <c r="H548" s="32">
        <v>570</v>
      </c>
      <c r="I548" s="52">
        <f t="shared" si="41"/>
        <v>1330</v>
      </c>
      <c r="J548" s="27"/>
      <c r="K548" s="18">
        <f t="shared" si="43"/>
        <v>29123</v>
      </c>
    </row>
    <row r="549" spans="2:11" x14ac:dyDescent="0.45">
      <c r="B549" s="19">
        <f t="shared" si="42"/>
        <v>10</v>
      </c>
      <c r="C549" s="10">
        <v>46252</v>
      </c>
      <c r="D549" s="21" t="s">
        <v>322</v>
      </c>
      <c r="E549" s="22"/>
      <c r="F549" s="23"/>
      <c r="G549" s="32">
        <f>3500*8</f>
        <v>28000</v>
      </c>
      <c r="H549" s="32">
        <f>1500*8</f>
        <v>12000</v>
      </c>
      <c r="I549" s="52">
        <f t="shared" si="41"/>
        <v>16000</v>
      </c>
      <c r="J549" s="27"/>
      <c r="K549" s="18">
        <f t="shared" si="43"/>
        <v>29124</v>
      </c>
    </row>
    <row r="550" spans="2:11" x14ac:dyDescent="0.45">
      <c r="B550" s="19">
        <f t="shared" si="42"/>
        <v>11</v>
      </c>
      <c r="C550" s="10">
        <v>46252</v>
      </c>
      <c r="D550" s="21" t="s">
        <v>323</v>
      </c>
      <c r="E550" s="22"/>
      <c r="F550" s="33"/>
      <c r="G550" s="32">
        <f>3500*3</f>
        <v>10500</v>
      </c>
      <c r="H550" s="32">
        <f>1050*3</f>
        <v>3150</v>
      </c>
      <c r="I550" s="52">
        <f t="shared" si="41"/>
        <v>7350</v>
      </c>
      <c r="J550" s="28"/>
      <c r="K550" s="18">
        <f t="shared" si="43"/>
        <v>29125</v>
      </c>
    </row>
    <row r="551" spans="2:11" x14ac:dyDescent="0.45">
      <c r="B551" s="19">
        <f t="shared" si="42"/>
        <v>12</v>
      </c>
      <c r="C551" s="10">
        <v>46252</v>
      </c>
      <c r="D551" s="21" t="s">
        <v>324</v>
      </c>
      <c r="E551" s="22"/>
      <c r="F551" s="22"/>
      <c r="G551" s="32">
        <v>10500</v>
      </c>
      <c r="H551" s="32">
        <v>3150</v>
      </c>
      <c r="I551" s="52">
        <f t="shared" si="41"/>
        <v>7350</v>
      </c>
      <c r="J551" s="27"/>
      <c r="K551" s="18">
        <f t="shared" si="43"/>
        <v>29126</v>
      </c>
    </row>
    <row r="552" spans="2:11" x14ac:dyDescent="0.45">
      <c r="B552" s="19">
        <f t="shared" si="42"/>
        <v>13</v>
      </c>
      <c r="C552" s="10">
        <v>46252</v>
      </c>
      <c r="D552" s="21" t="s">
        <v>325</v>
      </c>
      <c r="E552" s="22"/>
      <c r="F552" s="22"/>
      <c r="G552" s="32">
        <v>5900</v>
      </c>
      <c r="H552" s="32">
        <v>1000</v>
      </c>
      <c r="I552" s="52">
        <f t="shared" si="41"/>
        <v>4900</v>
      </c>
      <c r="J552" s="27"/>
      <c r="K552" s="18">
        <f t="shared" si="43"/>
        <v>29127</v>
      </c>
    </row>
    <row r="553" spans="2:11" x14ac:dyDescent="0.45">
      <c r="B553" s="19">
        <f t="shared" si="42"/>
        <v>14</v>
      </c>
      <c r="C553" s="10">
        <v>46252</v>
      </c>
      <c r="D553" s="21" t="s">
        <v>326</v>
      </c>
      <c r="E553" s="22"/>
      <c r="F553" s="22"/>
      <c r="G553" s="32">
        <v>1700</v>
      </c>
      <c r="H553" s="32">
        <v>0</v>
      </c>
      <c r="I553" s="52">
        <f t="shared" si="41"/>
        <v>1700</v>
      </c>
      <c r="J553" s="27"/>
      <c r="K553" s="18">
        <f t="shared" si="43"/>
        <v>29128</v>
      </c>
    </row>
    <row r="554" spans="2:11" x14ac:dyDescent="0.45">
      <c r="B554" s="19">
        <f t="shared" si="42"/>
        <v>15</v>
      </c>
      <c r="C554" s="10">
        <v>46252</v>
      </c>
      <c r="D554" s="21" t="s">
        <v>327</v>
      </c>
      <c r="E554" s="22"/>
      <c r="F554" s="22"/>
      <c r="G554" s="32">
        <f>3500*7</f>
        <v>24500</v>
      </c>
      <c r="H554" s="32">
        <f>1050*7</f>
        <v>7350</v>
      </c>
      <c r="I554" s="52">
        <f t="shared" si="41"/>
        <v>17150</v>
      </c>
      <c r="J554" s="27"/>
      <c r="K554" s="18">
        <f t="shared" si="43"/>
        <v>29129</v>
      </c>
    </row>
    <row r="555" spans="2:11" x14ac:dyDescent="0.45">
      <c r="B555" s="19">
        <f t="shared" si="42"/>
        <v>16</v>
      </c>
      <c r="C555" s="10">
        <v>46252</v>
      </c>
      <c r="D555" s="21" t="s">
        <v>328</v>
      </c>
      <c r="E555" s="22"/>
      <c r="F555" s="22"/>
      <c r="G555" s="32">
        <v>1800</v>
      </c>
      <c r="H555" s="32">
        <v>300</v>
      </c>
      <c r="I555" s="52">
        <f t="shared" si="41"/>
        <v>1500</v>
      </c>
      <c r="J555" s="27"/>
      <c r="K555" s="18">
        <f t="shared" si="43"/>
        <v>29130</v>
      </c>
    </row>
    <row r="556" spans="2:11" x14ac:dyDescent="0.45">
      <c r="B556" s="19">
        <f t="shared" si="42"/>
        <v>17</v>
      </c>
      <c r="C556" s="10">
        <v>46252</v>
      </c>
      <c r="D556" s="11" t="s">
        <v>122</v>
      </c>
      <c r="E556" s="22"/>
      <c r="F556" s="22"/>
      <c r="G556" s="32">
        <v>1700</v>
      </c>
      <c r="H556" s="32">
        <v>200</v>
      </c>
      <c r="I556" s="52">
        <f t="shared" si="41"/>
        <v>1500</v>
      </c>
      <c r="J556" s="27"/>
      <c r="K556" s="18">
        <f t="shared" si="43"/>
        <v>29131</v>
      </c>
    </row>
    <row r="557" spans="2:11" x14ac:dyDescent="0.45">
      <c r="B557" s="19">
        <f t="shared" si="42"/>
        <v>18</v>
      </c>
      <c r="C557" s="10">
        <v>46252</v>
      </c>
      <c r="D557" s="21" t="s">
        <v>329</v>
      </c>
      <c r="E557" s="22"/>
      <c r="F557" s="22"/>
      <c r="G557" s="32">
        <v>1700</v>
      </c>
      <c r="H557" s="32">
        <v>0</v>
      </c>
      <c r="I557" s="52">
        <f t="shared" si="41"/>
        <v>1700</v>
      </c>
      <c r="J557" s="27"/>
      <c r="K557" s="18">
        <f t="shared" si="43"/>
        <v>29132</v>
      </c>
    </row>
    <row r="558" spans="2:11" x14ac:dyDescent="0.45">
      <c r="B558" s="19">
        <f t="shared" si="42"/>
        <v>19</v>
      </c>
      <c r="C558" s="10">
        <v>46252</v>
      </c>
      <c r="D558" s="21" t="s">
        <v>330</v>
      </c>
      <c r="E558" s="22"/>
      <c r="F558" s="22"/>
      <c r="G558" s="32">
        <f>3200+1760</f>
        <v>4960</v>
      </c>
      <c r="H558" s="32">
        <v>640</v>
      </c>
      <c r="I558" s="52">
        <f t="shared" si="41"/>
        <v>4320</v>
      </c>
      <c r="J558" s="27"/>
      <c r="K558" s="18">
        <f t="shared" si="43"/>
        <v>29133</v>
      </c>
    </row>
    <row r="559" spans="2:11" x14ac:dyDescent="0.45">
      <c r="B559" s="19">
        <f t="shared" si="42"/>
        <v>20</v>
      </c>
      <c r="C559" s="10">
        <v>46252</v>
      </c>
      <c r="D559" s="21" t="s">
        <v>331</v>
      </c>
      <c r="E559" s="22"/>
      <c r="F559" s="22"/>
      <c r="G559" s="32">
        <v>1900</v>
      </c>
      <c r="H559" s="32">
        <v>570</v>
      </c>
      <c r="I559" s="52">
        <f t="shared" si="41"/>
        <v>1330</v>
      </c>
      <c r="J559" s="27"/>
      <c r="K559" s="18">
        <f t="shared" si="43"/>
        <v>29134</v>
      </c>
    </row>
    <row r="560" spans="2:11" x14ac:dyDescent="0.45">
      <c r="B560" s="19">
        <f t="shared" si="42"/>
        <v>21</v>
      </c>
      <c r="C560" s="10">
        <v>46252</v>
      </c>
      <c r="D560" s="21" t="s">
        <v>144</v>
      </c>
      <c r="E560" s="22"/>
      <c r="F560" s="22"/>
      <c r="G560" s="32">
        <v>220</v>
      </c>
      <c r="H560" s="32">
        <v>0</v>
      </c>
      <c r="I560" s="52">
        <f t="shared" si="41"/>
        <v>220</v>
      </c>
      <c r="J560" s="27"/>
      <c r="K560" s="18">
        <f t="shared" si="43"/>
        <v>29135</v>
      </c>
    </row>
    <row r="561" spans="2:11" x14ac:dyDescent="0.45">
      <c r="B561" s="19">
        <f t="shared" si="42"/>
        <v>22</v>
      </c>
      <c r="C561" s="10">
        <v>46252</v>
      </c>
      <c r="D561" s="21" t="s">
        <v>332</v>
      </c>
      <c r="E561" s="22"/>
      <c r="F561" s="22"/>
      <c r="G561" s="32">
        <v>1800</v>
      </c>
      <c r="H561" s="32">
        <v>400</v>
      </c>
      <c r="I561" s="52">
        <f t="shared" si="41"/>
        <v>1400</v>
      </c>
      <c r="J561" s="27"/>
      <c r="K561" s="18">
        <f t="shared" si="43"/>
        <v>29136</v>
      </c>
    </row>
    <row r="562" spans="2:11" x14ac:dyDescent="0.45">
      <c r="B562" s="19">
        <f t="shared" si="42"/>
        <v>23</v>
      </c>
      <c r="C562" s="10">
        <v>46252</v>
      </c>
      <c r="D562" s="11" t="s">
        <v>333</v>
      </c>
      <c r="E562" s="22"/>
      <c r="F562" s="22"/>
      <c r="G562" s="32">
        <v>720</v>
      </c>
      <c r="H562" s="32">
        <v>0</v>
      </c>
      <c r="I562" s="52">
        <f t="shared" si="41"/>
        <v>720</v>
      </c>
      <c r="J562" s="27"/>
      <c r="K562" s="18">
        <f t="shared" si="43"/>
        <v>29137</v>
      </c>
    </row>
    <row r="563" spans="2:11" x14ac:dyDescent="0.45">
      <c r="B563" s="19">
        <f t="shared" si="42"/>
        <v>24</v>
      </c>
      <c r="C563" s="10">
        <v>46252</v>
      </c>
      <c r="D563" s="21" t="s">
        <v>106</v>
      </c>
      <c r="E563" s="22"/>
      <c r="F563" s="22"/>
      <c r="G563" s="32">
        <v>6740</v>
      </c>
      <c r="H563" s="32">
        <v>700</v>
      </c>
      <c r="I563" s="52">
        <f t="shared" si="41"/>
        <v>6040</v>
      </c>
      <c r="J563" s="27"/>
      <c r="K563" s="18">
        <f t="shared" si="43"/>
        <v>29138</v>
      </c>
    </row>
    <row r="564" spans="2:11" x14ac:dyDescent="0.45">
      <c r="B564" s="19">
        <f t="shared" si="42"/>
        <v>25</v>
      </c>
      <c r="C564" s="10">
        <v>46252</v>
      </c>
      <c r="D564" s="21" t="s">
        <v>334</v>
      </c>
      <c r="E564" s="22"/>
      <c r="F564" s="22"/>
      <c r="G564" s="32">
        <v>3000</v>
      </c>
      <c r="H564" s="32">
        <v>1200</v>
      </c>
      <c r="I564" s="52">
        <f t="shared" si="41"/>
        <v>1800</v>
      </c>
      <c r="J564" s="27"/>
      <c r="K564" s="18">
        <f t="shared" si="43"/>
        <v>29139</v>
      </c>
    </row>
    <row r="565" spans="2:11" ht="14.65" thickBot="1" x14ac:dyDescent="0.5">
      <c r="F565" s="38" t="s">
        <v>26</v>
      </c>
      <c r="G565" s="39">
        <f>SUM(G540:G564)</f>
        <v>126790</v>
      </c>
      <c r="H565" s="39">
        <f>SUM(H540:H564)</f>
        <v>34650</v>
      </c>
      <c r="I565" s="39">
        <f>SUM(I540:I564)</f>
        <v>92140</v>
      </c>
      <c r="K565" s="41"/>
    </row>
    <row r="567" spans="2:11" ht="15.75" x14ac:dyDescent="0.5">
      <c r="D567" s="42" t="s">
        <v>28</v>
      </c>
      <c r="E567" s="42"/>
      <c r="F567" s="43" t="s">
        <v>29</v>
      </c>
      <c r="G567" s="44"/>
      <c r="H567" s="44"/>
      <c r="I567" s="45"/>
      <c r="J567" s="46"/>
    </row>
    <row r="568" spans="2:11" x14ac:dyDescent="0.45">
      <c r="D568" s="47" t="s">
        <v>30</v>
      </c>
      <c r="E568" s="47"/>
      <c r="F568" s="48">
        <v>39820</v>
      </c>
      <c r="G568" s="49"/>
      <c r="H568" s="49"/>
      <c r="I568" s="50"/>
      <c r="K568" s="51"/>
    </row>
    <row r="569" spans="2:11" x14ac:dyDescent="0.45">
      <c r="D569" s="47" t="s">
        <v>31</v>
      </c>
      <c r="E569" s="47"/>
      <c r="F569" s="52">
        <v>0</v>
      </c>
      <c r="G569" s="53"/>
      <c r="H569" s="53"/>
      <c r="I569" s="50"/>
    </row>
    <row r="570" spans="2:11" x14ac:dyDescent="0.45">
      <c r="D570" s="47" t="s">
        <v>32</v>
      </c>
      <c r="E570" s="47"/>
      <c r="F570" s="54">
        <v>43470</v>
      </c>
      <c r="G570" s="55"/>
      <c r="H570" s="55"/>
      <c r="J570" s="46"/>
    </row>
    <row r="571" spans="2:11" x14ac:dyDescent="0.45">
      <c r="D571" s="47" t="s">
        <v>33</v>
      </c>
      <c r="E571" s="47"/>
      <c r="F571" s="54">
        <v>7350</v>
      </c>
      <c r="G571" s="55"/>
      <c r="H571" s="55"/>
      <c r="I571" s="50"/>
    </row>
    <row r="572" spans="2:11" x14ac:dyDescent="0.45">
      <c r="D572" s="47" t="s">
        <v>34</v>
      </c>
      <c r="E572" s="47"/>
      <c r="F572" s="52">
        <v>1500</v>
      </c>
      <c r="G572" s="53"/>
      <c r="H572" s="53"/>
      <c r="I572" s="50"/>
    </row>
    <row r="573" spans="2:11" ht="15.75" thickBot="1" x14ac:dyDescent="0.65">
      <c r="D573" s="56" t="s">
        <v>35</v>
      </c>
      <c r="E573" s="56"/>
      <c r="F573" s="57">
        <f>SUM(F568:F572)</f>
        <v>92140</v>
      </c>
      <c r="G573" s="58">
        <f>+I565-F573</f>
        <v>0</v>
      </c>
      <c r="H573" s="58"/>
      <c r="I573" s="50"/>
    </row>
    <row r="574" spans="2:11" ht="14.65" thickTop="1" x14ac:dyDescent="0.45"/>
    <row r="575" spans="2:11" ht="15.75" thickBot="1" x14ac:dyDescent="0.65">
      <c r="D575" s="64"/>
      <c r="E575" s="64"/>
      <c r="F575" s="65"/>
      <c r="G575" s="58"/>
      <c r="H575" s="58"/>
      <c r="I575" s="50"/>
    </row>
    <row r="576" spans="2:11" ht="21.4" thickBot="1" x14ac:dyDescent="0.7">
      <c r="B576" s="1" t="s">
        <v>335</v>
      </c>
      <c r="C576" s="1"/>
      <c r="D576" s="2"/>
      <c r="E576" s="1"/>
      <c r="F576" s="1"/>
      <c r="G576" s="1"/>
      <c r="H576" s="1"/>
      <c r="I576" s="1"/>
      <c r="J576" s="1"/>
      <c r="K576" s="3"/>
    </row>
    <row r="577" spans="2:11" ht="24.4" thickBot="1" x14ac:dyDescent="0.55000000000000004">
      <c r="B577" s="4" t="s">
        <v>1</v>
      </c>
      <c r="C577" s="5" t="s">
        <v>2</v>
      </c>
      <c r="D577" s="5" t="s">
        <v>3</v>
      </c>
      <c r="E577" s="5" t="s">
        <v>4</v>
      </c>
      <c r="F577" s="6" t="s">
        <v>5</v>
      </c>
      <c r="G577" s="6" t="s">
        <v>6</v>
      </c>
      <c r="H577" s="6" t="s">
        <v>7</v>
      </c>
      <c r="I577" s="7" t="s">
        <v>8</v>
      </c>
      <c r="J577" s="5" t="s">
        <v>9</v>
      </c>
      <c r="K577" s="8" t="s">
        <v>10</v>
      </c>
    </row>
    <row r="578" spans="2:11" x14ac:dyDescent="0.45">
      <c r="B578" s="9">
        <v>1</v>
      </c>
      <c r="C578" s="10">
        <v>46253</v>
      </c>
      <c r="D578" s="11" t="s">
        <v>336</v>
      </c>
      <c r="E578" s="30"/>
      <c r="F578" s="31"/>
      <c r="G578" s="32">
        <v>1700</v>
      </c>
      <c r="H578" s="32">
        <v>200</v>
      </c>
      <c r="I578" s="68">
        <f>+G578-H578</f>
        <v>1500</v>
      </c>
      <c r="J578" s="17"/>
      <c r="K578" s="18">
        <v>29140</v>
      </c>
    </row>
    <row r="579" spans="2:11" x14ac:dyDescent="0.45">
      <c r="B579" s="19">
        <f>+B578+1</f>
        <v>2</v>
      </c>
      <c r="C579" s="10">
        <v>46253</v>
      </c>
      <c r="D579" s="21" t="s">
        <v>337</v>
      </c>
      <c r="E579" s="22"/>
      <c r="F579" s="23"/>
      <c r="G579" s="32">
        <f>3500*3</f>
        <v>10500</v>
      </c>
      <c r="H579" s="32">
        <v>1500</v>
      </c>
      <c r="I579" s="52">
        <f t="shared" ref="I579:I608" si="44">+G579-H579</f>
        <v>9000</v>
      </c>
      <c r="J579" s="26"/>
      <c r="K579" s="18">
        <f>+K578+1</f>
        <v>29141</v>
      </c>
    </row>
    <row r="580" spans="2:11" x14ac:dyDescent="0.45">
      <c r="B580" s="19">
        <f t="shared" ref="B580:B608" si="45">+B579+1</f>
        <v>3</v>
      </c>
      <c r="C580" s="10">
        <v>46253</v>
      </c>
      <c r="D580" s="21" t="s">
        <v>338</v>
      </c>
      <c r="E580" s="22"/>
      <c r="F580" s="23"/>
      <c r="G580" s="32">
        <v>420</v>
      </c>
      <c r="H580" s="32">
        <v>0</v>
      </c>
      <c r="I580" s="52">
        <f t="shared" si="44"/>
        <v>420</v>
      </c>
      <c r="J580" s="26"/>
      <c r="K580" s="18">
        <f t="shared" ref="K580:K608" si="46">+K579+1</f>
        <v>29142</v>
      </c>
    </row>
    <row r="581" spans="2:11" x14ac:dyDescent="0.45">
      <c r="B581" s="19">
        <f t="shared" si="45"/>
        <v>4</v>
      </c>
      <c r="C581" s="10">
        <v>46253</v>
      </c>
      <c r="D581" s="21" t="s">
        <v>339</v>
      </c>
      <c r="E581" s="22"/>
      <c r="F581" s="23"/>
      <c r="G581" s="32">
        <v>1900</v>
      </c>
      <c r="H581" s="32">
        <v>570</v>
      </c>
      <c r="I581" s="52">
        <f t="shared" si="44"/>
        <v>1330</v>
      </c>
      <c r="J581" s="27"/>
      <c r="K581" s="18">
        <f t="shared" si="46"/>
        <v>29143</v>
      </c>
    </row>
    <row r="582" spans="2:11" x14ac:dyDescent="0.45">
      <c r="B582" s="19">
        <f t="shared" si="45"/>
        <v>5</v>
      </c>
      <c r="C582" s="10">
        <v>46253</v>
      </c>
      <c r="D582" s="21" t="s">
        <v>340</v>
      </c>
      <c r="E582" s="22"/>
      <c r="F582" s="23"/>
      <c r="G582" s="32">
        <v>2000</v>
      </c>
      <c r="H582" s="32">
        <v>300</v>
      </c>
      <c r="I582" s="52">
        <f t="shared" si="44"/>
        <v>1700</v>
      </c>
      <c r="J582" s="28"/>
      <c r="K582" s="18">
        <f t="shared" si="46"/>
        <v>29144</v>
      </c>
    </row>
    <row r="583" spans="2:11" x14ac:dyDescent="0.45">
      <c r="B583" s="19">
        <f t="shared" si="45"/>
        <v>6</v>
      </c>
      <c r="C583" s="10">
        <v>46253</v>
      </c>
      <c r="D583" s="21" t="s">
        <v>341</v>
      </c>
      <c r="E583" s="22"/>
      <c r="F583" s="23"/>
      <c r="G583" s="32">
        <v>1900</v>
      </c>
      <c r="H583" s="32">
        <v>570</v>
      </c>
      <c r="I583" s="52">
        <f t="shared" si="44"/>
        <v>1330</v>
      </c>
      <c r="J583" s="27"/>
      <c r="K583" s="18">
        <f t="shared" si="46"/>
        <v>29145</v>
      </c>
    </row>
    <row r="584" spans="2:11" x14ac:dyDescent="0.45">
      <c r="B584" s="19">
        <f t="shared" si="45"/>
        <v>7</v>
      </c>
      <c r="C584" s="10">
        <v>46253</v>
      </c>
      <c r="D584" s="21" t="s">
        <v>122</v>
      </c>
      <c r="E584" s="22"/>
      <c r="F584" s="23"/>
      <c r="G584" s="32">
        <v>1700</v>
      </c>
      <c r="H584" s="32">
        <v>200</v>
      </c>
      <c r="I584" s="52">
        <f t="shared" si="44"/>
        <v>1500</v>
      </c>
      <c r="J584" s="27"/>
      <c r="K584" s="18">
        <f t="shared" si="46"/>
        <v>29146</v>
      </c>
    </row>
    <row r="585" spans="2:11" x14ac:dyDescent="0.45">
      <c r="B585" s="19">
        <f t="shared" si="45"/>
        <v>8</v>
      </c>
      <c r="C585" s="10">
        <v>46253</v>
      </c>
      <c r="D585" s="21" t="s">
        <v>122</v>
      </c>
      <c r="E585" s="22"/>
      <c r="F585" s="23"/>
      <c r="G585" s="32">
        <v>2000</v>
      </c>
      <c r="H585" s="32">
        <v>300</v>
      </c>
      <c r="I585" s="52">
        <f t="shared" si="44"/>
        <v>1700</v>
      </c>
      <c r="J585" s="27"/>
      <c r="K585" s="18">
        <f t="shared" si="46"/>
        <v>29147</v>
      </c>
    </row>
    <row r="586" spans="2:11" x14ac:dyDescent="0.45">
      <c r="B586" s="19">
        <f t="shared" si="45"/>
        <v>9</v>
      </c>
      <c r="C586" s="10">
        <v>46253</v>
      </c>
      <c r="D586" s="21" t="s">
        <v>122</v>
      </c>
      <c r="E586" s="22"/>
      <c r="F586" s="23"/>
      <c r="G586" s="32">
        <f>1700*2</f>
        <v>3400</v>
      </c>
      <c r="H586" s="32">
        <v>200</v>
      </c>
      <c r="I586" s="52">
        <f t="shared" si="44"/>
        <v>3200</v>
      </c>
      <c r="J586" s="27"/>
      <c r="K586" s="18">
        <f t="shared" si="46"/>
        <v>29148</v>
      </c>
    </row>
    <row r="587" spans="2:11" x14ac:dyDescent="0.45">
      <c r="B587" s="19">
        <f t="shared" si="45"/>
        <v>10</v>
      </c>
      <c r="C587" s="10">
        <v>46253</v>
      </c>
      <c r="D587" s="21" t="s">
        <v>122</v>
      </c>
      <c r="E587" s="22"/>
      <c r="F587" s="23"/>
      <c r="G587" s="32">
        <v>1700</v>
      </c>
      <c r="H587" s="32">
        <v>200</v>
      </c>
      <c r="I587" s="52">
        <f t="shared" si="44"/>
        <v>1500</v>
      </c>
      <c r="J587" s="27"/>
      <c r="K587" s="18">
        <f t="shared" si="46"/>
        <v>29149</v>
      </c>
    </row>
    <row r="588" spans="2:11" x14ac:dyDescent="0.45">
      <c r="B588" s="19">
        <f t="shared" si="45"/>
        <v>11</v>
      </c>
      <c r="C588" s="10">
        <v>46253</v>
      </c>
      <c r="D588" s="21" t="s">
        <v>342</v>
      </c>
      <c r="E588" s="22"/>
      <c r="F588" s="33"/>
      <c r="G588" s="32">
        <v>1900</v>
      </c>
      <c r="H588" s="32">
        <v>550</v>
      </c>
      <c r="I588" s="52">
        <f t="shared" si="44"/>
        <v>1350</v>
      </c>
      <c r="J588" s="28"/>
      <c r="K588" s="18">
        <f t="shared" si="46"/>
        <v>29150</v>
      </c>
    </row>
    <row r="589" spans="2:11" x14ac:dyDescent="0.45">
      <c r="B589" s="19">
        <f t="shared" si="45"/>
        <v>12</v>
      </c>
      <c r="C589" s="10">
        <v>46253</v>
      </c>
      <c r="D589" s="21" t="s">
        <v>343</v>
      </c>
      <c r="E589" s="22"/>
      <c r="F589" s="22"/>
      <c r="G589" s="32">
        <v>1800</v>
      </c>
      <c r="H589" s="32">
        <v>300</v>
      </c>
      <c r="I589" s="52">
        <f t="shared" si="44"/>
        <v>1500</v>
      </c>
      <c r="J589" s="27"/>
      <c r="K589" s="18">
        <f t="shared" si="46"/>
        <v>29151</v>
      </c>
    </row>
    <row r="590" spans="2:11" x14ac:dyDescent="0.45">
      <c r="B590" s="19">
        <f t="shared" si="45"/>
        <v>13</v>
      </c>
      <c r="C590" s="10">
        <v>46253</v>
      </c>
      <c r="D590" s="21" t="s">
        <v>344</v>
      </c>
      <c r="E590" s="22"/>
      <c r="F590" s="22"/>
      <c r="G590" s="32">
        <v>5000</v>
      </c>
      <c r="H590" s="32">
        <v>1080</v>
      </c>
      <c r="I590" s="52">
        <f t="shared" si="44"/>
        <v>3920</v>
      </c>
      <c r="J590" s="27"/>
      <c r="K590" s="18">
        <f t="shared" si="46"/>
        <v>29152</v>
      </c>
    </row>
    <row r="591" spans="2:11" x14ac:dyDescent="0.45">
      <c r="B591" s="19">
        <f t="shared" si="45"/>
        <v>14</v>
      </c>
      <c r="C591" s="10">
        <v>46253</v>
      </c>
      <c r="D591" s="21" t="s">
        <v>345</v>
      </c>
      <c r="E591" s="22"/>
      <c r="F591" s="22"/>
      <c r="G591" s="32">
        <v>6500</v>
      </c>
      <c r="H591" s="32">
        <v>0</v>
      </c>
      <c r="I591" s="52">
        <f t="shared" si="44"/>
        <v>6500</v>
      </c>
      <c r="J591" s="27"/>
      <c r="K591" s="18">
        <f t="shared" si="46"/>
        <v>29153</v>
      </c>
    </row>
    <row r="592" spans="2:11" x14ac:dyDescent="0.45">
      <c r="B592" s="19">
        <f t="shared" si="45"/>
        <v>15</v>
      </c>
      <c r="C592" s="10">
        <v>46253</v>
      </c>
      <c r="D592" s="21" t="s">
        <v>346</v>
      </c>
      <c r="E592" s="22"/>
      <c r="F592" s="22"/>
      <c r="G592" s="32">
        <v>1900</v>
      </c>
      <c r="H592" s="32">
        <v>0</v>
      </c>
      <c r="I592" s="52">
        <f t="shared" si="44"/>
        <v>1900</v>
      </c>
      <c r="J592" s="27"/>
      <c r="K592" s="18">
        <f t="shared" si="46"/>
        <v>29154</v>
      </c>
    </row>
    <row r="593" spans="2:11" x14ac:dyDescent="0.45">
      <c r="B593" s="19">
        <f t="shared" si="45"/>
        <v>16</v>
      </c>
      <c r="C593" s="10">
        <v>46253</v>
      </c>
      <c r="D593" s="21" t="s">
        <v>347</v>
      </c>
      <c r="E593" s="22"/>
      <c r="F593" s="22"/>
      <c r="G593" s="32">
        <v>1900</v>
      </c>
      <c r="H593" s="32">
        <v>200</v>
      </c>
      <c r="I593" s="52">
        <f t="shared" si="44"/>
        <v>1700</v>
      </c>
      <c r="J593" s="27"/>
      <c r="K593" s="18">
        <f t="shared" si="46"/>
        <v>29155</v>
      </c>
    </row>
    <row r="594" spans="2:11" x14ac:dyDescent="0.45">
      <c r="B594" s="19">
        <f t="shared" si="45"/>
        <v>17</v>
      </c>
      <c r="C594" s="10">
        <v>46253</v>
      </c>
      <c r="D594" s="21" t="s">
        <v>348</v>
      </c>
      <c r="E594" s="22"/>
      <c r="F594" s="22"/>
      <c r="G594" s="32">
        <v>1800</v>
      </c>
      <c r="H594" s="32">
        <v>300</v>
      </c>
      <c r="I594" s="52">
        <f t="shared" si="44"/>
        <v>1500</v>
      </c>
      <c r="J594" s="27"/>
      <c r="K594" s="18">
        <f t="shared" si="46"/>
        <v>29156</v>
      </c>
    </row>
    <row r="595" spans="2:11" x14ac:dyDescent="0.45">
      <c r="B595" s="19">
        <f t="shared" si="45"/>
        <v>18</v>
      </c>
      <c r="C595" s="10">
        <v>46253</v>
      </c>
      <c r="D595" s="21" t="s">
        <v>144</v>
      </c>
      <c r="E595" s="22"/>
      <c r="F595" s="22"/>
      <c r="G595" s="32">
        <v>1800</v>
      </c>
      <c r="H595" s="32">
        <v>400</v>
      </c>
      <c r="I595" s="52">
        <f t="shared" si="44"/>
        <v>1400</v>
      </c>
      <c r="J595" s="27"/>
      <c r="K595" s="18">
        <f t="shared" si="46"/>
        <v>29157</v>
      </c>
    </row>
    <row r="596" spans="2:11" x14ac:dyDescent="0.45">
      <c r="B596" s="19">
        <f t="shared" si="45"/>
        <v>19</v>
      </c>
      <c r="C596" s="10">
        <v>46253</v>
      </c>
      <c r="D596" s="21" t="s">
        <v>349</v>
      </c>
      <c r="E596" s="22"/>
      <c r="F596" s="22"/>
      <c r="G596" s="32">
        <v>2500</v>
      </c>
      <c r="H596" s="32">
        <v>1000</v>
      </c>
      <c r="I596" s="52">
        <f t="shared" si="44"/>
        <v>1500</v>
      </c>
      <c r="J596" s="27"/>
      <c r="K596" s="18">
        <f t="shared" si="46"/>
        <v>29158</v>
      </c>
    </row>
    <row r="597" spans="2:11" x14ac:dyDescent="0.45">
      <c r="B597" s="19">
        <f t="shared" si="45"/>
        <v>20</v>
      </c>
      <c r="C597" s="10">
        <v>46253</v>
      </c>
      <c r="D597" s="21" t="s">
        <v>350</v>
      </c>
      <c r="E597" s="22"/>
      <c r="F597" s="22"/>
      <c r="G597" s="32">
        <v>1900</v>
      </c>
      <c r="H597" s="32">
        <v>550</v>
      </c>
      <c r="I597" s="52">
        <f t="shared" si="44"/>
        <v>1350</v>
      </c>
      <c r="J597" s="27"/>
      <c r="K597" s="18">
        <f t="shared" si="46"/>
        <v>29159</v>
      </c>
    </row>
    <row r="598" spans="2:11" x14ac:dyDescent="0.45">
      <c r="B598" s="19">
        <f t="shared" si="45"/>
        <v>21</v>
      </c>
      <c r="C598" s="10">
        <v>46253</v>
      </c>
      <c r="D598" s="21" t="s">
        <v>101</v>
      </c>
      <c r="E598" s="22"/>
      <c r="F598" s="22"/>
      <c r="G598" s="32">
        <v>660</v>
      </c>
      <c r="H598" s="32">
        <v>0</v>
      </c>
      <c r="I598" s="52">
        <f t="shared" si="44"/>
        <v>660</v>
      </c>
      <c r="J598" s="27"/>
      <c r="K598" s="18">
        <f t="shared" si="46"/>
        <v>29160</v>
      </c>
    </row>
    <row r="599" spans="2:11" x14ac:dyDescent="0.45">
      <c r="B599" s="19">
        <f t="shared" si="45"/>
        <v>22</v>
      </c>
      <c r="C599" s="10">
        <v>46253</v>
      </c>
      <c r="D599" s="21" t="s">
        <v>351</v>
      </c>
      <c r="E599" s="22"/>
      <c r="F599" s="22"/>
      <c r="G599" s="32">
        <v>2000</v>
      </c>
      <c r="H599" s="32">
        <v>200</v>
      </c>
      <c r="I599" s="52">
        <f t="shared" si="44"/>
        <v>1800</v>
      </c>
      <c r="J599" s="27"/>
      <c r="K599" s="18">
        <f t="shared" si="46"/>
        <v>29161</v>
      </c>
    </row>
    <row r="600" spans="2:11" x14ac:dyDescent="0.45">
      <c r="B600" s="19">
        <f t="shared" si="45"/>
        <v>23</v>
      </c>
      <c r="C600" s="10">
        <v>46253</v>
      </c>
      <c r="D600" s="21" t="s">
        <v>69</v>
      </c>
      <c r="E600" s="22"/>
      <c r="F600" s="22"/>
      <c r="G600" s="32">
        <v>42600</v>
      </c>
      <c r="H600" s="32">
        <v>14900</v>
      </c>
      <c r="I600" s="52">
        <f t="shared" si="44"/>
        <v>27700</v>
      </c>
      <c r="J600" s="27"/>
      <c r="K600" s="18">
        <f t="shared" si="46"/>
        <v>29162</v>
      </c>
    </row>
    <row r="601" spans="2:11" x14ac:dyDescent="0.45">
      <c r="B601" s="19">
        <f t="shared" si="45"/>
        <v>24</v>
      </c>
      <c r="C601" s="10">
        <v>46253</v>
      </c>
      <c r="D601" s="21" t="s">
        <v>352</v>
      </c>
      <c r="E601" s="22"/>
      <c r="F601" s="22"/>
      <c r="G601" s="32">
        <v>1900</v>
      </c>
      <c r="H601" s="32">
        <v>300</v>
      </c>
      <c r="I601" s="52">
        <f t="shared" si="44"/>
        <v>1600</v>
      </c>
      <c r="J601" s="27"/>
      <c r="K601" s="18">
        <f t="shared" si="46"/>
        <v>29163</v>
      </c>
    </row>
    <row r="602" spans="2:11" x14ac:dyDescent="0.45">
      <c r="B602" s="19">
        <f t="shared" si="45"/>
        <v>25</v>
      </c>
      <c r="C602" s="10">
        <v>46253</v>
      </c>
      <c r="D602" s="21" t="s">
        <v>353</v>
      </c>
      <c r="E602" s="22"/>
      <c r="F602" s="22"/>
      <c r="G602" s="32">
        <v>1900</v>
      </c>
      <c r="H602" s="32">
        <v>0</v>
      </c>
      <c r="I602" s="52">
        <f t="shared" si="44"/>
        <v>1900</v>
      </c>
      <c r="J602" s="27"/>
      <c r="K602" s="18">
        <f t="shared" si="46"/>
        <v>29164</v>
      </c>
    </row>
    <row r="603" spans="2:11" x14ac:dyDescent="0.45">
      <c r="B603" s="19">
        <f t="shared" si="45"/>
        <v>26</v>
      </c>
      <c r="C603" s="10">
        <v>46253</v>
      </c>
      <c r="D603" s="21" t="s">
        <v>354</v>
      </c>
      <c r="E603" s="22"/>
      <c r="F603" s="22"/>
      <c r="G603" s="32">
        <v>7600</v>
      </c>
      <c r="H603" s="32">
        <v>7600</v>
      </c>
      <c r="I603" s="52">
        <f t="shared" si="44"/>
        <v>0</v>
      </c>
      <c r="J603" s="27"/>
      <c r="K603" s="18">
        <f t="shared" si="46"/>
        <v>29165</v>
      </c>
    </row>
    <row r="604" spans="2:11" x14ac:dyDescent="0.45">
      <c r="B604" s="19">
        <f t="shared" si="45"/>
        <v>27</v>
      </c>
      <c r="C604" s="10">
        <v>46253</v>
      </c>
      <c r="D604" s="21" t="s">
        <v>75</v>
      </c>
      <c r="E604" s="22"/>
      <c r="F604" s="22"/>
      <c r="G604" s="32">
        <v>14700</v>
      </c>
      <c r="H604" s="32">
        <v>3570</v>
      </c>
      <c r="I604" s="52">
        <f t="shared" si="44"/>
        <v>11130</v>
      </c>
      <c r="J604" s="27"/>
      <c r="K604" s="18">
        <f t="shared" si="46"/>
        <v>29166</v>
      </c>
    </row>
    <row r="605" spans="2:11" x14ac:dyDescent="0.45">
      <c r="B605" s="19">
        <f t="shared" si="45"/>
        <v>28</v>
      </c>
      <c r="C605" s="10">
        <v>46253</v>
      </c>
      <c r="D605" s="21" t="s">
        <v>355</v>
      </c>
      <c r="E605" s="22"/>
      <c r="F605" s="22"/>
      <c r="G605" s="32">
        <v>2200</v>
      </c>
      <c r="H605" s="32">
        <v>0</v>
      </c>
      <c r="I605" s="52">
        <f t="shared" si="44"/>
        <v>2200</v>
      </c>
      <c r="J605" s="27"/>
      <c r="K605" s="18">
        <f t="shared" si="46"/>
        <v>29167</v>
      </c>
    </row>
    <row r="606" spans="2:11" x14ac:dyDescent="0.45">
      <c r="B606" s="19">
        <f t="shared" si="45"/>
        <v>29</v>
      </c>
      <c r="C606" s="10">
        <v>46253</v>
      </c>
      <c r="D606" s="21" t="s">
        <v>356</v>
      </c>
      <c r="E606" s="22"/>
      <c r="F606" s="22"/>
      <c r="G606" s="32">
        <v>1700</v>
      </c>
      <c r="H606" s="32">
        <v>510</v>
      </c>
      <c r="I606" s="52">
        <f t="shared" si="44"/>
        <v>1190</v>
      </c>
      <c r="J606" s="27"/>
      <c r="K606" s="18">
        <f t="shared" si="46"/>
        <v>29168</v>
      </c>
    </row>
    <row r="607" spans="2:11" x14ac:dyDescent="0.45">
      <c r="B607" s="19">
        <f t="shared" si="45"/>
        <v>30</v>
      </c>
      <c r="C607" s="10">
        <v>46253</v>
      </c>
      <c r="D607" s="21" t="s">
        <v>151</v>
      </c>
      <c r="E607" s="22"/>
      <c r="F607" s="22"/>
      <c r="G607" s="32">
        <v>28920</v>
      </c>
      <c r="H607" s="32">
        <v>3300</v>
      </c>
      <c r="I607" s="52">
        <f t="shared" si="44"/>
        <v>25620</v>
      </c>
      <c r="J607" s="27"/>
      <c r="K607" s="18">
        <f t="shared" si="46"/>
        <v>29169</v>
      </c>
    </row>
    <row r="608" spans="2:11" x14ac:dyDescent="0.45">
      <c r="B608" s="19">
        <f t="shared" si="45"/>
        <v>31</v>
      </c>
      <c r="C608" s="10">
        <v>46253</v>
      </c>
      <c r="D608" s="73" t="s">
        <v>63</v>
      </c>
      <c r="E608" s="22"/>
      <c r="F608" s="22"/>
      <c r="G608" s="32">
        <v>2500</v>
      </c>
      <c r="H608" s="32">
        <v>600</v>
      </c>
      <c r="I608" s="52">
        <f t="shared" si="44"/>
        <v>1900</v>
      </c>
      <c r="J608" s="27"/>
      <c r="K608" s="18">
        <f t="shared" si="46"/>
        <v>29170</v>
      </c>
    </row>
    <row r="609" spans="2:11" ht="14.65" thickBot="1" x14ac:dyDescent="0.5">
      <c r="F609" s="38" t="s">
        <v>26</v>
      </c>
      <c r="G609" s="39">
        <f>SUM(G578:G608)</f>
        <v>160900</v>
      </c>
      <c r="H609" s="39">
        <f>SUM(H578:H608)</f>
        <v>39400</v>
      </c>
      <c r="I609" s="39">
        <f>SUM(I578:I608)</f>
        <v>121500</v>
      </c>
      <c r="K609" s="41"/>
    </row>
    <row r="611" spans="2:11" ht="15.75" x14ac:dyDescent="0.5">
      <c r="D611" s="42" t="s">
        <v>28</v>
      </c>
      <c r="E611" s="42"/>
      <c r="F611" s="43" t="s">
        <v>29</v>
      </c>
      <c r="G611" s="44"/>
      <c r="H611" s="44"/>
      <c r="I611" s="45"/>
      <c r="J611" s="46"/>
    </row>
    <row r="612" spans="2:11" x14ac:dyDescent="0.45">
      <c r="D612" s="47" t="s">
        <v>30</v>
      </c>
      <c r="E612" s="47"/>
      <c r="F612" s="48">
        <v>16650</v>
      </c>
      <c r="G612" s="49"/>
      <c r="H612" s="49"/>
      <c r="I612" s="50"/>
      <c r="K612" s="51"/>
    </row>
    <row r="613" spans="2:11" x14ac:dyDescent="0.45">
      <c r="D613" s="47" t="s">
        <v>31</v>
      </c>
      <c r="E613" s="47"/>
      <c r="F613" s="52">
        <v>0</v>
      </c>
      <c r="G613" s="53"/>
      <c r="H613" s="53"/>
      <c r="I613" s="50"/>
    </row>
    <row r="614" spans="2:11" x14ac:dyDescent="0.45">
      <c r="D614" s="47" t="s">
        <v>32</v>
      </c>
      <c r="E614" s="47"/>
      <c r="F614" s="54">
        <v>29180</v>
      </c>
      <c r="G614" s="55"/>
      <c r="H614" s="55"/>
      <c r="J614" s="46"/>
    </row>
    <row r="615" spans="2:11" x14ac:dyDescent="0.45">
      <c r="D615" s="47" t="s">
        <v>33</v>
      </c>
      <c r="E615" s="47"/>
      <c r="F615" s="54">
        <v>28940</v>
      </c>
      <c r="G615" s="55"/>
      <c r="H615" s="55"/>
      <c r="I615" s="50"/>
    </row>
    <row r="616" spans="2:11" x14ac:dyDescent="0.45">
      <c r="D616" s="47" t="s">
        <v>34</v>
      </c>
      <c r="E616" s="47"/>
      <c r="F616" s="52">
        <v>46730</v>
      </c>
      <c r="G616" s="53"/>
      <c r="H616" s="53"/>
      <c r="I616" s="50"/>
    </row>
    <row r="617" spans="2:11" ht="15.75" thickBot="1" x14ac:dyDescent="0.65">
      <c r="D617" s="56" t="s">
        <v>35</v>
      </c>
      <c r="E617" s="56"/>
      <c r="F617" s="57">
        <f>SUM(F612:F616)</f>
        <v>121500</v>
      </c>
      <c r="G617" s="58">
        <f>+I609-F617</f>
        <v>0</v>
      </c>
      <c r="H617" s="58"/>
      <c r="I617" s="50"/>
    </row>
    <row r="618" spans="2:11" ht="14.65" thickTop="1" x14ac:dyDescent="0.45"/>
    <row r="619" spans="2:11" ht="15.75" thickBot="1" x14ac:dyDescent="0.65">
      <c r="D619" s="64"/>
      <c r="E619" s="64"/>
      <c r="F619" s="65"/>
      <c r="G619" s="58"/>
      <c r="H619" s="58"/>
      <c r="I619" s="50"/>
    </row>
    <row r="620" spans="2:11" ht="21.4" thickBot="1" x14ac:dyDescent="0.7">
      <c r="B620" s="1" t="s">
        <v>357</v>
      </c>
      <c r="C620" s="1"/>
      <c r="D620" s="2"/>
      <c r="E620" s="1"/>
      <c r="F620" s="1"/>
      <c r="G620" s="1"/>
      <c r="H620" s="1"/>
      <c r="I620" s="1"/>
      <c r="J620" s="1"/>
      <c r="K620" s="3"/>
    </row>
    <row r="621" spans="2:11" ht="24.4" thickBot="1" x14ac:dyDescent="0.55000000000000004">
      <c r="B621" s="4" t="s">
        <v>1</v>
      </c>
      <c r="C621" s="5" t="s">
        <v>2</v>
      </c>
      <c r="D621" s="5" t="s">
        <v>3</v>
      </c>
      <c r="E621" s="5" t="s">
        <v>4</v>
      </c>
      <c r="F621" s="6" t="s">
        <v>5</v>
      </c>
      <c r="G621" s="6" t="s">
        <v>6</v>
      </c>
      <c r="H621" s="6" t="s">
        <v>7</v>
      </c>
      <c r="I621" s="7" t="s">
        <v>8</v>
      </c>
      <c r="J621" s="5" t="s">
        <v>9</v>
      </c>
      <c r="K621" s="8" t="s">
        <v>10</v>
      </c>
    </row>
    <row r="622" spans="2:11" x14ac:dyDescent="0.45">
      <c r="B622" s="9">
        <v>1</v>
      </c>
      <c r="C622" s="10">
        <v>46254</v>
      </c>
      <c r="D622" s="11" t="s">
        <v>137</v>
      </c>
      <c r="E622" s="30"/>
      <c r="F622" s="31"/>
      <c r="G622" s="32">
        <v>220</v>
      </c>
      <c r="H622" s="32">
        <v>0</v>
      </c>
      <c r="I622" s="68">
        <f>+G622-H622</f>
        <v>220</v>
      </c>
      <c r="J622" s="17"/>
      <c r="K622" s="18">
        <v>29171</v>
      </c>
    </row>
    <row r="623" spans="2:11" x14ac:dyDescent="0.45">
      <c r="B623" s="19">
        <f>+B622+1</f>
        <v>2</v>
      </c>
      <c r="C623" s="10">
        <v>46254</v>
      </c>
      <c r="D623" s="63" t="s">
        <v>14</v>
      </c>
      <c r="E623" s="22"/>
      <c r="F623" s="23"/>
      <c r="G623" s="32">
        <v>1820</v>
      </c>
      <c r="H623" s="32">
        <v>0</v>
      </c>
      <c r="I623" s="52">
        <f t="shared" ref="I623:I646" si="47">+G623-H623</f>
        <v>1820</v>
      </c>
      <c r="J623" s="26"/>
      <c r="K623" s="18">
        <f>+K622+1</f>
        <v>29172</v>
      </c>
    </row>
    <row r="624" spans="2:11" x14ac:dyDescent="0.45">
      <c r="B624" s="19">
        <f t="shared" ref="B624:B646" si="48">+B623+1</f>
        <v>3</v>
      </c>
      <c r="C624" s="10">
        <v>46254</v>
      </c>
      <c r="D624" s="69" t="s">
        <v>358</v>
      </c>
      <c r="E624" s="22"/>
      <c r="F624" s="23"/>
      <c r="G624" s="32">
        <v>1700</v>
      </c>
      <c r="H624" s="32">
        <v>0</v>
      </c>
      <c r="I624" s="52">
        <f t="shared" si="47"/>
        <v>1700</v>
      </c>
      <c r="J624" s="26"/>
      <c r="K624" s="18">
        <f t="shared" ref="K624:K646" si="49">+K623+1</f>
        <v>29173</v>
      </c>
    </row>
    <row r="625" spans="2:11" x14ac:dyDescent="0.45">
      <c r="B625" s="19">
        <f t="shared" si="48"/>
        <v>4</v>
      </c>
      <c r="C625" s="10">
        <v>46254</v>
      </c>
      <c r="D625" s="74" t="s">
        <v>359</v>
      </c>
      <c r="E625" s="22"/>
      <c r="F625" s="23"/>
      <c r="G625" s="32">
        <v>1800</v>
      </c>
      <c r="H625" s="32">
        <v>540</v>
      </c>
      <c r="I625" s="52">
        <f t="shared" si="47"/>
        <v>1260</v>
      </c>
      <c r="J625" s="27"/>
      <c r="K625" s="18">
        <f t="shared" si="49"/>
        <v>29174</v>
      </c>
    </row>
    <row r="626" spans="2:11" x14ac:dyDescent="0.45">
      <c r="B626" s="19">
        <f t="shared" si="48"/>
        <v>5</v>
      </c>
      <c r="C626" s="10">
        <v>46254</v>
      </c>
      <c r="D626" s="69" t="s">
        <v>360</v>
      </c>
      <c r="E626" s="22"/>
      <c r="F626" s="23"/>
      <c r="G626" s="32">
        <v>1900</v>
      </c>
      <c r="H626" s="32">
        <v>200</v>
      </c>
      <c r="I626" s="52">
        <f t="shared" si="47"/>
        <v>1700</v>
      </c>
      <c r="J626" s="28"/>
      <c r="K626" s="18">
        <f t="shared" si="49"/>
        <v>29175</v>
      </c>
    </row>
    <row r="627" spans="2:11" x14ac:dyDescent="0.45">
      <c r="B627" s="19">
        <f t="shared" si="48"/>
        <v>6</v>
      </c>
      <c r="C627" s="10">
        <v>46254</v>
      </c>
      <c r="D627" s="69" t="s">
        <v>20</v>
      </c>
      <c r="E627" s="22"/>
      <c r="F627" s="23"/>
      <c r="G627" s="32">
        <v>1900</v>
      </c>
      <c r="H627" s="32">
        <v>200</v>
      </c>
      <c r="I627" s="52">
        <f t="shared" si="47"/>
        <v>1700</v>
      </c>
      <c r="J627" s="27"/>
      <c r="K627" s="18">
        <f t="shared" si="49"/>
        <v>29176</v>
      </c>
    </row>
    <row r="628" spans="2:11" x14ac:dyDescent="0.45">
      <c r="B628" s="19">
        <f t="shared" si="48"/>
        <v>7</v>
      </c>
      <c r="C628" s="10">
        <v>46254</v>
      </c>
      <c r="D628" s="69" t="s">
        <v>361</v>
      </c>
      <c r="E628" s="22"/>
      <c r="F628" s="23"/>
      <c r="G628" s="32">
        <v>2000</v>
      </c>
      <c r="H628" s="32">
        <v>1000</v>
      </c>
      <c r="I628" s="52">
        <f t="shared" si="47"/>
        <v>1000</v>
      </c>
      <c r="J628" s="27"/>
      <c r="K628" s="18">
        <f t="shared" si="49"/>
        <v>29177</v>
      </c>
    </row>
    <row r="629" spans="2:11" x14ac:dyDescent="0.45">
      <c r="B629" s="19">
        <f t="shared" si="48"/>
        <v>8</v>
      </c>
      <c r="C629" s="10">
        <v>46254</v>
      </c>
      <c r="D629" s="69" t="s">
        <v>130</v>
      </c>
      <c r="E629" s="22"/>
      <c r="F629" s="23"/>
      <c r="G629" s="32">
        <v>2000</v>
      </c>
      <c r="H629" s="32">
        <v>1000</v>
      </c>
      <c r="I629" s="52">
        <f t="shared" si="47"/>
        <v>1000</v>
      </c>
      <c r="J629" s="27"/>
      <c r="K629" s="18">
        <f t="shared" si="49"/>
        <v>29178</v>
      </c>
    </row>
    <row r="630" spans="2:11" x14ac:dyDescent="0.45">
      <c r="B630" s="19">
        <f t="shared" si="48"/>
        <v>9</v>
      </c>
      <c r="C630" s="10">
        <v>46254</v>
      </c>
      <c r="D630" s="75" t="s">
        <v>130</v>
      </c>
      <c r="E630" s="22"/>
      <c r="F630" s="23"/>
      <c r="G630" s="32">
        <v>2000</v>
      </c>
      <c r="H630" s="32">
        <v>1000</v>
      </c>
      <c r="I630" s="52">
        <f t="shared" si="47"/>
        <v>1000</v>
      </c>
      <c r="J630" s="27"/>
      <c r="K630" s="18">
        <f t="shared" si="49"/>
        <v>29179</v>
      </c>
    </row>
    <row r="631" spans="2:11" x14ac:dyDescent="0.45">
      <c r="B631" s="19">
        <f t="shared" si="48"/>
        <v>10</v>
      </c>
      <c r="C631" s="10">
        <v>46254</v>
      </c>
      <c r="D631" s="74" t="s">
        <v>362</v>
      </c>
      <c r="E631" s="22"/>
      <c r="F631" s="23"/>
      <c r="G631" s="32">
        <v>1800</v>
      </c>
      <c r="H631" s="32">
        <v>400</v>
      </c>
      <c r="I631" s="52">
        <f t="shared" si="47"/>
        <v>1400</v>
      </c>
      <c r="J631" s="27"/>
      <c r="K631" s="18">
        <f t="shared" si="49"/>
        <v>29180</v>
      </c>
    </row>
    <row r="632" spans="2:11" x14ac:dyDescent="0.45">
      <c r="B632" s="19">
        <f t="shared" si="48"/>
        <v>11</v>
      </c>
      <c r="C632" s="10">
        <v>46254</v>
      </c>
      <c r="D632" s="69" t="s">
        <v>363</v>
      </c>
      <c r="E632" s="22"/>
      <c r="F632" s="33"/>
      <c r="G632" s="32">
        <v>4900</v>
      </c>
      <c r="H632" s="32">
        <v>400</v>
      </c>
      <c r="I632" s="52">
        <f t="shared" si="47"/>
        <v>4500</v>
      </c>
      <c r="J632" s="28"/>
      <c r="K632" s="18">
        <f t="shared" si="49"/>
        <v>29181</v>
      </c>
    </row>
    <row r="633" spans="2:11" x14ac:dyDescent="0.45">
      <c r="B633" s="19">
        <f t="shared" si="48"/>
        <v>12</v>
      </c>
      <c r="C633" s="10">
        <v>46254</v>
      </c>
      <c r="D633" s="69" t="s">
        <v>364</v>
      </c>
      <c r="E633" s="22"/>
      <c r="F633" s="22"/>
      <c r="G633" s="32">
        <v>1900</v>
      </c>
      <c r="H633" s="32">
        <v>200</v>
      </c>
      <c r="I633" s="52">
        <f t="shared" si="47"/>
        <v>1700</v>
      </c>
      <c r="J633" s="27"/>
      <c r="K633" s="18">
        <f t="shared" si="49"/>
        <v>29182</v>
      </c>
    </row>
    <row r="634" spans="2:11" x14ac:dyDescent="0.45">
      <c r="B634" s="19">
        <f t="shared" si="48"/>
        <v>13</v>
      </c>
      <c r="C634" s="10">
        <v>46254</v>
      </c>
      <c r="D634" s="74" t="s">
        <v>365</v>
      </c>
      <c r="E634" s="22"/>
      <c r="F634" s="22"/>
      <c r="G634" s="32">
        <v>1900</v>
      </c>
      <c r="H634" s="32">
        <v>0</v>
      </c>
      <c r="I634" s="52">
        <f t="shared" si="47"/>
        <v>1900</v>
      </c>
      <c r="J634" s="27"/>
      <c r="K634" s="18">
        <f t="shared" si="49"/>
        <v>29183</v>
      </c>
    </row>
    <row r="635" spans="2:11" x14ac:dyDescent="0.45">
      <c r="B635" s="19">
        <f t="shared" si="48"/>
        <v>14</v>
      </c>
      <c r="C635" s="10">
        <v>46254</v>
      </c>
      <c r="D635" s="74" t="s">
        <v>366</v>
      </c>
      <c r="E635" s="22"/>
      <c r="F635" s="22"/>
      <c r="G635" s="32">
        <v>1900</v>
      </c>
      <c r="H635" s="32">
        <v>0</v>
      </c>
      <c r="I635" s="52">
        <f t="shared" si="47"/>
        <v>1900</v>
      </c>
      <c r="J635" s="27"/>
      <c r="K635" s="18">
        <f t="shared" si="49"/>
        <v>29184</v>
      </c>
    </row>
    <row r="636" spans="2:11" x14ac:dyDescent="0.45">
      <c r="B636" s="19">
        <f t="shared" si="48"/>
        <v>15</v>
      </c>
      <c r="C636" s="10">
        <v>46254</v>
      </c>
      <c r="D636" s="69" t="s">
        <v>367</v>
      </c>
      <c r="E636" s="22"/>
      <c r="F636" s="22"/>
      <c r="G636" s="32">
        <v>1700</v>
      </c>
      <c r="H636" s="32">
        <v>0</v>
      </c>
      <c r="I636" s="52">
        <f t="shared" si="47"/>
        <v>1700</v>
      </c>
      <c r="J636" s="27"/>
      <c r="K636" s="18">
        <f t="shared" si="49"/>
        <v>29185</v>
      </c>
    </row>
    <row r="637" spans="2:11" x14ac:dyDescent="0.45">
      <c r="B637" s="19">
        <f t="shared" si="48"/>
        <v>16</v>
      </c>
      <c r="C637" s="10">
        <v>46254</v>
      </c>
      <c r="D637" s="69" t="s">
        <v>204</v>
      </c>
      <c r="E637" s="22"/>
      <c r="F637" s="22"/>
      <c r="G637" s="32">
        <v>200</v>
      </c>
      <c r="H637" s="32">
        <v>0</v>
      </c>
      <c r="I637" s="52">
        <f t="shared" si="47"/>
        <v>200</v>
      </c>
      <c r="J637" s="27"/>
      <c r="K637" s="18">
        <f t="shared" si="49"/>
        <v>29186</v>
      </c>
    </row>
    <row r="638" spans="2:11" x14ac:dyDescent="0.45">
      <c r="B638" s="19">
        <f t="shared" si="48"/>
        <v>17</v>
      </c>
      <c r="C638" s="10">
        <v>46254</v>
      </c>
      <c r="D638" s="69" t="s">
        <v>368</v>
      </c>
      <c r="E638" s="22"/>
      <c r="F638" s="22"/>
      <c r="G638" s="32">
        <v>100</v>
      </c>
      <c r="H638" s="32">
        <v>0</v>
      </c>
      <c r="I638" s="52">
        <f t="shared" si="47"/>
        <v>100</v>
      </c>
      <c r="J638" s="27"/>
      <c r="K638" s="18">
        <f t="shared" si="49"/>
        <v>29187</v>
      </c>
    </row>
    <row r="639" spans="2:11" x14ac:dyDescent="0.45">
      <c r="B639" s="19">
        <f t="shared" si="48"/>
        <v>18</v>
      </c>
      <c r="C639" s="10">
        <v>46254</v>
      </c>
      <c r="D639" s="69" t="s">
        <v>204</v>
      </c>
      <c r="E639" s="22"/>
      <c r="F639" s="22"/>
      <c r="G639" s="32">
        <v>320</v>
      </c>
      <c r="H639" s="32">
        <v>0</v>
      </c>
      <c r="I639" s="52">
        <f t="shared" si="47"/>
        <v>320</v>
      </c>
      <c r="J639" s="27"/>
      <c r="K639" s="18">
        <f t="shared" si="49"/>
        <v>29188</v>
      </c>
    </row>
    <row r="640" spans="2:11" x14ac:dyDescent="0.45">
      <c r="B640" s="19">
        <f t="shared" si="48"/>
        <v>19</v>
      </c>
      <c r="C640" s="10">
        <v>46254</v>
      </c>
      <c r="D640" s="69" t="s">
        <v>369</v>
      </c>
      <c r="E640" s="22"/>
      <c r="F640" s="22"/>
      <c r="G640" s="32">
        <v>220</v>
      </c>
      <c r="H640" s="32">
        <v>0</v>
      </c>
      <c r="I640" s="52">
        <f t="shared" si="47"/>
        <v>220</v>
      </c>
      <c r="J640" s="27"/>
      <c r="K640" s="18">
        <f t="shared" si="49"/>
        <v>29189</v>
      </c>
    </row>
    <row r="641" spans="2:11" x14ac:dyDescent="0.45">
      <c r="B641" s="19">
        <f t="shared" si="48"/>
        <v>20</v>
      </c>
      <c r="C641" s="10">
        <v>46254</v>
      </c>
      <c r="D641" s="74" t="s">
        <v>370</v>
      </c>
      <c r="E641" s="22"/>
      <c r="F641" s="22"/>
      <c r="G641" s="32">
        <v>1900</v>
      </c>
      <c r="H641" s="32">
        <v>200</v>
      </c>
      <c r="I641" s="52">
        <f t="shared" si="47"/>
        <v>1700</v>
      </c>
      <c r="J641" s="27"/>
      <c r="K641" s="18">
        <f t="shared" si="49"/>
        <v>29190</v>
      </c>
    </row>
    <row r="642" spans="2:11" x14ac:dyDescent="0.45">
      <c r="B642" s="19">
        <f t="shared" si="48"/>
        <v>21</v>
      </c>
      <c r="C642" s="10">
        <v>46254</v>
      </c>
      <c r="D642" s="69" t="s">
        <v>110</v>
      </c>
      <c r="E642" s="22"/>
      <c r="F642" s="22"/>
      <c r="G642" s="32">
        <v>880</v>
      </c>
      <c r="H642" s="32">
        <v>0</v>
      </c>
      <c r="I642" s="52">
        <f t="shared" si="47"/>
        <v>880</v>
      </c>
      <c r="J642" s="27"/>
      <c r="K642" s="18">
        <f t="shared" si="49"/>
        <v>29191</v>
      </c>
    </row>
    <row r="643" spans="2:11" x14ac:dyDescent="0.45">
      <c r="B643" s="19">
        <f t="shared" si="48"/>
        <v>22</v>
      </c>
      <c r="C643" s="10">
        <v>46254</v>
      </c>
      <c r="D643" s="69" t="s">
        <v>18</v>
      </c>
      <c r="E643" s="22"/>
      <c r="F643" s="22"/>
      <c r="G643" s="32">
        <v>440</v>
      </c>
      <c r="H643" s="32">
        <v>0</v>
      </c>
      <c r="I643" s="52">
        <f t="shared" si="47"/>
        <v>440</v>
      </c>
      <c r="J643" s="27"/>
      <c r="K643" s="18">
        <f t="shared" si="49"/>
        <v>29192</v>
      </c>
    </row>
    <row r="644" spans="2:11" x14ac:dyDescent="0.45">
      <c r="B644" s="19">
        <f t="shared" si="48"/>
        <v>23</v>
      </c>
      <c r="C644" s="10">
        <v>46254</v>
      </c>
      <c r="D644" s="74" t="s">
        <v>190</v>
      </c>
      <c r="E644" s="22"/>
      <c r="F644" s="22"/>
      <c r="G644" s="32">
        <v>4900</v>
      </c>
      <c r="H644" s="32">
        <v>0</v>
      </c>
      <c r="I644" s="52">
        <f t="shared" si="47"/>
        <v>4900</v>
      </c>
      <c r="J644" s="27"/>
      <c r="K644" s="18">
        <f t="shared" si="49"/>
        <v>29193</v>
      </c>
    </row>
    <row r="645" spans="2:11" x14ac:dyDescent="0.45">
      <c r="B645" s="19">
        <f t="shared" si="48"/>
        <v>24</v>
      </c>
      <c r="C645" s="10">
        <v>46254</v>
      </c>
      <c r="D645" s="69" t="s">
        <v>212</v>
      </c>
      <c r="E645" s="22"/>
      <c r="F645" s="22"/>
      <c r="G645" s="32">
        <v>4100</v>
      </c>
      <c r="H645" s="32">
        <v>860</v>
      </c>
      <c r="I645" s="52">
        <f t="shared" si="47"/>
        <v>3240</v>
      </c>
      <c r="J645" s="27"/>
      <c r="K645" s="18">
        <f t="shared" si="49"/>
        <v>29194</v>
      </c>
    </row>
    <row r="646" spans="2:11" x14ac:dyDescent="0.45">
      <c r="B646" s="19">
        <f t="shared" si="48"/>
        <v>25</v>
      </c>
      <c r="C646" s="10">
        <v>46254</v>
      </c>
      <c r="D646" s="74" t="s">
        <v>371</v>
      </c>
      <c r="E646" s="22"/>
      <c r="F646" s="22"/>
      <c r="G646" s="32">
        <v>2000</v>
      </c>
      <c r="H646" s="32">
        <v>1000</v>
      </c>
      <c r="I646" s="52">
        <f t="shared" si="47"/>
        <v>1000</v>
      </c>
      <c r="J646" s="27"/>
      <c r="K646" s="18">
        <f t="shared" si="49"/>
        <v>29195</v>
      </c>
    </row>
    <row r="647" spans="2:11" ht="14.65" thickBot="1" x14ac:dyDescent="0.5">
      <c r="F647" s="38" t="s">
        <v>26</v>
      </c>
      <c r="G647" s="39">
        <f>SUM(G622:G646)</f>
        <v>44500</v>
      </c>
      <c r="H647" s="39">
        <f>SUM(H622:H646)</f>
        <v>7000</v>
      </c>
      <c r="I647" s="39">
        <f>SUM(I622:I646)</f>
        <v>37500</v>
      </c>
      <c r="K647" s="41"/>
    </row>
    <row r="649" spans="2:11" ht="15.75" x14ac:dyDescent="0.5">
      <c r="D649" s="42" t="s">
        <v>28</v>
      </c>
      <c r="E649" s="42"/>
      <c r="F649" s="43" t="s">
        <v>29</v>
      </c>
      <c r="G649" s="44"/>
      <c r="H649" s="44"/>
      <c r="I649" s="45"/>
      <c r="J649" s="46"/>
    </row>
    <row r="650" spans="2:11" x14ac:dyDescent="0.45">
      <c r="D650" s="47" t="s">
        <v>30</v>
      </c>
      <c r="E650" s="47"/>
      <c r="F650" s="48">
        <v>21940</v>
      </c>
      <c r="G650" s="49"/>
      <c r="H650" s="49"/>
      <c r="I650" s="50"/>
      <c r="K650" s="51"/>
    </row>
    <row r="651" spans="2:11" x14ac:dyDescent="0.45">
      <c r="D651" s="47" t="s">
        <v>31</v>
      </c>
      <c r="E651" s="47"/>
      <c r="F651" s="52">
        <v>0</v>
      </c>
      <c r="G651" s="53"/>
      <c r="H651" s="53"/>
      <c r="I651" s="50"/>
    </row>
    <row r="652" spans="2:11" x14ac:dyDescent="0.45">
      <c r="D652" s="47" t="s">
        <v>32</v>
      </c>
      <c r="E652" s="47"/>
      <c r="F652" s="54">
        <v>14560</v>
      </c>
      <c r="G652" s="55"/>
      <c r="H652" s="55"/>
      <c r="J652" s="46"/>
    </row>
    <row r="653" spans="2:11" x14ac:dyDescent="0.45">
      <c r="D653" s="47" t="s">
        <v>33</v>
      </c>
      <c r="E653" s="47"/>
      <c r="F653" s="54">
        <v>1000</v>
      </c>
      <c r="G653" s="55"/>
      <c r="H653" s="55"/>
      <c r="I653" s="50"/>
    </row>
    <row r="654" spans="2:11" x14ac:dyDescent="0.45">
      <c r="D654" s="47" t="s">
        <v>34</v>
      </c>
      <c r="E654" s="47"/>
      <c r="F654" s="52">
        <v>0</v>
      </c>
      <c r="G654" s="53"/>
      <c r="H654" s="53"/>
      <c r="I654" s="50"/>
    </row>
    <row r="655" spans="2:11" ht="15.75" thickBot="1" x14ac:dyDescent="0.65">
      <c r="D655" s="56" t="s">
        <v>35</v>
      </c>
      <c r="E655" s="56"/>
      <c r="F655" s="57">
        <f>SUM(F650:F654)</f>
        <v>37500</v>
      </c>
      <c r="G655" s="58">
        <f>+I647-F655</f>
        <v>0</v>
      </c>
      <c r="H655" s="58"/>
      <c r="I655" s="50"/>
    </row>
    <row r="656" spans="2:11" ht="14.65" thickTop="1" x14ac:dyDescent="0.45"/>
    <row r="657" spans="2:11" ht="15.75" thickBot="1" x14ac:dyDescent="0.65">
      <c r="D657" s="64"/>
      <c r="E657" s="64"/>
      <c r="F657" s="65"/>
      <c r="G657" s="58"/>
      <c r="H657" s="58"/>
      <c r="I657" s="50"/>
    </row>
    <row r="658" spans="2:11" ht="21.4" thickBot="1" x14ac:dyDescent="0.7">
      <c r="B658" s="1" t="s">
        <v>372</v>
      </c>
      <c r="C658" s="1"/>
      <c r="D658" s="2"/>
      <c r="E658" s="1"/>
      <c r="F658" s="1"/>
      <c r="G658" s="1"/>
      <c r="H658" s="1"/>
      <c r="I658" s="1"/>
      <c r="J658" s="1"/>
      <c r="K658" s="3"/>
    </row>
    <row r="659" spans="2:11" ht="24.4" thickBot="1" x14ac:dyDescent="0.55000000000000004">
      <c r="B659" s="4" t="s">
        <v>1</v>
      </c>
      <c r="C659" s="5" t="s">
        <v>2</v>
      </c>
      <c r="D659" s="5" t="s">
        <v>3</v>
      </c>
      <c r="E659" s="5" t="s">
        <v>4</v>
      </c>
      <c r="F659" s="6" t="s">
        <v>5</v>
      </c>
      <c r="G659" s="6" t="s">
        <v>6</v>
      </c>
      <c r="H659" s="6" t="s">
        <v>7</v>
      </c>
      <c r="I659" s="7" t="s">
        <v>8</v>
      </c>
      <c r="J659" s="5" t="s">
        <v>9</v>
      </c>
      <c r="K659" s="8" t="s">
        <v>10</v>
      </c>
    </row>
    <row r="660" spans="2:11" x14ac:dyDescent="0.45">
      <c r="B660" s="9">
        <v>1</v>
      </c>
      <c r="C660" s="10">
        <v>46255</v>
      </c>
      <c r="D660" s="11" t="s">
        <v>373</v>
      </c>
      <c r="E660" s="30"/>
      <c r="F660" s="31"/>
      <c r="G660" s="32">
        <v>13690</v>
      </c>
      <c r="H660" s="32">
        <v>3995</v>
      </c>
      <c r="I660" s="68">
        <f>+G660-H660</f>
        <v>9695</v>
      </c>
      <c r="J660" s="17"/>
      <c r="K660" s="18">
        <v>29196</v>
      </c>
    </row>
    <row r="661" spans="2:11" x14ac:dyDescent="0.45">
      <c r="B661" s="19">
        <f>+B660+1</f>
        <v>2</v>
      </c>
      <c r="C661" s="10">
        <v>46255</v>
      </c>
      <c r="D661" s="75" t="s">
        <v>374</v>
      </c>
      <c r="E661" s="22"/>
      <c r="F661" s="23"/>
      <c r="G661" s="32">
        <v>1700</v>
      </c>
      <c r="H661" s="32">
        <v>200</v>
      </c>
      <c r="I661" s="52">
        <f t="shared" ref="I661:I686" si="50">+G661-H661</f>
        <v>1500</v>
      </c>
      <c r="J661" s="26"/>
      <c r="K661" s="18">
        <f>+K660+1</f>
        <v>29197</v>
      </c>
    </row>
    <row r="662" spans="2:11" x14ac:dyDescent="0.45">
      <c r="B662" s="19">
        <f t="shared" ref="B662:B686" si="51">+B661+1</f>
        <v>3</v>
      </c>
      <c r="C662" s="10">
        <v>46255</v>
      </c>
      <c r="D662" s="73" t="s">
        <v>290</v>
      </c>
      <c r="E662" s="22"/>
      <c r="F662" s="23"/>
      <c r="G662" s="32">
        <v>1800</v>
      </c>
      <c r="H662" s="32">
        <v>200</v>
      </c>
      <c r="I662" s="52">
        <f t="shared" si="50"/>
        <v>1600</v>
      </c>
      <c r="J662" s="26"/>
      <c r="K662" s="18">
        <f t="shared" ref="K662:K686" si="52">+K661+1</f>
        <v>29198</v>
      </c>
    </row>
    <row r="663" spans="2:11" x14ac:dyDescent="0.45">
      <c r="B663" s="19">
        <f t="shared" si="51"/>
        <v>4</v>
      </c>
      <c r="C663" s="10">
        <v>46255</v>
      </c>
      <c r="D663" s="69" t="s">
        <v>24</v>
      </c>
      <c r="E663" s="22"/>
      <c r="F663" s="23"/>
      <c r="G663" s="32">
        <v>220</v>
      </c>
      <c r="H663" s="32">
        <v>0</v>
      </c>
      <c r="I663" s="52">
        <f t="shared" si="50"/>
        <v>220</v>
      </c>
      <c r="J663" s="27"/>
      <c r="K663" s="18">
        <f t="shared" si="52"/>
        <v>29199</v>
      </c>
    </row>
    <row r="664" spans="2:11" x14ac:dyDescent="0.45">
      <c r="B664" s="19">
        <f t="shared" si="51"/>
        <v>5</v>
      </c>
      <c r="C664" s="10">
        <v>46255</v>
      </c>
      <c r="D664" s="70" t="s">
        <v>287</v>
      </c>
      <c r="E664" s="22"/>
      <c r="F664" s="23"/>
      <c r="G664" s="32">
        <v>220</v>
      </c>
      <c r="H664" s="32">
        <v>0</v>
      </c>
      <c r="I664" s="52">
        <f t="shared" si="50"/>
        <v>220</v>
      </c>
      <c r="J664" s="28"/>
      <c r="K664" s="18">
        <f t="shared" si="52"/>
        <v>29200</v>
      </c>
    </row>
    <row r="665" spans="2:11" x14ac:dyDescent="0.45">
      <c r="B665" s="19">
        <f t="shared" si="51"/>
        <v>6</v>
      </c>
      <c r="C665" s="10">
        <v>46255</v>
      </c>
      <c r="D665" s="74" t="s">
        <v>375</v>
      </c>
      <c r="E665" s="22"/>
      <c r="F665" s="23"/>
      <c r="G665" s="32">
        <v>1800</v>
      </c>
      <c r="H665" s="32">
        <v>600</v>
      </c>
      <c r="I665" s="52">
        <f t="shared" si="50"/>
        <v>1200</v>
      </c>
      <c r="J665" s="27"/>
      <c r="K665" s="18">
        <f t="shared" si="52"/>
        <v>29201</v>
      </c>
    </row>
    <row r="666" spans="2:11" x14ac:dyDescent="0.45">
      <c r="B666" s="19">
        <f t="shared" si="51"/>
        <v>7</v>
      </c>
      <c r="C666" s="10">
        <v>46255</v>
      </c>
      <c r="D666" s="73" t="s">
        <v>101</v>
      </c>
      <c r="E666" s="22"/>
      <c r="F666" s="23"/>
      <c r="G666" s="32">
        <v>220</v>
      </c>
      <c r="H666" s="32">
        <v>0</v>
      </c>
      <c r="I666" s="52">
        <f t="shared" si="50"/>
        <v>220</v>
      </c>
      <c r="J666" s="27"/>
      <c r="K666" s="18">
        <f t="shared" si="52"/>
        <v>29202</v>
      </c>
    </row>
    <row r="667" spans="2:11" x14ac:dyDescent="0.45">
      <c r="B667" s="19">
        <f t="shared" si="51"/>
        <v>8</v>
      </c>
      <c r="C667" s="10">
        <v>46255</v>
      </c>
      <c r="D667" s="76" t="s">
        <v>376</v>
      </c>
      <c r="E667" s="22"/>
      <c r="F667" s="23"/>
      <c r="G667" s="32">
        <v>1900</v>
      </c>
      <c r="H667" s="32">
        <v>0</v>
      </c>
      <c r="I667" s="52">
        <f t="shared" si="50"/>
        <v>1900</v>
      </c>
      <c r="J667" s="27"/>
      <c r="K667" s="18">
        <f t="shared" si="52"/>
        <v>29203</v>
      </c>
    </row>
    <row r="668" spans="2:11" x14ac:dyDescent="0.45">
      <c r="B668" s="19">
        <f t="shared" si="51"/>
        <v>9</v>
      </c>
      <c r="C668" s="10">
        <v>46255</v>
      </c>
      <c r="D668" s="70" t="s">
        <v>377</v>
      </c>
      <c r="E668" s="22"/>
      <c r="F668" s="23"/>
      <c r="G668" s="32">
        <v>100</v>
      </c>
      <c r="H668" s="32">
        <v>0</v>
      </c>
      <c r="I668" s="52">
        <f t="shared" si="50"/>
        <v>100</v>
      </c>
      <c r="J668" s="27"/>
      <c r="K668" s="18">
        <f t="shared" si="52"/>
        <v>29204</v>
      </c>
    </row>
    <row r="669" spans="2:11" x14ac:dyDescent="0.45">
      <c r="B669" s="19">
        <f t="shared" si="51"/>
        <v>10</v>
      </c>
      <c r="C669" s="10">
        <v>46255</v>
      </c>
      <c r="D669" s="69" t="s">
        <v>89</v>
      </c>
      <c r="E669" s="22"/>
      <c r="F669" s="23"/>
      <c r="G669" s="32">
        <v>3340</v>
      </c>
      <c r="H669" s="32">
        <v>400</v>
      </c>
      <c r="I669" s="52">
        <f t="shared" si="50"/>
        <v>2940</v>
      </c>
      <c r="J669" s="27"/>
      <c r="K669" s="18">
        <f t="shared" si="52"/>
        <v>29205</v>
      </c>
    </row>
    <row r="670" spans="2:11" x14ac:dyDescent="0.45">
      <c r="B670" s="19">
        <f t="shared" si="51"/>
        <v>11</v>
      </c>
      <c r="C670" s="10">
        <v>46255</v>
      </c>
      <c r="D670" s="69" t="s">
        <v>89</v>
      </c>
      <c r="E670" s="22"/>
      <c r="F670" s="33"/>
      <c r="G670" s="32">
        <v>5880</v>
      </c>
      <c r="H670" s="32">
        <v>600</v>
      </c>
      <c r="I670" s="52">
        <f t="shared" si="50"/>
        <v>5280</v>
      </c>
      <c r="J670" s="28"/>
      <c r="K670" s="18">
        <f t="shared" si="52"/>
        <v>29206</v>
      </c>
    </row>
    <row r="671" spans="2:11" x14ac:dyDescent="0.45">
      <c r="B671" s="19">
        <f t="shared" si="51"/>
        <v>12</v>
      </c>
      <c r="C671" s="10">
        <v>46255</v>
      </c>
      <c r="D671" s="69" t="s">
        <v>107</v>
      </c>
      <c r="E671" s="22"/>
      <c r="F671" s="22"/>
      <c r="G671" s="32">
        <v>12560</v>
      </c>
      <c r="H671" s="32">
        <v>1200</v>
      </c>
      <c r="I671" s="52">
        <f t="shared" si="50"/>
        <v>11360</v>
      </c>
      <c r="J671" s="27"/>
      <c r="K671" s="18">
        <f t="shared" si="52"/>
        <v>29207</v>
      </c>
    </row>
    <row r="672" spans="2:11" x14ac:dyDescent="0.45">
      <c r="B672" s="19">
        <f t="shared" si="51"/>
        <v>13</v>
      </c>
      <c r="C672" s="10">
        <v>46255</v>
      </c>
      <c r="D672" s="69" t="s">
        <v>378</v>
      </c>
      <c r="E672" s="22"/>
      <c r="F672" s="22"/>
      <c r="G672" s="32">
        <v>2500</v>
      </c>
      <c r="H672" s="32">
        <v>750</v>
      </c>
      <c r="I672" s="52">
        <f t="shared" si="50"/>
        <v>1750</v>
      </c>
      <c r="J672" s="27"/>
      <c r="K672" s="18">
        <f t="shared" si="52"/>
        <v>29208</v>
      </c>
    </row>
    <row r="673" spans="2:11" x14ac:dyDescent="0.45">
      <c r="B673" s="19">
        <f t="shared" si="51"/>
        <v>14</v>
      </c>
      <c r="C673" s="10">
        <v>46255</v>
      </c>
      <c r="D673" s="75" t="s">
        <v>379</v>
      </c>
      <c r="E673" s="22"/>
      <c r="F673" s="22"/>
      <c r="G673" s="32">
        <f>1900+4970</f>
        <v>6870</v>
      </c>
      <c r="H673" s="32">
        <v>1900</v>
      </c>
      <c r="I673" s="52">
        <f t="shared" si="50"/>
        <v>4970</v>
      </c>
      <c r="J673" s="27"/>
      <c r="K673" s="18">
        <f t="shared" si="52"/>
        <v>29209</v>
      </c>
    </row>
    <row r="674" spans="2:11" x14ac:dyDescent="0.45">
      <c r="B674" s="19">
        <f t="shared" si="51"/>
        <v>15</v>
      </c>
      <c r="C674" s="10">
        <v>46255</v>
      </c>
      <c r="D674" s="69" t="s">
        <v>380</v>
      </c>
      <c r="E674" s="22"/>
      <c r="F674" s="22"/>
      <c r="G674" s="32">
        <v>1900</v>
      </c>
      <c r="H674" s="32">
        <v>300</v>
      </c>
      <c r="I674" s="52">
        <f t="shared" si="50"/>
        <v>1600</v>
      </c>
      <c r="J674" s="27"/>
      <c r="K674" s="18">
        <f t="shared" si="52"/>
        <v>29210</v>
      </c>
    </row>
    <row r="675" spans="2:11" x14ac:dyDescent="0.45">
      <c r="B675" s="19">
        <f t="shared" si="51"/>
        <v>16</v>
      </c>
      <c r="C675" s="10">
        <v>46255</v>
      </c>
      <c r="D675" s="74" t="s">
        <v>381</v>
      </c>
      <c r="E675" s="22"/>
      <c r="F675" s="22"/>
      <c r="G675" s="32">
        <v>7000</v>
      </c>
      <c r="H675" s="32">
        <v>2100</v>
      </c>
      <c r="I675" s="52">
        <f t="shared" si="50"/>
        <v>4900</v>
      </c>
      <c r="J675" s="27"/>
      <c r="K675" s="18">
        <f t="shared" si="52"/>
        <v>29211</v>
      </c>
    </row>
    <row r="676" spans="2:11" x14ac:dyDescent="0.45">
      <c r="B676" s="19">
        <f t="shared" si="51"/>
        <v>17</v>
      </c>
      <c r="C676" s="10">
        <v>46255</v>
      </c>
      <c r="D676" s="74" t="s">
        <v>382</v>
      </c>
      <c r="E676" s="22"/>
      <c r="F676" s="22"/>
      <c r="G676" s="32">
        <v>1800</v>
      </c>
      <c r="H676" s="32">
        <v>1800</v>
      </c>
      <c r="I676" s="52">
        <f t="shared" si="50"/>
        <v>0</v>
      </c>
      <c r="J676" s="27"/>
      <c r="K676" s="18">
        <f t="shared" si="52"/>
        <v>29212</v>
      </c>
    </row>
    <row r="677" spans="2:11" x14ac:dyDescent="0.45">
      <c r="B677" s="19">
        <f t="shared" si="51"/>
        <v>18</v>
      </c>
      <c r="C677" s="10">
        <v>46255</v>
      </c>
      <c r="D677" s="74" t="s">
        <v>383</v>
      </c>
      <c r="E677" s="22"/>
      <c r="F677" s="22"/>
      <c r="G677" s="32">
        <v>1900</v>
      </c>
      <c r="H677" s="32">
        <v>200</v>
      </c>
      <c r="I677" s="52">
        <f t="shared" si="50"/>
        <v>1700</v>
      </c>
      <c r="J677" s="27"/>
      <c r="K677" s="18">
        <f t="shared" si="52"/>
        <v>29213</v>
      </c>
    </row>
    <row r="678" spans="2:11" x14ac:dyDescent="0.45">
      <c r="B678" s="19">
        <f t="shared" si="51"/>
        <v>19</v>
      </c>
      <c r="C678" s="10">
        <v>46255</v>
      </c>
      <c r="D678" s="74" t="s">
        <v>384</v>
      </c>
      <c r="E678" s="22"/>
      <c r="F678" s="22"/>
      <c r="G678" s="32">
        <v>1800</v>
      </c>
      <c r="H678" s="32">
        <v>500</v>
      </c>
      <c r="I678" s="52">
        <f t="shared" si="50"/>
        <v>1300</v>
      </c>
      <c r="J678" s="27"/>
      <c r="K678" s="18">
        <f t="shared" si="52"/>
        <v>29214</v>
      </c>
    </row>
    <row r="679" spans="2:11" x14ac:dyDescent="0.45">
      <c r="B679" s="19">
        <f t="shared" si="51"/>
        <v>20</v>
      </c>
      <c r="C679" s="10">
        <v>46255</v>
      </c>
      <c r="D679" s="74" t="s">
        <v>385</v>
      </c>
      <c r="E679" s="22"/>
      <c r="F679" s="22"/>
      <c r="G679" s="32">
        <v>1800</v>
      </c>
      <c r="H679" s="32">
        <v>300</v>
      </c>
      <c r="I679" s="52">
        <f t="shared" si="50"/>
        <v>1500</v>
      </c>
      <c r="J679" s="27"/>
      <c r="K679" s="18">
        <f t="shared" si="52"/>
        <v>29215</v>
      </c>
    </row>
    <row r="680" spans="2:11" x14ac:dyDescent="0.45">
      <c r="B680" s="19">
        <f t="shared" si="51"/>
        <v>21</v>
      </c>
      <c r="C680" s="10">
        <v>46255</v>
      </c>
      <c r="D680" s="74" t="s">
        <v>386</v>
      </c>
      <c r="E680" s="22"/>
      <c r="F680" s="22"/>
      <c r="G680" s="32">
        <v>1900</v>
      </c>
      <c r="H680" s="32">
        <v>570</v>
      </c>
      <c r="I680" s="52">
        <f t="shared" si="50"/>
        <v>1330</v>
      </c>
      <c r="J680" s="27"/>
      <c r="K680" s="18">
        <f t="shared" si="52"/>
        <v>29216</v>
      </c>
    </row>
    <row r="681" spans="2:11" x14ac:dyDescent="0.45">
      <c r="B681" s="19">
        <f t="shared" si="51"/>
        <v>22</v>
      </c>
      <c r="C681" s="10">
        <v>46255</v>
      </c>
      <c r="D681" s="74" t="s">
        <v>387</v>
      </c>
      <c r="E681" s="22"/>
      <c r="F681" s="22"/>
      <c r="G681" s="32">
        <v>1700</v>
      </c>
      <c r="H681" s="32">
        <v>500</v>
      </c>
      <c r="I681" s="52">
        <f t="shared" si="50"/>
        <v>1200</v>
      </c>
      <c r="J681" s="27"/>
      <c r="K681" s="18">
        <f t="shared" si="52"/>
        <v>29217</v>
      </c>
    </row>
    <row r="682" spans="2:11" x14ac:dyDescent="0.45">
      <c r="B682" s="19">
        <f t="shared" si="51"/>
        <v>23</v>
      </c>
      <c r="C682" s="10">
        <v>46255</v>
      </c>
      <c r="D682" s="69" t="s">
        <v>388</v>
      </c>
      <c r="E682" s="22"/>
      <c r="F682" s="22"/>
      <c r="G682" s="32">
        <v>1500</v>
      </c>
      <c r="H682" s="32">
        <v>0</v>
      </c>
      <c r="I682" s="52">
        <f t="shared" si="50"/>
        <v>1500</v>
      </c>
      <c r="J682" s="27"/>
      <c r="K682" s="18">
        <f t="shared" si="52"/>
        <v>29218</v>
      </c>
    </row>
    <row r="683" spans="2:11" x14ac:dyDescent="0.45">
      <c r="B683" s="19">
        <f t="shared" si="51"/>
        <v>24</v>
      </c>
      <c r="C683" s="10">
        <v>46255</v>
      </c>
      <c r="D683" s="74" t="s">
        <v>389</v>
      </c>
      <c r="E683" s="22"/>
      <c r="F683" s="22"/>
      <c r="G683" s="32">
        <v>1900</v>
      </c>
      <c r="H683" s="32">
        <v>900</v>
      </c>
      <c r="I683" s="52">
        <f t="shared" si="50"/>
        <v>1000</v>
      </c>
      <c r="J683" s="27"/>
      <c r="K683" s="18">
        <f t="shared" si="52"/>
        <v>29219</v>
      </c>
    </row>
    <row r="684" spans="2:11" x14ac:dyDescent="0.45">
      <c r="B684" s="19">
        <f t="shared" si="51"/>
        <v>25</v>
      </c>
      <c r="C684" s="10">
        <v>46255</v>
      </c>
      <c r="D684" s="74" t="s">
        <v>390</v>
      </c>
      <c r="E684" s="22"/>
      <c r="F684" s="22"/>
      <c r="G684" s="32">
        <v>1800</v>
      </c>
      <c r="H684" s="32">
        <v>400</v>
      </c>
      <c r="I684" s="52">
        <f t="shared" si="50"/>
        <v>1400</v>
      </c>
      <c r="J684" s="27"/>
      <c r="K684" s="18">
        <f t="shared" si="52"/>
        <v>29220</v>
      </c>
    </row>
    <row r="685" spans="2:11" x14ac:dyDescent="0.45">
      <c r="B685" s="19">
        <f t="shared" si="51"/>
        <v>26</v>
      </c>
      <c r="C685" s="10">
        <v>46255</v>
      </c>
      <c r="D685" s="74" t="s">
        <v>104</v>
      </c>
      <c r="E685" s="22"/>
      <c r="F685" s="22"/>
      <c r="G685" s="32">
        <v>1700</v>
      </c>
      <c r="H685" s="32">
        <v>0</v>
      </c>
      <c r="I685" s="52">
        <f t="shared" si="50"/>
        <v>1700</v>
      </c>
      <c r="J685" s="27"/>
      <c r="K685" s="18">
        <f t="shared" si="52"/>
        <v>29221</v>
      </c>
    </row>
    <row r="686" spans="2:11" x14ac:dyDescent="0.45">
      <c r="B686" s="19">
        <f t="shared" si="51"/>
        <v>27</v>
      </c>
      <c r="C686" s="10">
        <v>46255</v>
      </c>
      <c r="D686" s="77" t="s">
        <v>204</v>
      </c>
      <c r="E686" s="22"/>
      <c r="F686" s="22"/>
      <c r="G686" s="32">
        <v>1080</v>
      </c>
      <c r="H686" s="32">
        <v>0</v>
      </c>
      <c r="I686" s="52">
        <f t="shared" si="50"/>
        <v>1080</v>
      </c>
      <c r="J686" s="27"/>
      <c r="K686" s="18">
        <f t="shared" si="52"/>
        <v>29222</v>
      </c>
    </row>
    <row r="687" spans="2:11" ht="14.65" thickBot="1" x14ac:dyDescent="0.5">
      <c r="F687" s="38" t="s">
        <v>26</v>
      </c>
      <c r="G687" s="39">
        <f>SUM(G660:G686)</f>
        <v>80580</v>
      </c>
      <c r="H687" s="39">
        <f>SUM(H660:H686)</f>
        <v>17415</v>
      </c>
      <c r="I687" s="39">
        <f>SUM(I660:I686)</f>
        <v>63165</v>
      </c>
      <c r="K687" s="41"/>
    </row>
    <row r="689" spans="2:11" ht="15.75" x14ac:dyDescent="0.5">
      <c r="D689" s="42" t="s">
        <v>28</v>
      </c>
      <c r="E689" s="42"/>
      <c r="F689" s="43" t="s">
        <v>29</v>
      </c>
      <c r="G689" s="44"/>
      <c r="H689" s="44"/>
      <c r="I689" s="45"/>
      <c r="J689" s="46"/>
    </row>
    <row r="690" spans="2:11" x14ac:dyDescent="0.45">
      <c r="D690" s="47" t="s">
        <v>30</v>
      </c>
      <c r="E690" s="47"/>
      <c r="F690" s="48">
        <v>13420</v>
      </c>
      <c r="G690" s="49"/>
      <c r="H690" s="49"/>
      <c r="I690" s="50"/>
      <c r="K690" s="51"/>
    </row>
    <row r="691" spans="2:11" x14ac:dyDescent="0.45">
      <c r="D691" s="47" t="s">
        <v>31</v>
      </c>
      <c r="E691" s="47"/>
      <c r="F691" s="52">
        <v>0</v>
      </c>
      <c r="G691" s="53"/>
      <c r="H691" s="53"/>
      <c r="I691" s="50"/>
    </row>
    <row r="692" spans="2:11" x14ac:dyDescent="0.45">
      <c r="D692" s="47" t="s">
        <v>32</v>
      </c>
      <c r="E692" s="47"/>
      <c r="F692" s="54">
        <v>12270</v>
      </c>
      <c r="G692" s="55"/>
      <c r="H692" s="55"/>
      <c r="J692" s="46"/>
    </row>
    <row r="693" spans="2:11" x14ac:dyDescent="0.45">
      <c r="D693" s="47" t="s">
        <v>33</v>
      </c>
      <c r="E693" s="47"/>
      <c r="F693" s="54">
        <v>13480</v>
      </c>
      <c r="G693" s="55"/>
      <c r="H693" s="55"/>
      <c r="I693" s="50"/>
    </row>
    <row r="694" spans="2:11" x14ac:dyDescent="0.45">
      <c r="D694" s="47" t="s">
        <v>34</v>
      </c>
      <c r="E694" s="47"/>
      <c r="F694" s="52">
        <v>23995</v>
      </c>
      <c r="G694" s="53"/>
      <c r="H694" s="53"/>
      <c r="I694" s="50"/>
    </row>
    <row r="695" spans="2:11" ht="15.75" thickBot="1" x14ac:dyDescent="0.65">
      <c r="D695" s="56" t="s">
        <v>35</v>
      </c>
      <c r="E695" s="56"/>
      <c r="F695" s="57">
        <f>SUM(F690:F694)</f>
        <v>63165</v>
      </c>
      <c r="G695" s="58">
        <f>+I687-F695</f>
        <v>0</v>
      </c>
      <c r="H695" s="58"/>
      <c r="I695" s="50"/>
    </row>
    <row r="696" spans="2:11" ht="16.149999999999999" thickTop="1" thickBot="1" x14ac:dyDescent="0.65">
      <c r="D696" s="64"/>
      <c r="E696" s="64"/>
      <c r="F696" s="65"/>
      <c r="G696" s="58"/>
      <c r="H696" s="58"/>
      <c r="I696" s="50"/>
    </row>
    <row r="697" spans="2:11" ht="21.4" thickBot="1" x14ac:dyDescent="0.7">
      <c r="B697" s="1" t="s">
        <v>391</v>
      </c>
      <c r="C697" s="1"/>
      <c r="D697" s="2"/>
      <c r="E697" s="1"/>
      <c r="F697" s="1"/>
      <c r="G697" s="1"/>
      <c r="H697" s="1"/>
      <c r="I697" s="1"/>
      <c r="J697" s="1"/>
      <c r="K697" s="3"/>
    </row>
    <row r="698" spans="2:11" ht="24.4" thickBot="1" x14ac:dyDescent="0.55000000000000004">
      <c r="B698" s="4" t="s">
        <v>1</v>
      </c>
      <c r="C698" s="5" t="s">
        <v>2</v>
      </c>
      <c r="D698" s="5" t="s">
        <v>3</v>
      </c>
      <c r="E698" s="5" t="s">
        <v>4</v>
      </c>
      <c r="F698" s="6" t="s">
        <v>5</v>
      </c>
      <c r="G698" s="6" t="s">
        <v>6</v>
      </c>
      <c r="H698" s="6" t="s">
        <v>7</v>
      </c>
      <c r="I698" s="7" t="s">
        <v>8</v>
      </c>
      <c r="J698" s="5" t="s">
        <v>9</v>
      </c>
      <c r="K698" s="8" t="s">
        <v>10</v>
      </c>
    </row>
    <row r="699" spans="2:11" x14ac:dyDescent="0.45">
      <c r="B699" s="9">
        <v>1</v>
      </c>
      <c r="C699" s="10">
        <v>46256</v>
      </c>
      <c r="D699" s="11"/>
      <c r="E699" s="30"/>
      <c r="F699" s="31"/>
      <c r="G699" s="32">
        <f>3500*3</f>
        <v>10500</v>
      </c>
      <c r="H699" s="32">
        <f>1050*3</f>
        <v>3150</v>
      </c>
      <c r="I699" s="68">
        <f>+G699-H699</f>
        <v>7350</v>
      </c>
      <c r="J699" s="17"/>
      <c r="K699" s="18">
        <v>29223</v>
      </c>
    </row>
    <row r="700" spans="2:11" x14ac:dyDescent="0.45">
      <c r="B700" s="19">
        <f>+B699+1</f>
        <v>2</v>
      </c>
      <c r="C700" s="10">
        <v>46256</v>
      </c>
      <c r="D700" s="78"/>
      <c r="E700" s="22"/>
      <c r="F700" s="23"/>
      <c r="G700" s="32">
        <v>1700</v>
      </c>
      <c r="H700" s="32">
        <v>200</v>
      </c>
      <c r="I700" s="52">
        <f t="shared" ref="I700:I707" si="53">+G700-H700</f>
        <v>1500</v>
      </c>
      <c r="J700" s="26"/>
      <c r="K700" s="18">
        <f>+K699+1</f>
        <v>29224</v>
      </c>
    </row>
    <row r="701" spans="2:11" x14ac:dyDescent="0.45">
      <c r="B701" s="19">
        <f t="shared" ref="B701:B707" si="54">+B700+1</f>
        <v>3</v>
      </c>
      <c r="C701" s="10">
        <v>46256</v>
      </c>
      <c r="D701" s="78"/>
      <c r="E701" s="22"/>
      <c r="F701" s="23"/>
      <c r="G701" s="32">
        <v>1700</v>
      </c>
      <c r="H701" s="32">
        <v>200</v>
      </c>
      <c r="I701" s="52">
        <f t="shared" si="53"/>
        <v>1500</v>
      </c>
      <c r="J701" s="26"/>
      <c r="K701" s="18">
        <f t="shared" ref="K701:K707" si="55">+K700+1</f>
        <v>29225</v>
      </c>
    </row>
    <row r="702" spans="2:11" x14ac:dyDescent="0.45">
      <c r="B702" s="19">
        <f t="shared" si="54"/>
        <v>4</v>
      </c>
      <c r="C702" s="10">
        <v>46256</v>
      </c>
      <c r="D702" s="78"/>
      <c r="E702" s="22"/>
      <c r="F702" s="23"/>
      <c r="G702" s="32">
        <v>1800</v>
      </c>
      <c r="H702" s="32">
        <v>300</v>
      </c>
      <c r="I702" s="52">
        <f t="shared" si="53"/>
        <v>1500</v>
      </c>
      <c r="J702" s="27"/>
      <c r="K702" s="18">
        <f t="shared" si="55"/>
        <v>29226</v>
      </c>
    </row>
    <row r="703" spans="2:11" x14ac:dyDescent="0.45">
      <c r="B703" s="19">
        <f t="shared" si="54"/>
        <v>5</v>
      </c>
      <c r="C703" s="10">
        <v>46256</v>
      </c>
      <c r="D703" s="78"/>
      <c r="E703" s="22"/>
      <c r="F703" s="23"/>
      <c r="G703" s="32">
        <v>1900</v>
      </c>
      <c r="H703" s="32">
        <v>0</v>
      </c>
      <c r="I703" s="52">
        <f t="shared" si="53"/>
        <v>1900</v>
      </c>
      <c r="J703" s="28"/>
      <c r="K703" s="18">
        <f t="shared" si="55"/>
        <v>29227</v>
      </c>
    </row>
    <row r="704" spans="2:11" x14ac:dyDescent="0.45">
      <c r="B704" s="19">
        <f t="shared" si="54"/>
        <v>6</v>
      </c>
      <c r="C704" s="10">
        <v>46256</v>
      </c>
      <c r="D704" s="78"/>
      <c r="E704" s="22"/>
      <c r="F704" s="23"/>
      <c r="G704" s="32">
        <v>2680</v>
      </c>
      <c r="H704" s="32">
        <v>300</v>
      </c>
      <c r="I704" s="52">
        <f t="shared" si="53"/>
        <v>2380</v>
      </c>
      <c r="J704" s="27"/>
      <c r="K704" s="18">
        <f t="shared" si="55"/>
        <v>29228</v>
      </c>
    </row>
    <row r="705" spans="2:11" x14ac:dyDescent="0.45">
      <c r="B705" s="19">
        <f t="shared" si="54"/>
        <v>7</v>
      </c>
      <c r="C705" s="10">
        <v>46256</v>
      </c>
      <c r="D705" s="78"/>
      <c r="E705" s="22"/>
      <c r="F705" s="23"/>
      <c r="G705" s="32">
        <v>1800</v>
      </c>
      <c r="H705" s="32">
        <v>400</v>
      </c>
      <c r="I705" s="52">
        <f t="shared" si="53"/>
        <v>1400</v>
      </c>
      <c r="J705" s="27"/>
      <c r="K705" s="18">
        <f t="shared" si="55"/>
        <v>29229</v>
      </c>
    </row>
    <row r="706" spans="2:11" x14ac:dyDescent="0.45">
      <c r="B706" s="19">
        <f t="shared" si="54"/>
        <v>8</v>
      </c>
      <c r="C706" s="10">
        <v>46256</v>
      </c>
      <c r="D706" s="78"/>
      <c r="E706" s="22"/>
      <c r="F706" s="23"/>
      <c r="G706" s="32">
        <v>5900</v>
      </c>
      <c r="H706" s="32">
        <v>0</v>
      </c>
      <c r="I706" s="52">
        <f t="shared" si="53"/>
        <v>5900</v>
      </c>
      <c r="J706" s="27"/>
      <c r="K706" s="18">
        <f t="shared" si="55"/>
        <v>29230</v>
      </c>
    </row>
    <row r="707" spans="2:11" x14ac:dyDescent="0.45">
      <c r="B707" s="19">
        <f t="shared" si="54"/>
        <v>9</v>
      </c>
      <c r="C707" s="10">
        <v>46256</v>
      </c>
      <c r="D707" s="78"/>
      <c r="E707" s="22"/>
      <c r="F707" s="23"/>
      <c r="G707" s="32">
        <v>9370</v>
      </c>
      <c r="H707" s="32">
        <v>2510</v>
      </c>
      <c r="I707" s="52">
        <f t="shared" si="53"/>
        <v>6860</v>
      </c>
      <c r="J707" s="27"/>
      <c r="K707" s="18">
        <f t="shared" si="55"/>
        <v>29231</v>
      </c>
    </row>
    <row r="708" spans="2:11" ht="14.65" thickBot="1" x14ac:dyDescent="0.5">
      <c r="F708" s="38" t="s">
        <v>26</v>
      </c>
      <c r="G708" s="39">
        <f>SUM(G699:G707)</f>
        <v>37350</v>
      </c>
      <c r="H708" s="39">
        <f>SUM(H699:H707)</f>
        <v>7060</v>
      </c>
      <c r="I708" s="39">
        <f>SUM(I699:I707)</f>
        <v>30290</v>
      </c>
      <c r="K708" s="41"/>
    </row>
    <row r="710" spans="2:11" ht="15.75" x14ac:dyDescent="0.5">
      <c r="D710" s="42" t="s">
        <v>28</v>
      </c>
      <c r="E710" s="42"/>
      <c r="F710" s="43" t="s">
        <v>29</v>
      </c>
      <c r="G710" s="44"/>
      <c r="H710" s="44"/>
      <c r="I710" s="45"/>
      <c r="J710" s="46"/>
    </row>
    <row r="711" spans="2:11" x14ac:dyDescent="0.45">
      <c r="D711" s="47" t="s">
        <v>30</v>
      </c>
      <c r="E711" s="47"/>
      <c r="F711" s="48">
        <v>14580</v>
      </c>
      <c r="G711" s="49"/>
      <c r="H711" s="49"/>
      <c r="I711" s="50"/>
      <c r="K711" s="51"/>
    </row>
    <row r="712" spans="2:11" x14ac:dyDescent="0.45">
      <c r="D712" s="47" t="s">
        <v>31</v>
      </c>
      <c r="E712" s="47"/>
      <c r="F712" s="52">
        <v>0</v>
      </c>
      <c r="G712" s="53"/>
      <c r="H712" s="53"/>
      <c r="I712" s="50"/>
    </row>
    <row r="713" spans="2:11" x14ac:dyDescent="0.45">
      <c r="D713" s="47" t="s">
        <v>32</v>
      </c>
      <c r="E713" s="47"/>
      <c r="F713" s="54">
        <v>0</v>
      </c>
      <c r="G713" s="55"/>
      <c r="H713" s="55"/>
      <c r="J713" s="46"/>
    </row>
    <row r="714" spans="2:11" x14ac:dyDescent="0.45">
      <c r="D714" s="47" t="s">
        <v>33</v>
      </c>
      <c r="E714" s="47"/>
      <c r="F714" s="54">
        <v>8850</v>
      </c>
      <c r="G714" s="55"/>
      <c r="H714" s="55"/>
      <c r="I714" s="50"/>
    </row>
    <row r="715" spans="2:11" x14ac:dyDescent="0.45">
      <c r="D715" s="47" t="s">
        <v>34</v>
      </c>
      <c r="E715" s="47"/>
      <c r="F715" s="52">
        <v>6860</v>
      </c>
      <c r="G715" s="53"/>
      <c r="H715" s="53"/>
      <c r="I715" s="50"/>
    </row>
    <row r="716" spans="2:11" ht="15.75" thickBot="1" x14ac:dyDescent="0.65">
      <c r="D716" s="56" t="s">
        <v>35</v>
      </c>
      <c r="E716" s="56"/>
      <c r="F716" s="57">
        <f>SUM(F711:F715)</f>
        <v>30290</v>
      </c>
      <c r="G716" s="58">
        <f>+I708-F716</f>
        <v>0</v>
      </c>
      <c r="H716" s="58"/>
      <c r="I716" s="50"/>
    </row>
    <row r="717" spans="2:11" ht="14.65" thickTop="1" x14ac:dyDescent="0.45"/>
    <row r="718" spans="2:11" ht="15.75" thickBot="1" x14ac:dyDescent="0.65">
      <c r="D718" s="64"/>
      <c r="E718" s="64"/>
      <c r="F718" s="65"/>
      <c r="G718" s="58"/>
      <c r="H718" s="58"/>
      <c r="I718" s="50"/>
    </row>
    <row r="719" spans="2:11" ht="21.4" thickBot="1" x14ac:dyDescent="0.7">
      <c r="B719" s="1" t="s">
        <v>392</v>
      </c>
      <c r="C719" s="1"/>
      <c r="D719" s="2"/>
      <c r="E719" s="1"/>
      <c r="F719" s="1"/>
      <c r="G719" s="1"/>
      <c r="H719" s="1"/>
      <c r="I719" s="1"/>
      <c r="J719" s="1"/>
      <c r="K719" s="3"/>
    </row>
    <row r="720" spans="2:11" ht="24.4" thickBot="1" x14ac:dyDescent="0.55000000000000004">
      <c r="B720" s="4" t="s">
        <v>1</v>
      </c>
      <c r="C720" s="5" t="s">
        <v>2</v>
      </c>
      <c r="D720" s="5" t="s">
        <v>3</v>
      </c>
      <c r="E720" s="5" t="s">
        <v>4</v>
      </c>
      <c r="F720" s="6" t="s">
        <v>5</v>
      </c>
      <c r="G720" s="6" t="s">
        <v>6</v>
      </c>
      <c r="H720" s="6" t="s">
        <v>7</v>
      </c>
      <c r="I720" s="7" t="s">
        <v>8</v>
      </c>
      <c r="J720" s="5" t="s">
        <v>9</v>
      </c>
      <c r="K720" s="8" t="s">
        <v>10</v>
      </c>
    </row>
    <row r="721" spans="2:11" x14ac:dyDescent="0.45">
      <c r="B721" s="9">
        <v>1</v>
      </c>
      <c r="C721" s="10">
        <v>46258</v>
      </c>
      <c r="D721" s="11"/>
      <c r="E721" s="30"/>
      <c r="F721" s="31"/>
      <c r="G721" s="32">
        <v>1900</v>
      </c>
      <c r="H721" s="32">
        <v>570</v>
      </c>
      <c r="I721" s="68">
        <f>+G721-H721</f>
        <v>1330</v>
      </c>
      <c r="J721" s="17"/>
      <c r="K721" s="18">
        <v>29232</v>
      </c>
    </row>
    <row r="722" spans="2:11" x14ac:dyDescent="0.45">
      <c r="B722" s="19">
        <f>+B721+1</f>
        <v>2</v>
      </c>
      <c r="C722" s="10">
        <v>46258</v>
      </c>
      <c r="D722" s="78"/>
      <c r="E722" s="22"/>
      <c r="F722" s="23"/>
      <c r="G722" s="32">
        <v>2000</v>
      </c>
      <c r="H722" s="32">
        <v>300</v>
      </c>
      <c r="I722" s="52">
        <f t="shared" ref="I722:I746" si="56">+G722-H722</f>
        <v>1700</v>
      </c>
      <c r="J722" s="26"/>
      <c r="K722" s="18">
        <f>+K721+1</f>
        <v>29233</v>
      </c>
    </row>
    <row r="723" spans="2:11" x14ac:dyDescent="0.45">
      <c r="B723" s="19">
        <f t="shared" ref="B723:B746" si="57">+B722+1</f>
        <v>3</v>
      </c>
      <c r="C723" s="10">
        <v>46258</v>
      </c>
      <c r="D723" s="78"/>
      <c r="E723" s="22"/>
      <c r="F723" s="23"/>
      <c r="G723" s="32">
        <v>1800</v>
      </c>
      <c r="H723" s="32">
        <v>0</v>
      </c>
      <c r="I723" s="52">
        <f t="shared" si="56"/>
        <v>1800</v>
      </c>
      <c r="J723" s="26"/>
      <c r="K723" s="18">
        <f t="shared" ref="K723:K746" si="58">+K722+1</f>
        <v>29234</v>
      </c>
    </row>
    <row r="724" spans="2:11" x14ac:dyDescent="0.45">
      <c r="B724" s="19">
        <f t="shared" si="57"/>
        <v>4</v>
      </c>
      <c r="C724" s="10">
        <v>46258</v>
      </c>
      <c r="D724" s="78"/>
      <c r="E724" s="22"/>
      <c r="F724" s="23"/>
      <c r="G724" s="32">
        <v>1700</v>
      </c>
      <c r="H724" s="32">
        <v>200</v>
      </c>
      <c r="I724" s="52">
        <f t="shared" si="56"/>
        <v>1500</v>
      </c>
      <c r="J724" s="27"/>
      <c r="K724" s="18">
        <f t="shared" si="58"/>
        <v>29235</v>
      </c>
    </row>
    <row r="725" spans="2:11" x14ac:dyDescent="0.45">
      <c r="B725" s="19">
        <f t="shared" si="57"/>
        <v>5</v>
      </c>
      <c r="C725" s="10">
        <v>46258</v>
      </c>
      <c r="D725" s="78"/>
      <c r="E725" s="22"/>
      <c r="F725" s="23"/>
      <c r="G725" s="32">
        <v>440</v>
      </c>
      <c r="H725" s="32">
        <v>0</v>
      </c>
      <c r="I725" s="52">
        <f t="shared" si="56"/>
        <v>440</v>
      </c>
      <c r="J725" s="28"/>
      <c r="K725" s="18">
        <f t="shared" si="58"/>
        <v>29236</v>
      </c>
    </row>
    <row r="726" spans="2:11" x14ac:dyDescent="0.45">
      <c r="B726" s="19">
        <f t="shared" si="57"/>
        <v>6</v>
      </c>
      <c r="C726" s="10">
        <v>46258</v>
      </c>
      <c r="D726" s="78"/>
      <c r="E726" s="22"/>
      <c r="F726" s="23"/>
      <c r="G726" s="32">
        <v>3000</v>
      </c>
      <c r="H726" s="32">
        <v>1000</v>
      </c>
      <c r="I726" s="52">
        <f t="shared" si="56"/>
        <v>2000</v>
      </c>
      <c r="J726" s="27"/>
      <c r="K726" s="18">
        <f t="shared" si="58"/>
        <v>29237</v>
      </c>
    </row>
    <row r="727" spans="2:11" x14ac:dyDescent="0.45">
      <c r="B727" s="19">
        <f t="shared" si="57"/>
        <v>7</v>
      </c>
      <c r="C727" s="10">
        <v>46258</v>
      </c>
      <c r="D727" s="78"/>
      <c r="E727" s="22"/>
      <c r="F727" s="23"/>
      <c r="G727" s="32">
        <v>660</v>
      </c>
      <c r="H727" s="32">
        <v>0</v>
      </c>
      <c r="I727" s="52">
        <f t="shared" si="56"/>
        <v>660</v>
      </c>
      <c r="J727" s="27"/>
      <c r="K727" s="18">
        <f t="shared" si="58"/>
        <v>29238</v>
      </c>
    </row>
    <row r="728" spans="2:11" x14ac:dyDescent="0.45">
      <c r="B728" s="19">
        <f t="shared" si="57"/>
        <v>8</v>
      </c>
      <c r="C728" s="10">
        <v>46258</v>
      </c>
      <c r="D728" s="78"/>
      <c r="E728" s="22"/>
      <c r="F728" s="23"/>
      <c r="G728" s="32">
        <v>5900</v>
      </c>
      <c r="H728" s="32">
        <v>1770</v>
      </c>
      <c r="I728" s="52">
        <f t="shared" si="56"/>
        <v>4130</v>
      </c>
      <c r="J728" s="27"/>
      <c r="K728" s="18">
        <f t="shared" si="58"/>
        <v>29239</v>
      </c>
    </row>
    <row r="729" spans="2:11" x14ac:dyDescent="0.45">
      <c r="B729" s="19">
        <f t="shared" si="57"/>
        <v>9</v>
      </c>
      <c r="C729" s="10">
        <v>46258</v>
      </c>
      <c r="D729" s="78"/>
      <c r="E729" s="22"/>
      <c r="F729" s="23"/>
      <c r="G729" s="32">
        <v>2200</v>
      </c>
      <c r="H729" s="32">
        <v>0</v>
      </c>
      <c r="I729" s="52">
        <f t="shared" si="56"/>
        <v>2200</v>
      </c>
      <c r="J729" s="27"/>
      <c r="K729" s="18">
        <f t="shared" si="58"/>
        <v>29240</v>
      </c>
    </row>
    <row r="730" spans="2:11" x14ac:dyDescent="0.45">
      <c r="B730" s="19">
        <f t="shared" si="57"/>
        <v>10</v>
      </c>
      <c r="C730" s="10">
        <v>46258</v>
      </c>
      <c r="D730" s="11"/>
      <c r="E730" s="22"/>
      <c r="F730" s="23"/>
      <c r="G730" s="32">
        <v>2500</v>
      </c>
      <c r="H730" s="32">
        <v>0</v>
      </c>
      <c r="I730" s="52">
        <f t="shared" si="56"/>
        <v>2500</v>
      </c>
      <c r="J730" s="27"/>
      <c r="K730" s="18">
        <f t="shared" si="58"/>
        <v>29241</v>
      </c>
    </row>
    <row r="731" spans="2:11" x14ac:dyDescent="0.45">
      <c r="B731" s="19">
        <f t="shared" si="57"/>
        <v>11</v>
      </c>
      <c r="C731" s="10">
        <v>46258</v>
      </c>
      <c r="D731" s="78"/>
      <c r="E731" s="22"/>
      <c r="F731" s="33"/>
      <c r="G731" s="32">
        <f>2500+1820</f>
        <v>4320</v>
      </c>
      <c r="H731" s="32">
        <v>750</v>
      </c>
      <c r="I731" s="52">
        <f t="shared" si="56"/>
        <v>3570</v>
      </c>
      <c r="J731" s="28"/>
      <c r="K731" s="18">
        <f t="shared" si="58"/>
        <v>29242</v>
      </c>
    </row>
    <row r="732" spans="2:11" x14ac:dyDescent="0.45">
      <c r="B732" s="19">
        <f t="shared" si="57"/>
        <v>12</v>
      </c>
      <c r="C732" s="10">
        <v>46258</v>
      </c>
      <c r="D732" s="78"/>
      <c r="E732" s="22"/>
      <c r="F732" s="22"/>
      <c r="G732" s="32">
        <v>1700</v>
      </c>
      <c r="H732" s="32">
        <v>0</v>
      </c>
      <c r="I732" s="52">
        <f t="shared" si="56"/>
        <v>1700</v>
      </c>
      <c r="J732" s="27"/>
      <c r="K732" s="18">
        <f t="shared" si="58"/>
        <v>29243</v>
      </c>
    </row>
    <row r="733" spans="2:11" x14ac:dyDescent="0.45">
      <c r="B733" s="19">
        <f t="shared" si="57"/>
        <v>13</v>
      </c>
      <c r="C733" s="10">
        <v>46258</v>
      </c>
      <c r="D733" s="78"/>
      <c r="E733" s="22"/>
      <c r="F733" s="22"/>
      <c r="G733" s="32">
        <v>2000</v>
      </c>
      <c r="H733" s="32">
        <v>200</v>
      </c>
      <c r="I733" s="52">
        <f t="shared" si="56"/>
        <v>1800</v>
      </c>
      <c r="J733" s="27"/>
      <c r="K733" s="18">
        <f t="shared" si="58"/>
        <v>29244</v>
      </c>
    </row>
    <row r="734" spans="2:11" x14ac:dyDescent="0.45">
      <c r="B734" s="19">
        <f t="shared" si="57"/>
        <v>14</v>
      </c>
      <c r="C734" s="10">
        <v>46258</v>
      </c>
      <c r="D734" s="78"/>
      <c r="E734" s="22"/>
      <c r="F734" s="22"/>
      <c r="G734" s="32">
        <v>2500</v>
      </c>
      <c r="H734" s="32">
        <v>0</v>
      </c>
      <c r="I734" s="52">
        <f t="shared" si="56"/>
        <v>2500</v>
      </c>
      <c r="J734" s="27"/>
      <c r="K734" s="18">
        <f t="shared" si="58"/>
        <v>29245</v>
      </c>
    </row>
    <row r="735" spans="2:11" x14ac:dyDescent="0.45">
      <c r="B735" s="19">
        <f t="shared" si="57"/>
        <v>15</v>
      </c>
      <c r="C735" s="10">
        <v>46258</v>
      </c>
      <c r="D735" s="78"/>
      <c r="E735" s="22"/>
      <c r="F735" s="22"/>
      <c r="G735" s="32">
        <v>4900</v>
      </c>
      <c r="H735" s="32">
        <v>1470</v>
      </c>
      <c r="I735" s="52">
        <f t="shared" si="56"/>
        <v>3430</v>
      </c>
      <c r="J735" s="27"/>
      <c r="K735" s="18">
        <f t="shared" si="58"/>
        <v>29246</v>
      </c>
    </row>
    <row r="736" spans="2:11" x14ac:dyDescent="0.45">
      <c r="B736" s="19">
        <f t="shared" si="57"/>
        <v>16</v>
      </c>
      <c r="C736" s="10">
        <v>46258</v>
      </c>
      <c r="D736" s="78"/>
      <c r="E736" s="22"/>
      <c r="F736" s="22"/>
      <c r="G736" s="32">
        <v>3500</v>
      </c>
      <c r="H736" s="32">
        <v>1400</v>
      </c>
      <c r="I736" s="52">
        <f t="shared" si="56"/>
        <v>2100</v>
      </c>
      <c r="J736" s="27"/>
      <c r="K736" s="18">
        <f t="shared" si="58"/>
        <v>29247</v>
      </c>
    </row>
    <row r="737" spans="2:11" x14ac:dyDescent="0.45">
      <c r="B737" s="19">
        <f t="shared" si="57"/>
        <v>17</v>
      </c>
      <c r="C737" s="10">
        <v>46258</v>
      </c>
      <c r="D737" s="78"/>
      <c r="E737" s="22"/>
      <c r="F737" s="22"/>
      <c r="G737" s="32">
        <v>1800</v>
      </c>
      <c r="H737" s="32">
        <v>540</v>
      </c>
      <c r="I737" s="52">
        <f t="shared" si="56"/>
        <v>1260</v>
      </c>
      <c r="J737" s="27"/>
      <c r="K737" s="18">
        <f t="shared" si="58"/>
        <v>29248</v>
      </c>
    </row>
    <row r="738" spans="2:11" x14ac:dyDescent="0.45">
      <c r="B738" s="19">
        <f t="shared" si="57"/>
        <v>18</v>
      </c>
      <c r="C738" s="10">
        <v>46258</v>
      </c>
      <c r="D738" s="78"/>
      <c r="E738" s="22"/>
      <c r="F738" s="22"/>
      <c r="G738" s="32">
        <v>1800</v>
      </c>
      <c r="H738" s="32">
        <v>300</v>
      </c>
      <c r="I738" s="52">
        <f t="shared" si="56"/>
        <v>1500</v>
      </c>
      <c r="J738" s="27"/>
      <c r="K738" s="18">
        <f t="shared" si="58"/>
        <v>29249</v>
      </c>
    </row>
    <row r="739" spans="2:11" x14ac:dyDescent="0.45">
      <c r="B739" s="19">
        <f t="shared" si="57"/>
        <v>19</v>
      </c>
      <c r="C739" s="10">
        <v>46258</v>
      </c>
      <c r="D739" s="78"/>
      <c r="E739" s="22"/>
      <c r="F739" s="22"/>
      <c r="G739" s="32">
        <f>220+1800</f>
        <v>2020</v>
      </c>
      <c r="H739" s="32">
        <v>200</v>
      </c>
      <c r="I739" s="52">
        <f t="shared" si="56"/>
        <v>1820</v>
      </c>
      <c r="J739" s="27"/>
      <c r="K739" s="18">
        <f t="shared" si="58"/>
        <v>29250</v>
      </c>
    </row>
    <row r="740" spans="2:11" x14ac:dyDescent="0.45">
      <c r="B740" s="19">
        <f t="shared" si="57"/>
        <v>20</v>
      </c>
      <c r="C740" s="10">
        <v>46258</v>
      </c>
      <c r="D740" s="78"/>
      <c r="E740" s="22"/>
      <c r="F740" s="22"/>
      <c r="G740" s="32">
        <v>1900</v>
      </c>
      <c r="H740" s="32">
        <v>200</v>
      </c>
      <c r="I740" s="52">
        <f t="shared" si="56"/>
        <v>1700</v>
      </c>
      <c r="J740" s="27"/>
      <c r="K740" s="18">
        <f t="shared" si="58"/>
        <v>29251</v>
      </c>
    </row>
    <row r="741" spans="2:11" x14ac:dyDescent="0.45">
      <c r="B741" s="19">
        <f t="shared" si="57"/>
        <v>21</v>
      </c>
      <c r="C741" s="10">
        <v>46258</v>
      </c>
      <c r="D741" s="78"/>
      <c r="E741" s="22"/>
      <c r="F741" s="22"/>
      <c r="G741" s="32">
        <v>300</v>
      </c>
      <c r="H741" s="32">
        <v>0</v>
      </c>
      <c r="I741" s="52">
        <f t="shared" si="56"/>
        <v>300</v>
      </c>
      <c r="J741" s="27"/>
      <c r="K741" s="18">
        <f t="shared" si="58"/>
        <v>29252</v>
      </c>
    </row>
    <row r="742" spans="2:11" x14ac:dyDescent="0.45">
      <c r="B742" s="19">
        <f t="shared" si="57"/>
        <v>22</v>
      </c>
      <c r="C742" s="10">
        <v>46258</v>
      </c>
      <c r="D742" s="78"/>
      <c r="E742" s="22"/>
      <c r="F742" s="22"/>
      <c r="G742" s="32">
        <v>2000</v>
      </c>
      <c r="H742" s="32">
        <v>0</v>
      </c>
      <c r="I742" s="52">
        <f t="shared" si="56"/>
        <v>2000</v>
      </c>
      <c r="J742" s="27"/>
      <c r="K742" s="18">
        <f t="shared" si="58"/>
        <v>29253</v>
      </c>
    </row>
    <row r="743" spans="2:11" x14ac:dyDescent="0.45">
      <c r="B743" s="19">
        <f t="shared" si="57"/>
        <v>23</v>
      </c>
      <c r="C743" s="10">
        <v>46258</v>
      </c>
      <c r="D743" s="78"/>
      <c r="E743" s="22"/>
      <c r="F743" s="22"/>
      <c r="G743" s="32">
        <v>2500</v>
      </c>
      <c r="H743" s="32">
        <v>750</v>
      </c>
      <c r="I743" s="52">
        <f t="shared" si="56"/>
        <v>1750</v>
      </c>
      <c r="J743" s="27"/>
      <c r="K743" s="18">
        <f t="shared" si="58"/>
        <v>29254</v>
      </c>
    </row>
    <row r="744" spans="2:11" x14ac:dyDescent="0.45">
      <c r="B744" s="19">
        <f t="shared" si="57"/>
        <v>24</v>
      </c>
      <c r="C744" s="10">
        <v>46258</v>
      </c>
      <c r="D744" s="78"/>
      <c r="E744" s="22"/>
      <c r="F744" s="22"/>
      <c r="G744" s="32">
        <v>220</v>
      </c>
      <c r="H744" s="32">
        <v>0</v>
      </c>
      <c r="I744" s="52">
        <f t="shared" si="56"/>
        <v>220</v>
      </c>
      <c r="J744" s="27"/>
      <c r="K744" s="18">
        <f t="shared" si="58"/>
        <v>29255</v>
      </c>
    </row>
    <row r="745" spans="2:11" x14ac:dyDescent="0.45">
      <c r="B745" s="19">
        <f t="shared" si="57"/>
        <v>25</v>
      </c>
      <c r="C745" s="10">
        <v>46258</v>
      </c>
      <c r="D745" s="78"/>
      <c r="E745" s="22"/>
      <c r="F745" s="22"/>
      <c r="G745" s="32">
        <v>100</v>
      </c>
      <c r="H745" s="32">
        <v>0</v>
      </c>
      <c r="I745" s="52">
        <f t="shared" si="56"/>
        <v>100</v>
      </c>
      <c r="J745" s="27"/>
      <c r="K745" s="18">
        <f t="shared" si="58"/>
        <v>29256</v>
      </c>
    </row>
    <row r="746" spans="2:11" x14ac:dyDescent="0.45">
      <c r="B746" s="19">
        <f t="shared" si="57"/>
        <v>26</v>
      </c>
      <c r="C746" s="10">
        <v>46258</v>
      </c>
      <c r="D746" s="78"/>
      <c r="E746" s="22"/>
      <c r="F746" s="22"/>
      <c r="G746" s="32">
        <v>1900</v>
      </c>
      <c r="H746" s="32">
        <v>200</v>
      </c>
      <c r="I746" s="52">
        <f t="shared" si="56"/>
        <v>1700</v>
      </c>
      <c r="J746" s="27"/>
      <c r="K746" s="18">
        <f t="shared" si="58"/>
        <v>29257</v>
      </c>
    </row>
    <row r="747" spans="2:11" ht="14.65" thickBot="1" x14ac:dyDescent="0.5">
      <c r="F747" s="38" t="s">
        <v>26</v>
      </c>
      <c r="G747" s="39">
        <f>SUM(G721:G746)</f>
        <v>55560</v>
      </c>
      <c r="H747" s="39">
        <f>SUM(H721:H746)</f>
        <v>9850</v>
      </c>
      <c r="I747" s="39">
        <f>SUM(I721:I746)</f>
        <v>45710</v>
      </c>
      <c r="K747" s="41"/>
    </row>
    <row r="749" spans="2:11" ht="15.75" x14ac:dyDescent="0.5">
      <c r="D749" s="42" t="s">
        <v>28</v>
      </c>
      <c r="E749" s="42"/>
      <c r="F749" s="43" t="s">
        <v>29</v>
      </c>
      <c r="G749" s="44"/>
      <c r="H749" s="44"/>
      <c r="I749" s="45"/>
      <c r="J749" s="46"/>
    </row>
    <row r="750" spans="2:11" x14ac:dyDescent="0.45">
      <c r="D750" s="47" t="s">
        <v>30</v>
      </c>
      <c r="E750" s="47"/>
      <c r="F750" s="48">
        <v>21700</v>
      </c>
      <c r="G750" s="49"/>
      <c r="H750" s="49"/>
      <c r="I750" s="50"/>
      <c r="K750" s="51"/>
    </row>
    <row r="751" spans="2:11" x14ac:dyDescent="0.45">
      <c r="D751" s="47" t="s">
        <v>31</v>
      </c>
      <c r="E751" s="47"/>
      <c r="F751" s="52">
        <v>0</v>
      </c>
      <c r="G751" s="53"/>
      <c r="H751" s="53"/>
      <c r="I751" s="50"/>
    </row>
    <row r="752" spans="2:11" x14ac:dyDescent="0.45">
      <c r="D752" s="47" t="s">
        <v>32</v>
      </c>
      <c r="E752" s="47"/>
      <c r="F752" s="54">
        <v>20750</v>
      </c>
      <c r="G752" s="55"/>
      <c r="H752" s="55"/>
      <c r="J752" s="46"/>
    </row>
    <row r="753" spans="2:11" x14ac:dyDescent="0.45">
      <c r="D753" s="47" t="s">
        <v>33</v>
      </c>
      <c r="E753" s="47"/>
      <c r="F753" s="54">
        <v>3260</v>
      </c>
      <c r="G753" s="55"/>
      <c r="H753" s="55"/>
      <c r="I753" s="50"/>
    </row>
    <row r="754" spans="2:11" x14ac:dyDescent="0.45">
      <c r="D754" s="47" t="s">
        <v>34</v>
      </c>
      <c r="E754" s="47"/>
      <c r="F754" s="52">
        <v>0</v>
      </c>
      <c r="G754" s="53"/>
      <c r="H754" s="53"/>
      <c r="I754" s="50"/>
    </row>
    <row r="755" spans="2:11" ht="15.75" thickBot="1" x14ac:dyDescent="0.65">
      <c r="D755" s="56" t="s">
        <v>35</v>
      </c>
      <c r="E755" s="56"/>
      <c r="F755" s="57">
        <f>SUM(F750:F754)</f>
        <v>45710</v>
      </c>
      <c r="G755" s="58">
        <f>+I747-F755</f>
        <v>0</v>
      </c>
      <c r="H755" s="58"/>
      <c r="I755" s="50"/>
    </row>
    <row r="756" spans="2:11" ht="16.149999999999999" thickTop="1" thickBot="1" x14ac:dyDescent="0.65">
      <c r="D756" s="64"/>
      <c r="E756" s="64"/>
      <c r="F756" s="65"/>
      <c r="G756" s="58"/>
      <c r="H756" s="58"/>
      <c r="I756" s="50"/>
    </row>
    <row r="757" spans="2:11" ht="21.4" thickBot="1" x14ac:dyDescent="0.7">
      <c r="B757" s="1" t="s">
        <v>393</v>
      </c>
      <c r="C757" s="1"/>
      <c r="D757" s="2"/>
      <c r="E757" s="1"/>
      <c r="F757" s="1"/>
      <c r="G757" s="1"/>
      <c r="H757" s="1"/>
      <c r="I757" s="1"/>
      <c r="J757" s="1"/>
      <c r="K757" s="3"/>
    </row>
    <row r="758" spans="2:11" ht="24.4" thickBot="1" x14ac:dyDescent="0.55000000000000004">
      <c r="B758" s="4" t="s">
        <v>1</v>
      </c>
      <c r="C758" s="5" t="s">
        <v>2</v>
      </c>
      <c r="D758" s="5" t="s">
        <v>3</v>
      </c>
      <c r="E758" s="5" t="s">
        <v>4</v>
      </c>
      <c r="F758" s="6" t="s">
        <v>5</v>
      </c>
      <c r="G758" s="6" t="s">
        <v>6</v>
      </c>
      <c r="H758" s="6" t="s">
        <v>7</v>
      </c>
      <c r="I758" s="7" t="s">
        <v>8</v>
      </c>
      <c r="J758" s="5" t="s">
        <v>9</v>
      </c>
      <c r="K758" s="8" t="s">
        <v>10</v>
      </c>
    </row>
    <row r="759" spans="2:11" x14ac:dyDescent="0.45">
      <c r="B759" s="9">
        <v>1</v>
      </c>
      <c r="C759" s="10">
        <v>46259</v>
      </c>
      <c r="D759" s="11"/>
      <c r="E759" s="30"/>
      <c r="F759" s="31"/>
      <c r="G759" s="32">
        <v>2900</v>
      </c>
      <c r="H759" s="32">
        <v>200</v>
      </c>
      <c r="I759" s="68">
        <f>+G759-H759</f>
        <v>2700</v>
      </c>
      <c r="J759" s="17"/>
      <c r="K759" s="18">
        <v>29258</v>
      </c>
    </row>
    <row r="760" spans="2:11" x14ac:dyDescent="0.45">
      <c r="B760" s="19">
        <f>+B759+1</f>
        <v>2</v>
      </c>
      <c r="C760" s="10">
        <v>46259</v>
      </c>
      <c r="D760" s="78"/>
      <c r="E760" s="22"/>
      <c r="F760" s="23"/>
      <c r="G760" s="32">
        <v>2000</v>
      </c>
      <c r="H760" s="32">
        <v>200</v>
      </c>
      <c r="I760" s="52">
        <f t="shared" ref="I760:I778" si="59">+G760-H760</f>
        <v>1800</v>
      </c>
      <c r="J760" s="26"/>
      <c r="K760" s="18">
        <f>+K759+1</f>
        <v>29259</v>
      </c>
    </row>
    <row r="761" spans="2:11" x14ac:dyDescent="0.45">
      <c r="B761" s="19">
        <f t="shared" ref="B761:B778" si="60">+B760+1</f>
        <v>3</v>
      </c>
      <c r="C761" s="10">
        <v>46259</v>
      </c>
      <c r="D761" s="78"/>
      <c r="E761" s="22"/>
      <c r="F761" s="23"/>
      <c r="G761" s="32">
        <v>2000</v>
      </c>
      <c r="H761" s="32">
        <v>300</v>
      </c>
      <c r="I761" s="52">
        <f t="shared" si="59"/>
        <v>1700</v>
      </c>
      <c r="J761" s="26"/>
      <c r="K761" s="18">
        <f t="shared" ref="K761:K778" si="61">+K760+1</f>
        <v>29260</v>
      </c>
    </row>
    <row r="762" spans="2:11" x14ac:dyDescent="0.45">
      <c r="B762" s="19">
        <f t="shared" si="60"/>
        <v>4</v>
      </c>
      <c r="C762" s="10">
        <v>46259</v>
      </c>
      <c r="D762" s="78"/>
      <c r="E762" s="22"/>
      <c r="F762" s="23"/>
      <c r="G762" s="32">
        <v>100</v>
      </c>
      <c r="H762" s="32">
        <v>20</v>
      </c>
      <c r="I762" s="52">
        <f t="shared" si="59"/>
        <v>80</v>
      </c>
      <c r="J762" s="27"/>
      <c r="K762" s="18">
        <f t="shared" si="61"/>
        <v>29261</v>
      </c>
    </row>
    <row r="763" spans="2:11" x14ac:dyDescent="0.45">
      <c r="B763" s="19">
        <f t="shared" si="60"/>
        <v>5</v>
      </c>
      <c r="C763" s="10">
        <v>46259</v>
      </c>
      <c r="D763" s="78"/>
      <c r="E763" s="22"/>
      <c r="F763" s="23"/>
      <c r="G763" s="32">
        <v>1900</v>
      </c>
      <c r="H763" s="32">
        <v>0</v>
      </c>
      <c r="I763" s="52">
        <f t="shared" si="59"/>
        <v>1900</v>
      </c>
      <c r="J763" s="28"/>
      <c r="K763" s="18">
        <f t="shared" si="61"/>
        <v>29262</v>
      </c>
    </row>
    <row r="764" spans="2:11" x14ac:dyDescent="0.45">
      <c r="B764" s="19">
        <f t="shared" si="60"/>
        <v>6</v>
      </c>
      <c r="C764" s="10">
        <v>46259</v>
      </c>
      <c r="D764" s="78"/>
      <c r="E764" s="22"/>
      <c r="F764" s="23"/>
      <c r="G764" s="32">
        <v>1900</v>
      </c>
      <c r="H764" s="32">
        <v>0</v>
      </c>
      <c r="I764" s="52">
        <f t="shared" si="59"/>
        <v>1900</v>
      </c>
      <c r="J764" s="27"/>
      <c r="K764" s="18">
        <f t="shared" si="61"/>
        <v>29263</v>
      </c>
    </row>
    <row r="765" spans="2:11" x14ac:dyDescent="0.45">
      <c r="B765" s="19">
        <f t="shared" si="60"/>
        <v>7</v>
      </c>
      <c r="C765" s="10">
        <v>46259</v>
      </c>
      <c r="D765" s="78"/>
      <c r="E765" s="22"/>
      <c r="F765" s="23"/>
      <c r="G765" s="32">
        <v>1700</v>
      </c>
      <c r="H765" s="32">
        <v>200</v>
      </c>
      <c r="I765" s="52">
        <f t="shared" si="59"/>
        <v>1500</v>
      </c>
      <c r="J765" s="27"/>
      <c r="K765" s="18">
        <f t="shared" si="61"/>
        <v>29264</v>
      </c>
    </row>
    <row r="766" spans="2:11" x14ac:dyDescent="0.45">
      <c r="B766" s="19">
        <f t="shared" si="60"/>
        <v>8</v>
      </c>
      <c r="C766" s="10">
        <v>46259</v>
      </c>
      <c r="D766" s="78"/>
      <c r="E766" s="22"/>
      <c r="F766" s="23"/>
      <c r="G766" s="32">
        <v>7600</v>
      </c>
      <c r="H766" s="32">
        <v>4800</v>
      </c>
      <c r="I766" s="52">
        <f t="shared" si="59"/>
        <v>2800</v>
      </c>
      <c r="J766" s="27"/>
      <c r="K766" s="18">
        <f t="shared" si="61"/>
        <v>29265</v>
      </c>
    </row>
    <row r="767" spans="2:11" x14ac:dyDescent="0.45">
      <c r="B767" s="19">
        <f t="shared" si="60"/>
        <v>9</v>
      </c>
      <c r="C767" s="10">
        <v>46259</v>
      </c>
      <c r="D767" s="78"/>
      <c r="E767" s="22"/>
      <c r="F767" s="23"/>
      <c r="G767" s="32">
        <v>5500</v>
      </c>
      <c r="H767" s="32">
        <v>600</v>
      </c>
      <c r="I767" s="52">
        <f t="shared" si="59"/>
        <v>4900</v>
      </c>
      <c r="J767" s="27"/>
      <c r="K767" s="18">
        <f t="shared" si="61"/>
        <v>29266</v>
      </c>
    </row>
    <row r="768" spans="2:11" x14ac:dyDescent="0.45">
      <c r="B768" s="19">
        <f t="shared" si="60"/>
        <v>10</v>
      </c>
      <c r="C768" s="10">
        <v>46259</v>
      </c>
      <c r="D768" s="11"/>
      <c r="E768" s="22"/>
      <c r="F768" s="23"/>
      <c r="G768" s="32">
        <v>1900</v>
      </c>
      <c r="H768" s="32">
        <v>570</v>
      </c>
      <c r="I768" s="52">
        <f t="shared" si="59"/>
        <v>1330</v>
      </c>
      <c r="J768" s="27"/>
      <c r="K768" s="18">
        <f t="shared" si="61"/>
        <v>29267</v>
      </c>
    </row>
    <row r="769" spans="2:11" x14ac:dyDescent="0.45">
      <c r="B769" s="19">
        <f t="shared" si="60"/>
        <v>11</v>
      </c>
      <c r="C769" s="10">
        <v>46259</v>
      </c>
      <c r="D769" s="78"/>
      <c r="E769" s="22"/>
      <c r="F769" s="33"/>
      <c r="G769" s="32">
        <v>14000</v>
      </c>
      <c r="H769" s="32">
        <v>4200</v>
      </c>
      <c r="I769" s="52">
        <f t="shared" si="59"/>
        <v>9800</v>
      </c>
      <c r="J769" s="28"/>
      <c r="K769" s="18">
        <f t="shared" si="61"/>
        <v>29268</v>
      </c>
    </row>
    <row r="770" spans="2:11" x14ac:dyDescent="0.45">
      <c r="B770" s="19">
        <f t="shared" si="60"/>
        <v>12</v>
      </c>
      <c r="C770" s="10">
        <v>46259</v>
      </c>
      <c r="D770" s="78"/>
      <c r="E770" s="22"/>
      <c r="F770" s="22"/>
      <c r="G770" s="32">
        <v>2020</v>
      </c>
      <c r="H770" s="32">
        <v>300</v>
      </c>
      <c r="I770" s="52">
        <f t="shared" si="59"/>
        <v>1720</v>
      </c>
      <c r="J770" s="27"/>
      <c r="K770" s="18">
        <f t="shared" si="61"/>
        <v>29269</v>
      </c>
    </row>
    <row r="771" spans="2:11" x14ac:dyDescent="0.45">
      <c r="B771" s="19">
        <f t="shared" si="60"/>
        <v>13</v>
      </c>
      <c r="C771" s="10">
        <v>46259</v>
      </c>
      <c r="D771" s="78"/>
      <c r="E771" s="22"/>
      <c r="F771" s="22"/>
      <c r="G771" s="32">
        <v>1700</v>
      </c>
      <c r="H771" s="32">
        <v>0</v>
      </c>
      <c r="I771" s="52">
        <f t="shared" si="59"/>
        <v>1700</v>
      </c>
      <c r="J771" s="27"/>
      <c r="K771" s="18">
        <f t="shared" si="61"/>
        <v>29270</v>
      </c>
    </row>
    <row r="772" spans="2:11" x14ac:dyDescent="0.45">
      <c r="B772" s="19">
        <f t="shared" si="60"/>
        <v>14</v>
      </c>
      <c r="C772" s="10">
        <v>46259</v>
      </c>
      <c r="D772" s="78"/>
      <c r="E772" s="22"/>
      <c r="F772" s="22"/>
      <c r="G772" s="32">
        <v>1700</v>
      </c>
      <c r="H772" s="32">
        <v>680</v>
      </c>
      <c r="I772" s="52">
        <f t="shared" si="59"/>
        <v>1020</v>
      </c>
      <c r="J772" s="27"/>
      <c r="K772" s="18">
        <f t="shared" si="61"/>
        <v>29271</v>
      </c>
    </row>
    <row r="773" spans="2:11" x14ac:dyDescent="0.45">
      <c r="B773" s="19">
        <f t="shared" si="60"/>
        <v>15</v>
      </c>
      <c r="C773" s="10">
        <v>46259</v>
      </c>
      <c r="D773" s="78"/>
      <c r="E773" s="22"/>
      <c r="F773" s="22"/>
      <c r="G773" s="32">
        <v>3600</v>
      </c>
      <c r="H773" s="32">
        <v>1080</v>
      </c>
      <c r="I773" s="52">
        <f t="shared" si="59"/>
        <v>2520</v>
      </c>
      <c r="J773" s="27"/>
      <c r="K773" s="18">
        <f t="shared" si="61"/>
        <v>29272</v>
      </c>
    </row>
    <row r="774" spans="2:11" x14ac:dyDescent="0.45">
      <c r="B774" s="19">
        <f t="shared" si="60"/>
        <v>16</v>
      </c>
      <c r="C774" s="10">
        <v>46259</v>
      </c>
      <c r="D774" s="78"/>
      <c r="E774" s="22"/>
      <c r="F774" s="22"/>
      <c r="G774" s="32">
        <v>2500</v>
      </c>
      <c r="H774" s="32">
        <v>1000</v>
      </c>
      <c r="I774" s="52">
        <f t="shared" si="59"/>
        <v>1500</v>
      </c>
      <c r="J774" s="27"/>
      <c r="K774" s="18">
        <f t="shared" si="61"/>
        <v>29273</v>
      </c>
    </row>
    <row r="775" spans="2:11" x14ac:dyDescent="0.45">
      <c r="B775" s="19">
        <f t="shared" si="60"/>
        <v>17</v>
      </c>
      <c r="C775" s="10">
        <v>46259</v>
      </c>
      <c r="D775" s="78"/>
      <c r="E775" s="22"/>
      <c r="F775" s="22"/>
      <c r="G775" s="32">
        <v>1900</v>
      </c>
      <c r="H775" s="32">
        <v>570</v>
      </c>
      <c r="I775" s="52">
        <f t="shared" si="59"/>
        <v>1330</v>
      </c>
      <c r="J775" s="27"/>
      <c r="K775" s="18">
        <f t="shared" si="61"/>
        <v>29274</v>
      </c>
    </row>
    <row r="776" spans="2:11" x14ac:dyDescent="0.45">
      <c r="B776" s="19">
        <f t="shared" si="60"/>
        <v>18</v>
      </c>
      <c r="C776" s="10">
        <v>46259</v>
      </c>
      <c r="D776" s="78"/>
      <c r="E776" s="22"/>
      <c r="F776" s="22"/>
      <c r="G776" s="32">
        <v>14040</v>
      </c>
      <c r="H776" s="32">
        <v>1300</v>
      </c>
      <c r="I776" s="52">
        <f t="shared" si="59"/>
        <v>12740</v>
      </c>
      <c r="J776" s="27"/>
      <c r="K776" s="18">
        <f t="shared" si="61"/>
        <v>29275</v>
      </c>
    </row>
    <row r="777" spans="2:11" x14ac:dyDescent="0.45">
      <c r="B777" s="19">
        <f t="shared" si="60"/>
        <v>19</v>
      </c>
      <c r="C777" s="10">
        <v>46259</v>
      </c>
      <c r="D777" s="78"/>
      <c r="E777" s="22"/>
      <c r="F777" s="22"/>
      <c r="G777" s="32">
        <v>1700</v>
      </c>
      <c r="H777" s="32">
        <v>0</v>
      </c>
      <c r="I777" s="52">
        <f t="shared" si="59"/>
        <v>1700</v>
      </c>
      <c r="J777" s="27"/>
      <c r="K777" s="18">
        <f t="shared" si="61"/>
        <v>29276</v>
      </c>
    </row>
    <row r="778" spans="2:11" x14ac:dyDescent="0.45">
      <c r="B778" s="19">
        <f t="shared" si="60"/>
        <v>20</v>
      </c>
      <c r="C778" s="10">
        <v>46259</v>
      </c>
      <c r="D778" s="78"/>
      <c r="E778" s="22"/>
      <c r="F778" s="22"/>
      <c r="G778" s="32">
        <v>220</v>
      </c>
      <c r="H778" s="32">
        <v>0</v>
      </c>
      <c r="I778" s="52">
        <f t="shared" si="59"/>
        <v>220</v>
      </c>
      <c r="J778" s="27"/>
      <c r="K778" s="18">
        <f t="shared" si="61"/>
        <v>29277</v>
      </c>
    </row>
    <row r="779" spans="2:11" ht="14.65" thickBot="1" x14ac:dyDescent="0.5">
      <c r="F779" s="38" t="s">
        <v>26</v>
      </c>
      <c r="G779" s="39">
        <f>SUM(G759:G778)</f>
        <v>70880</v>
      </c>
      <c r="H779" s="39">
        <f>SUM(H759:H778)</f>
        <v>16020</v>
      </c>
      <c r="I779" s="39">
        <f>SUM(I759:I778)</f>
        <v>54860</v>
      </c>
      <c r="K779" s="41"/>
    </row>
    <row r="781" spans="2:11" ht="15.75" x14ac:dyDescent="0.5">
      <c r="D781" s="42" t="s">
        <v>28</v>
      </c>
      <c r="E781" s="42"/>
      <c r="F781" s="43" t="s">
        <v>29</v>
      </c>
      <c r="G781" s="44"/>
      <c r="H781" s="44"/>
      <c r="I781" s="45"/>
      <c r="J781" s="46"/>
    </row>
    <row r="782" spans="2:11" x14ac:dyDescent="0.45">
      <c r="D782" s="47" t="s">
        <v>30</v>
      </c>
      <c r="E782" s="47"/>
      <c r="F782" s="48">
        <v>10840</v>
      </c>
      <c r="G782" s="49"/>
      <c r="H782" s="49"/>
      <c r="I782" s="50"/>
      <c r="K782" s="51"/>
    </row>
    <row r="783" spans="2:11" x14ac:dyDescent="0.45">
      <c r="D783" s="47" t="s">
        <v>31</v>
      </c>
      <c r="E783" s="47"/>
      <c r="F783" s="52">
        <v>0</v>
      </c>
      <c r="G783" s="53"/>
      <c r="H783" s="53"/>
      <c r="I783" s="50"/>
    </row>
    <row r="784" spans="2:11" x14ac:dyDescent="0.45">
      <c r="D784" s="47" t="s">
        <v>32</v>
      </c>
      <c r="E784" s="47"/>
      <c r="F784" s="54">
        <v>36100</v>
      </c>
      <c r="G784" s="55"/>
      <c r="H784" s="55"/>
      <c r="J784" s="46"/>
    </row>
    <row r="785" spans="2:11" x14ac:dyDescent="0.45">
      <c r="D785" s="47" t="s">
        <v>33</v>
      </c>
      <c r="E785" s="47"/>
      <c r="F785" s="54">
        <v>1720</v>
      </c>
      <c r="G785" s="55"/>
      <c r="H785" s="55"/>
      <c r="I785" s="50"/>
    </row>
    <row r="786" spans="2:11" x14ac:dyDescent="0.45">
      <c r="D786" s="47" t="s">
        <v>34</v>
      </c>
      <c r="E786" s="47"/>
      <c r="F786" s="52">
        <v>6200</v>
      </c>
      <c r="G786" s="53"/>
      <c r="H786" s="53"/>
      <c r="I786" s="50"/>
    </row>
    <row r="787" spans="2:11" ht="15.75" thickBot="1" x14ac:dyDescent="0.65">
      <c r="D787" s="56" t="s">
        <v>35</v>
      </c>
      <c r="E787" s="56"/>
      <c r="F787" s="57">
        <f>SUM(F782:F786)</f>
        <v>54860</v>
      </c>
      <c r="G787" s="58">
        <f>+I779-F787</f>
        <v>0</v>
      </c>
      <c r="H787" s="58"/>
      <c r="I787" s="50"/>
    </row>
    <row r="788" spans="2:11" ht="16.149999999999999" thickTop="1" thickBot="1" x14ac:dyDescent="0.65">
      <c r="D788" s="64"/>
      <c r="E788" s="64"/>
      <c r="F788" s="65"/>
      <c r="G788" s="58"/>
      <c r="H788" s="58"/>
      <c r="I788" s="50"/>
    </row>
    <row r="789" spans="2:11" ht="21.4" thickBot="1" x14ac:dyDescent="0.7">
      <c r="B789" s="1" t="s">
        <v>394</v>
      </c>
      <c r="C789" s="1"/>
      <c r="D789" s="2"/>
      <c r="E789" s="1"/>
      <c r="F789" s="1"/>
      <c r="G789" s="1"/>
      <c r="H789" s="1"/>
      <c r="I789" s="1"/>
      <c r="J789" s="1"/>
      <c r="K789" s="3"/>
    </row>
    <row r="790" spans="2:11" ht="24.4" thickBot="1" x14ac:dyDescent="0.55000000000000004">
      <c r="B790" s="4" t="s">
        <v>1</v>
      </c>
      <c r="C790" s="5" t="s">
        <v>2</v>
      </c>
      <c r="D790" s="5" t="s">
        <v>3</v>
      </c>
      <c r="E790" s="5" t="s">
        <v>4</v>
      </c>
      <c r="F790" s="6" t="s">
        <v>5</v>
      </c>
      <c r="G790" s="6" t="s">
        <v>6</v>
      </c>
      <c r="H790" s="6" t="s">
        <v>7</v>
      </c>
      <c r="I790" s="7" t="s">
        <v>8</v>
      </c>
      <c r="J790" s="5" t="s">
        <v>9</v>
      </c>
      <c r="K790" s="8" t="s">
        <v>10</v>
      </c>
    </row>
    <row r="791" spans="2:11" x14ac:dyDescent="0.45">
      <c r="B791" s="9">
        <v>1</v>
      </c>
      <c r="C791" s="10">
        <v>46260</v>
      </c>
      <c r="D791" s="11"/>
      <c r="E791" s="30"/>
      <c r="F791" s="31"/>
      <c r="G791" s="32">
        <v>1700</v>
      </c>
      <c r="H791" s="32">
        <v>510</v>
      </c>
      <c r="I791" s="68">
        <f>+G791-H791</f>
        <v>1190</v>
      </c>
      <c r="J791" s="17"/>
      <c r="K791" s="18">
        <v>29278</v>
      </c>
    </row>
    <row r="792" spans="2:11" x14ac:dyDescent="0.45">
      <c r="B792" s="19">
        <f>+B791+1</f>
        <v>2</v>
      </c>
      <c r="C792" s="10">
        <v>46260</v>
      </c>
      <c r="D792" s="78"/>
      <c r="E792" s="22"/>
      <c r="F792" s="23"/>
      <c r="G792" s="32">
        <f>3500*5</f>
        <v>17500</v>
      </c>
      <c r="H792" s="32">
        <v>7000</v>
      </c>
      <c r="I792" s="52">
        <f t="shared" ref="I792:I809" si="62">+G792-H792</f>
        <v>10500</v>
      </c>
      <c r="J792" s="26"/>
      <c r="K792" s="18">
        <f>+K791+1</f>
        <v>29279</v>
      </c>
    </row>
    <row r="793" spans="2:11" x14ac:dyDescent="0.45">
      <c r="B793" s="19">
        <f t="shared" ref="B793:B809" si="63">+B792+1</f>
        <v>3</v>
      </c>
      <c r="C793" s="10">
        <v>46260</v>
      </c>
      <c r="D793" s="78"/>
      <c r="E793" s="22"/>
      <c r="F793" s="23"/>
      <c r="G793" s="32">
        <v>7270</v>
      </c>
      <c r="H793" s="32">
        <v>2160</v>
      </c>
      <c r="I793" s="52">
        <f t="shared" si="62"/>
        <v>5110</v>
      </c>
      <c r="J793" s="26"/>
      <c r="K793" s="18">
        <f t="shared" ref="K793:K809" si="64">+K792+1</f>
        <v>29280</v>
      </c>
    </row>
    <row r="794" spans="2:11" x14ac:dyDescent="0.45">
      <c r="B794" s="19">
        <f t="shared" si="63"/>
        <v>4</v>
      </c>
      <c r="C794" s="10">
        <v>46260</v>
      </c>
      <c r="D794" s="78"/>
      <c r="E794" s="22"/>
      <c r="F794" s="23"/>
      <c r="G794" s="32">
        <v>13180</v>
      </c>
      <c r="H794" s="32">
        <v>1900</v>
      </c>
      <c r="I794" s="52">
        <f t="shared" si="62"/>
        <v>11280</v>
      </c>
      <c r="J794" s="27"/>
      <c r="K794" s="18">
        <f t="shared" si="64"/>
        <v>29281</v>
      </c>
    </row>
    <row r="795" spans="2:11" x14ac:dyDescent="0.45">
      <c r="B795" s="19">
        <f t="shared" si="63"/>
        <v>5</v>
      </c>
      <c r="C795" s="10">
        <v>46260</v>
      </c>
      <c r="D795" s="78"/>
      <c r="E795" s="22"/>
      <c r="F795" s="23"/>
      <c r="G795" s="32">
        <v>2000</v>
      </c>
      <c r="H795" s="32">
        <v>300</v>
      </c>
      <c r="I795" s="52">
        <f t="shared" si="62"/>
        <v>1700</v>
      </c>
      <c r="J795" s="28"/>
      <c r="K795" s="18">
        <f t="shared" si="64"/>
        <v>29282</v>
      </c>
    </row>
    <row r="796" spans="2:11" x14ac:dyDescent="0.45">
      <c r="B796" s="19">
        <f t="shared" si="63"/>
        <v>6</v>
      </c>
      <c r="C796" s="10">
        <v>46260</v>
      </c>
      <c r="D796" s="78"/>
      <c r="E796" s="22"/>
      <c r="F796" s="23"/>
      <c r="G796" s="32">
        <v>3200</v>
      </c>
      <c r="H796" s="32">
        <v>0</v>
      </c>
      <c r="I796" s="52">
        <f t="shared" si="62"/>
        <v>3200</v>
      </c>
      <c r="J796" s="27"/>
      <c r="K796" s="18">
        <f t="shared" si="64"/>
        <v>29283</v>
      </c>
    </row>
    <row r="797" spans="2:11" x14ac:dyDescent="0.45">
      <c r="B797" s="19">
        <f t="shared" si="63"/>
        <v>7</v>
      </c>
      <c r="C797" s="10">
        <v>46260</v>
      </c>
      <c r="D797" s="78"/>
      <c r="E797" s="22"/>
      <c r="F797" s="23"/>
      <c r="G797" s="32">
        <v>1700</v>
      </c>
      <c r="H797" s="32">
        <v>200</v>
      </c>
      <c r="I797" s="52">
        <f t="shared" si="62"/>
        <v>1500</v>
      </c>
      <c r="J797" s="27"/>
      <c r="K797" s="18">
        <f t="shared" si="64"/>
        <v>29284</v>
      </c>
    </row>
    <row r="798" spans="2:11" x14ac:dyDescent="0.45">
      <c r="B798" s="19">
        <f t="shared" si="63"/>
        <v>8</v>
      </c>
      <c r="C798" s="10">
        <v>46260</v>
      </c>
      <c r="D798" s="78"/>
      <c r="E798" s="22"/>
      <c r="F798" s="23"/>
      <c r="G798" s="32">
        <v>1700</v>
      </c>
      <c r="H798" s="32">
        <v>200</v>
      </c>
      <c r="I798" s="52">
        <f t="shared" si="62"/>
        <v>1500</v>
      </c>
      <c r="J798" s="27"/>
      <c r="K798" s="18">
        <f t="shared" si="64"/>
        <v>29285</v>
      </c>
    </row>
    <row r="799" spans="2:11" x14ac:dyDescent="0.45">
      <c r="B799" s="19">
        <f t="shared" si="63"/>
        <v>9</v>
      </c>
      <c r="C799" s="10">
        <v>46260</v>
      </c>
      <c r="D799" s="78"/>
      <c r="E799" s="22"/>
      <c r="F799" s="23"/>
      <c r="G799" s="32">
        <v>1980</v>
      </c>
      <c r="H799" s="32">
        <v>0</v>
      </c>
      <c r="I799" s="52">
        <f t="shared" si="62"/>
        <v>1980</v>
      </c>
      <c r="J799" s="27"/>
      <c r="K799" s="18">
        <f t="shared" si="64"/>
        <v>29286</v>
      </c>
    </row>
    <row r="800" spans="2:11" x14ac:dyDescent="0.45">
      <c r="B800" s="19">
        <f t="shared" si="63"/>
        <v>10</v>
      </c>
      <c r="C800" s="10">
        <v>46260</v>
      </c>
      <c r="D800" s="11"/>
      <c r="E800" s="22"/>
      <c r="F800" s="23"/>
      <c r="G800" s="32">
        <v>1320</v>
      </c>
      <c r="H800" s="32">
        <v>0</v>
      </c>
      <c r="I800" s="52">
        <f t="shared" si="62"/>
        <v>1320</v>
      </c>
      <c r="J800" s="27"/>
      <c r="K800" s="18">
        <f t="shared" si="64"/>
        <v>29287</v>
      </c>
    </row>
    <row r="801" spans="2:11" x14ac:dyDescent="0.45">
      <c r="B801" s="19">
        <f t="shared" si="63"/>
        <v>11</v>
      </c>
      <c r="C801" s="10">
        <v>46260</v>
      </c>
      <c r="D801" s="78"/>
      <c r="E801" s="22"/>
      <c r="F801" s="33"/>
      <c r="G801" s="32">
        <v>1900</v>
      </c>
      <c r="H801" s="32">
        <v>0</v>
      </c>
      <c r="I801" s="52">
        <f t="shared" si="62"/>
        <v>1900</v>
      </c>
      <c r="J801" s="28"/>
      <c r="K801" s="18">
        <f t="shared" si="64"/>
        <v>29288</v>
      </c>
    </row>
    <row r="802" spans="2:11" x14ac:dyDescent="0.45">
      <c r="B802" s="19">
        <f t="shared" si="63"/>
        <v>12</v>
      </c>
      <c r="C802" s="10">
        <v>46260</v>
      </c>
      <c r="D802" s="78"/>
      <c r="E802" s="22"/>
      <c r="F802" s="22"/>
      <c r="G802" s="32">
        <v>6500</v>
      </c>
      <c r="H802" s="32">
        <v>1950</v>
      </c>
      <c r="I802" s="52">
        <f t="shared" si="62"/>
        <v>4550</v>
      </c>
      <c r="J802" s="27"/>
      <c r="K802" s="18">
        <f t="shared" si="64"/>
        <v>29289</v>
      </c>
    </row>
    <row r="803" spans="2:11" x14ac:dyDescent="0.45">
      <c r="B803" s="19">
        <f t="shared" si="63"/>
        <v>13</v>
      </c>
      <c r="C803" s="10">
        <v>46260</v>
      </c>
      <c r="D803" s="78"/>
      <c r="E803" s="22"/>
      <c r="F803" s="22"/>
      <c r="G803" s="32">
        <v>1800</v>
      </c>
      <c r="H803" s="32">
        <v>300</v>
      </c>
      <c r="I803" s="52">
        <f t="shared" si="62"/>
        <v>1500</v>
      </c>
      <c r="J803" s="27"/>
      <c r="K803" s="18">
        <f t="shared" si="64"/>
        <v>29290</v>
      </c>
    </row>
    <row r="804" spans="2:11" x14ac:dyDescent="0.45">
      <c r="B804" s="19">
        <f t="shared" si="63"/>
        <v>14</v>
      </c>
      <c r="C804" s="10">
        <v>46260</v>
      </c>
      <c r="D804" s="78"/>
      <c r="E804" s="22"/>
      <c r="F804" s="22"/>
      <c r="G804" s="32">
        <v>3820</v>
      </c>
      <c r="H804" s="32">
        <v>600</v>
      </c>
      <c r="I804" s="52">
        <f t="shared" si="62"/>
        <v>3220</v>
      </c>
      <c r="J804" s="27"/>
      <c r="K804" s="18">
        <f t="shared" si="64"/>
        <v>29291</v>
      </c>
    </row>
    <row r="805" spans="2:11" x14ac:dyDescent="0.45">
      <c r="B805" s="19">
        <f t="shared" si="63"/>
        <v>15</v>
      </c>
      <c r="C805" s="10">
        <v>46260</v>
      </c>
      <c r="D805" s="78"/>
      <c r="E805" s="22"/>
      <c r="F805" s="22"/>
      <c r="G805" s="32">
        <v>1900</v>
      </c>
      <c r="H805" s="32">
        <v>570</v>
      </c>
      <c r="I805" s="52">
        <f t="shared" si="62"/>
        <v>1330</v>
      </c>
      <c r="J805" s="27"/>
      <c r="K805" s="18">
        <f t="shared" si="64"/>
        <v>29292</v>
      </c>
    </row>
    <row r="806" spans="2:11" x14ac:dyDescent="0.45">
      <c r="B806" s="19">
        <f t="shared" si="63"/>
        <v>16</v>
      </c>
      <c r="C806" s="10">
        <v>46260</v>
      </c>
      <c r="D806" s="78"/>
      <c r="E806" s="22"/>
      <c r="F806" s="22"/>
      <c r="G806" s="32">
        <v>2200</v>
      </c>
      <c r="H806" s="32">
        <v>500</v>
      </c>
      <c r="I806" s="52">
        <f t="shared" si="62"/>
        <v>1700</v>
      </c>
      <c r="J806" s="27"/>
      <c r="K806" s="18">
        <f t="shared" si="64"/>
        <v>29293</v>
      </c>
    </row>
    <row r="807" spans="2:11" x14ac:dyDescent="0.45">
      <c r="B807" s="19">
        <f t="shared" si="63"/>
        <v>17</v>
      </c>
      <c r="C807" s="10">
        <v>46260</v>
      </c>
      <c r="D807" s="78"/>
      <c r="E807" s="22"/>
      <c r="F807" s="22"/>
      <c r="G807" s="32">
        <v>440</v>
      </c>
      <c r="H807" s="32">
        <v>0</v>
      </c>
      <c r="I807" s="52">
        <f t="shared" si="62"/>
        <v>440</v>
      </c>
      <c r="J807" s="27"/>
      <c r="K807" s="18">
        <f t="shared" si="64"/>
        <v>29294</v>
      </c>
    </row>
    <row r="808" spans="2:11" x14ac:dyDescent="0.45">
      <c r="B808" s="19">
        <f t="shared" si="63"/>
        <v>18</v>
      </c>
      <c r="C808" s="10">
        <v>46260</v>
      </c>
      <c r="D808" s="78"/>
      <c r="E808" s="22"/>
      <c r="F808" s="22"/>
      <c r="G808" s="32">
        <v>5500</v>
      </c>
      <c r="H808" s="32">
        <v>2070</v>
      </c>
      <c r="I808" s="52">
        <f t="shared" si="62"/>
        <v>3430</v>
      </c>
      <c r="J808" s="27"/>
      <c r="K808" s="18">
        <f t="shared" si="64"/>
        <v>29295</v>
      </c>
    </row>
    <row r="809" spans="2:11" x14ac:dyDescent="0.45">
      <c r="B809" s="19">
        <f t="shared" si="63"/>
        <v>19</v>
      </c>
      <c r="C809" s="10">
        <v>46260</v>
      </c>
      <c r="D809" s="78"/>
      <c r="E809" s="22"/>
      <c r="F809" s="22"/>
      <c r="G809" s="32">
        <v>1580</v>
      </c>
      <c r="H809" s="32">
        <v>0</v>
      </c>
      <c r="I809" s="52">
        <f t="shared" si="62"/>
        <v>1580</v>
      </c>
      <c r="J809" s="27"/>
      <c r="K809" s="18">
        <f t="shared" si="64"/>
        <v>29296</v>
      </c>
    </row>
    <row r="810" spans="2:11" ht="14.65" thickBot="1" x14ac:dyDescent="0.5">
      <c r="F810" s="38" t="s">
        <v>26</v>
      </c>
      <c r="G810" s="39">
        <f>SUM(G791:G809)</f>
        <v>77190</v>
      </c>
      <c r="H810" s="39">
        <f>SUM(H791:H809)</f>
        <v>18260</v>
      </c>
      <c r="I810" s="39">
        <f>SUM(I791:I809)</f>
        <v>58930</v>
      </c>
      <c r="K810" s="41"/>
    </row>
    <row r="812" spans="2:11" ht="15.75" x14ac:dyDescent="0.5">
      <c r="D812" s="42" t="s">
        <v>28</v>
      </c>
      <c r="E812" s="42"/>
      <c r="F812" s="43" t="s">
        <v>29</v>
      </c>
      <c r="G812" s="44"/>
      <c r="H812" s="44"/>
      <c r="I812" s="45"/>
      <c r="J812" s="46"/>
    </row>
    <row r="813" spans="2:11" x14ac:dyDescent="0.45">
      <c r="D813" s="47" t="s">
        <v>30</v>
      </c>
      <c r="E813" s="47"/>
      <c r="F813" s="48">
        <v>18900</v>
      </c>
      <c r="G813" s="49"/>
      <c r="H813" s="49"/>
      <c r="I813" s="50"/>
      <c r="K813" s="51"/>
    </row>
    <row r="814" spans="2:11" x14ac:dyDescent="0.45">
      <c r="D814" s="47" t="s">
        <v>31</v>
      </c>
      <c r="E814" s="47"/>
      <c r="F814" s="52">
        <v>0</v>
      </c>
      <c r="G814" s="53"/>
      <c r="H814" s="53"/>
      <c r="I814" s="50"/>
    </row>
    <row r="815" spans="2:11" x14ac:dyDescent="0.45">
      <c r="D815" s="47" t="s">
        <v>32</v>
      </c>
      <c r="E815" s="47"/>
      <c r="F815" s="54">
        <v>19980</v>
      </c>
      <c r="G815" s="55"/>
      <c r="H815" s="55"/>
      <c r="J815" s="46"/>
    </row>
    <row r="816" spans="2:11" x14ac:dyDescent="0.45">
      <c r="D816" s="47" t="s">
        <v>33</v>
      </c>
      <c r="E816" s="47"/>
      <c r="F816" s="54">
        <v>14940</v>
      </c>
      <c r="G816" s="55"/>
      <c r="H816" s="55"/>
      <c r="I816" s="50"/>
    </row>
    <row r="817" spans="2:11" x14ac:dyDescent="0.45">
      <c r="D817" s="47" t="s">
        <v>34</v>
      </c>
      <c r="E817" s="47"/>
      <c r="F817" s="52">
        <v>5110</v>
      </c>
      <c r="G817" s="53"/>
      <c r="H817" s="53"/>
      <c r="I817" s="50"/>
    </row>
    <row r="818" spans="2:11" ht="15.75" thickBot="1" x14ac:dyDescent="0.65">
      <c r="D818" s="56" t="s">
        <v>35</v>
      </c>
      <c r="E818" s="56"/>
      <c r="F818" s="57">
        <f>SUM(F813:F817)</f>
        <v>58930</v>
      </c>
      <c r="G818" s="58">
        <f>+I810-F818</f>
        <v>0</v>
      </c>
      <c r="H818" s="58"/>
      <c r="I818" s="50"/>
    </row>
    <row r="819" spans="2:11" ht="16.149999999999999" thickTop="1" thickBot="1" x14ac:dyDescent="0.65">
      <c r="D819" s="64"/>
      <c r="E819" s="64"/>
      <c r="F819" s="65"/>
      <c r="G819" s="58"/>
      <c r="H819" s="58"/>
      <c r="I819" s="50"/>
    </row>
    <row r="820" spans="2:11" ht="21.4" thickBot="1" x14ac:dyDescent="0.7">
      <c r="B820" s="1" t="s">
        <v>395</v>
      </c>
      <c r="C820" s="1"/>
      <c r="D820" s="2"/>
      <c r="E820" s="1"/>
      <c r="F820" s="1"/>
      <c r="G820" s="1"/>
      <c r="H820" s="1"/>
      <c r="I820" s="1"/>
      <c r="J820" s="1"/>
      <c r="K820" s="3"/>
    </row>
    <row r="821" spans="2:11" ht="24.4" thickBot="1" x14ac:dyDescent="0.55000000000000004">
      <c r="B821" s="4" t="s">
        <v>1</v>
      </c>
      <c r="C821" s="5" t="s">
        <v>2</v>
      </c>
      <c r="D821" s="5" t="s">
        <v>3</v>
      </c>
      <c r="E821" s="5" t="s">
        <v>4</v>
      </c>
      <c r="F821" s="6" t="s">
        <v>5</v>
      </c>
      <c r="G821" s="6" t="s">
        <v>6</v>
      </c>
      <c r="H821" s="6" t="s">
        <v>7</v>
      </c>
      <c r="I821" s="7" t="s">
        <v>8</v>
      </c>
      <c r="J821" s="5" t="s">
        <v>9</v>
      </c>
      <c r="K821" s="8" t="s">
        <v>10</v>
      </c>
    </row>
    <row r="822" spans="2:11" x14ac:dyDescent="0.45">
      <c r="B822" s="9">
        <v>1</v>
      </c>
      <c r="C822" s="10">
        <v>46261</v>
      </c>
      <c r="D822" s="11"/>
      <c r="E822" s="30"/>
      <c r="F822" s="31"/>
      <c r="G822" s="32">
        <v>840</v>
      </c>
      <c r="H822" s="32">
        <v>0</v>
      </c>
      <c r="I822" s="68">
        <f>+G822-H822</f>
        <v>840</v>
      </c>
      <c r="J822" s="17"/>
      <c r="K822" s="18">
        <v>29297</v>
      </c>
    </row>
    <row r="823" spans="2:11" x14ac:dyDescent="0.45">
      <c r="B823" s="19">
        <f>+B822+1</f>
        <v>2</v>
      </c>
      <c r="C823" s="10">
        <v>46261</v>
      </c>
      <c r="D823" s="78"/>
      <c r="E823" s="22"/>
      <c r="F823" s="23"/>
      <c r="G823" s="32">
        <v>440</v>
      </c>
      <c r="H823" s="32">
        <v>0</v>
      </c>
      <c r="I823" s="52">
        <f t="shared" ref="I823:I849" si="65">+G823-H823</f>
        <v>440</v>
      </c>
      <c r="J823" s="26"/>
      <c r="K823" s="18">
        <f>+K822+1</f>
        <v>29298</v>
      </c>
    </row>
    <row r="824" spans="2:11" x14ac:dyDescent="0.45">
      <c r="B824" s="19">
        <f t="shared" ref="B824:B849" si="66">+B823+1</f>
        <v>3</v>
      </c>
      <c r="C824" s="10">
        <v>46261</v>
      </c>
      <c r="D824" s="78"/>
      <c r="E824" s="22"/>
      <c r="F824" s="23"/>
      <c r="G824" s="32">
        <v>1900</v>
      </c>
      <c r="H824" s="32">
        <v>0</v>
      </c>
      <c r="I824" s="52">
        <f t="shared" si="65"/>
        <v>1900</v>
      </c>
      <c r="J824" s="26"/>
      <c r="K824" s="18">
        <f t="shared" ref="K824:K849" si="67">+K823+1</f>
        <v>29299</v>
      </c>
    </row>
    <row r="825" spans="2:11" x14ac:dyDescent="0.45">
      <c r="B825" s="19">
        <f t="shared" si="66"/>
        <v>4</v>
      </c>
      <c r="C825" s="10">
        <v>46261</v>
      </c>
      <c r="D825" s="78"/>
      <c r="E825" s="22"/>
      <c r="F825" s="23"/>
      <c r="G825" s="32">
        <v>4900</v>
      </c>
      <c r="H825" s="32">
        <v>0</v>
      </c>
      <c r="I825" s="52">
        <f t="shared" si="65"/>
        <v>4900</v>
      </c>
      <c r="J825" s="27"/>
      <c r="K825" s="18">
        <f t="shared" si="67"/>
        <v>29300</v>
      </c>
    </row>
    <row r="826" spans="2:11" x14ac:dyDescent="0.45">
      <c r="B826" s="19">
        <f t="shared" si="66"/>
        <v>5</v>
      </c>
      <c r="C826" s="10">
        <v>46261</v>
      </c>
      <c r="D826" s="78"/>
      <c r="E826" s="22"/>
      <c r="F826" s="23"/>
      <c r="G826" s="32">
        <v>1900</v>
      </c>
      <c r="H826" s="32">
        <v>570</v>
      </c>
      <c r="I826" s="52">
        <f t="shared" si="65"/>
        <v>1330</v>
      </c>
      <c r="J826" s="28"/>
      <c r="K826" s="18">
        <f t="shared" si="67"/>
        <v>29301</v>
      </c>
    </row>
    <row r="827" spans="2:11" x14ac:dyDescent="0.45">
      <c r="B827" s="19">
        <f t="shared" si="66"/>
        <v>6</v>
      </c>
      <c r="C827" s="10">
        <v>46261</v>
      </c>
      <c r="D827" s="78"/>
      <c r="E827" s="22"/>
      <c r="F827" s="23"/>
      <c r="G827" s="32">
        <v>1900</v>
      </c>
      <c r="H827" s="32">
        <v>900</v>
      </c>
      <c r="I827" s="52">
        <f t="shared" si="65"/>
        <v>1000</v>
      </c>
      <c r="J827" s="27"/>
      <c r="K827" s="18">
        <f t="shared" si="67"/>
        <v>29302</v>
      </c>
    </row>
    <row r="828" spans="2:11" x14ac:dyDescent="0.45">
      <c r="B828" s="19">
        <f t="shared" si="66"/>
        <v>7</v>
      </c>
      <c r="C828" s="10">
        <v>46261</v>
      </c>
      <c r="D828" s="78"/>
      <c r="E828" s="22"/>
      <c r="F828" s="23"/>
      <c r="G828" s="32">
        <v>5100</v>
      </c>
      <c r="H828" s="32">
        <v>0</v>
      </c>
      <c r="I828" s="52">
        <f t="shared" si="65"/>
        <v>5100</v>
      </c>
      <c r="J828" s="27"/>
      <c r="K828" s="18">
        <f t="shared" si="67"/>
        <v>29303</v>
      </c>
    </row>
    <row r="829" spans="2:11" x14ac:dyDescent="0.45">
      <c r="B829" s="19">
        <f t="shared" si="66"/>
        <v>8</v>
      </c>
      <c r="C829" s="10">
        <v>46261</v>
      </c>
      <c r="D829" s="78"/>
      <c r="E829" s="22"/>
      <c r="F829" s="23"/>
      <c r="G829" s="32">
        <v>1700</v>
      </c>
      <c r="H829" s="32">
        <v>510</v>
      </c>
      <c r="I829" s="52">
        <f t="shared" si="65"/>
        <v>1190</v>
      </c>
      <c r="J829" s="27"/>
      <c r="K829" s="18">
        <f t="shared" si="67"/>
        <v>29304</v>
      </c>
    </row>
    <row r="830" spans="2:11" x14ac:dyDescent="0.45">
      <c r="B830" s="19">
        <f t="shared" si="66"/>
        <v>9</v>
      </c>
      <c r="C830" s="10">
        <v>46261</v>
      </c>
      <c r="D830" s="78"/>
      <c r="E830" s="22"/>
      <c r="F830" s="23"/>
      <c r="G830" s="32">
        <v>1700</v>
      </c>
      <c r="H830" s="32">
        <v>200</v>
      </c>
      <c r="I830" s="52">
        <f t="shared" si="65"/>
        <v>1500</v>
      </c>
      <c r="J830" s="27"/>
      <c r="K830" s="18">
        <f t="shared" si="67"/>
        <v>29305</v>
      </c>
    </row>
    <row r="831" spans="2:11" x14ac:dyDescent="0.45">
      <c r="B831" s="19">
        <f t="shared" si="66"/>
        <v>10</v>
      </c>
      <c r="C831" s="10">
        <v>46261</v>
      </c>
      <c r="D831" s="78"/>
      <c r="E831" s="22"/>
      <c r="F831" s="23"/>
      <c r="G831" s="32">
        <v>2500</v>
      </c>
      <c r="H831" s="32">
        <v>750</v>
      </c>
      <c r="I831" s="52">
        <f t="shared" si="65"/>
        <v>1750</v>
      </c>
      <c r="J831" s="27"/>
      <c r="K831" s="18">
        <f t="shared" si="67"/>
        <v>29306</v>
      </c>
    </row>
    <row r="832" spans="2:11" x14ac:dyDescent="0.45">
      <c r="B832" s="19">
        <f t="shared" si="66"/>
        <v>11</v>
      </c>
      <c r="C832" s="10">
        <v>46261</v>
      </c>
      <c r="D832" s="78"/>
      <c r="E832" s="22"/>
      <c r="F832" s="23"/>
      <c r="G832" s="32">
        <v>4400</v>
      </c>
      <c r="H832" s="32">
        <v>1320</v>
      </c>
      <c r="I832" s="52">
        <f t="shared" si="65"/>
        <v>3080</v>
      </c>
      <c r="J832" s="27"/>
      <c r="K832" s="18">
        <f t="shared" si="67"/>
        <v>29307</v>
      </c>
    </row>
    <row r="833" spans="2:11" x14ac:dyDescent="0.45">
      <c r="B833" s="19">
        <f t="shared" si="66"/>
        <v>12</v>
      </c>
      <c r="C833" s="10">
        <v>46261</v>
      </c>
      <c r="D833" s="78"/>
      <c r="E833" s="22"/>
      <c r="F833" s="23"/>
      <c r="G833" s="32">
        <v>1700</v>
      </c>
      <c r="H833" s="32">
        <v>0</v>
      </c>
      <c r="I833" s="52">
        <f t="shared" si="65"/>
        <v>1700</v>
      </c>
      <c r="J833" s="27"/>
      <c r="K833" s="18">
        <f t="shared" si="67"/>
        <v>29308</v>
      </c>
    </row>
    <row r="834" spans="2:11" x14ac:dyDescent="0.45">
      <c r="B834" s="19">
        <f t="shared" si="66"/>
        <v>13</v>
      </c>
      <c r="C834" s="10">
        <v>46261</v>
      </c>
      <c r="D834" s="78"/>
      <c r="E834" s="22"/>
      <c r="F834" s="23"/>
      <c r="G834" s="32">
        <v>1800</v>
      </c>
      <c r="H834" s="32">
        <v>0</v>
      </c>
      <c r="I834" s="52">
        <f t="shared" si="65"/>
        <v>1800</v>
      </c>
      <c r="J834" s="27"/>
      <c r="K834" s="18">
        <f t="shared" si="67"/>
        <v>29309</v>
      </c>
    </row>
    <row r="835" spans="2:11" x14ac:dyDescent="0.45">
      <c r="B835" s="19">
        <f t="shared" si="66"/>
        <v>14</v>
      </c>
      <c r="C835" s="10">
        <v>46261</v>
      </c>
      <c r="D835" s="78"/>
      <c r="E835" s="22"/>
      <c r="F835" s="23"/>
      <c r="G835" s="32">
        <v>1700</v>
      </c>
      <c r="H835" s="32">
        <v>0</v>
      </c>
      <c r="I835" s="52">
        <f t="shared" si="65"/>
        <v>1700</v>
      </c>
      <c r="J835" s="27"/>
      <c r="K835" s="18">
        <f t="shared" si="67"/>
        <v>29310</v>
      </c>
    </row>
    <row r="836" spans="2:11" x14ac:dyDescent="0.45">
      <c r="B836" s="19">
        <f t="shared" si="66"/>
        <v>15</v>
      </c>
      <c r="C836" s="10">
        <v>46261</v>
      </c>
      <c r="D836" s="78"/>
      <c r="E836" s="22"/>
      <c r="F836" s="23"/>
      <c r="G836" s="32">
        <v>1700</v>
      </c>
      <c r="H836" s="32">
        <v>0</v>
      </c>
      <c r="I836" s="52">
        <f t="shared" si="65"/>
        <v>1700</v>
      </c>
      <c r="J836" s="27"/>
      <c r="K836" s="18">
        <f t="shared" si="67"/>
        <v>29311</v>
      </c>
    </row>
    <row r="837" spans="2:11" x14ac:dyDescent="0.45">
      <c r="B837" s="19">
        <f t="shared" si="66"/>
        <v>16</v>
      </c>
      <c r="C837" s="10">
        <v>46261</v>
      </c>
      <c r="D837" s="78"/>
      <c r="E837" s="22"/>
      <c r="F837" s="23"/>
      <c r="G837" s="32">
        <v>1900</v>
      </c>
      <c r="H837" s="32">
        <v>570</v>
      </c>
      <c r="I837" s="52">
        <f t="shared" si="65"/>
        <v>1330</v>
      </c>
      <c r="J837" s="27"/>
      <c r="K837" s="18">
        <f t="shared" si="67"/>
        <v>29312</v>
      </c>
    </row>
    <row r="838" spans="2:11" x14ac:dyDescent="0.45">
      <c r="B838" s="19">
        <f t="shared" si="66"/>
        <v>17</v>
      </c>
      <c r="C838" s="10">
        <v>46261</v>
      </c>
      <c r="D838" s="78"/>
      <c r="E838" s="22"/>
      <c r="F838" s="23"/>
      <c r="G838" s="32">
        <v>1900</v>
      </c>
      <c r="H838" s="32">
        <v>200</v>
      </c>
      <c r="I838" s="52">
        <f t="shared" si="65"/>
        <v>1700</v>
      </c>
      <c r="J838" s="27"/>
      <c r="K838" s="18">
        <f t="shared" si="67"/>
        <v>29313</v>
      </c>
    </row>
    <row r="839" spans="2:11" x14ac:dyDescent="0.45">
      <c r="B839" s="19">
        <f t="shared" si="66"/>
        <v>18</v>
      </c>
      <c r="C839" s="10">
        <v>46261</v>
      </c>
      <c r="D839" s="78"/>
      <c r="E839" s="22"/>
      <c r="F839" s="23"/>
      <c r="G839" s="32">
        <v>1900</v>
      </c>
      <c r="H839" s="32">
        <v>900</v>
      </c>
      <c r="I839" s="52">
        <f t="shared" si="65"/>
        <v>1000</v>
      </c>
      <c r="J839" s="27"/>
      <c r="K839" s="18">
        <f t="shared" si="67"/>
        <v>29314</v>
      </c>
    </row>
    <row r="840" spans="2:11" x14ac:dyDescent="0.45">
      <c r="B840" s="19">
        <f t="shared" si="66"/>
        <v>19</v>
      </c>
      <c r="C840" s="10">
        <v>46261</v>
      </c>
      <c r="D840" s="78"/>
      <c r="E840" s="22"/>
      <c r="F840" s="23"/>
      <c r="G840" s="32">
        <v>100</v>
      </c>
      <c r="H840" s="32">
        <v>0</v>
      </c>
      <c r="I840" s="52">
        <f t="shared" si="65"/>
        <v>100</v>
      </c>
      <c r="J840" s="27"/>
      <c r="K840" s="18">
        <f t="shared" si="67"/>
        <v>29315</v>
      </c>
    </row>
    <row r="841" spans="2:11" x14ac:dyDescent="0.45">
      <c r="B841" s="19">
        <f t="shared" si="66"/>
        <v>20</v>
      </c>
      <c r="C841" s="10">
        <v>46261</v>
      </c>
      <c r="D841" s="78"/>
      <c r="E841" s="22"/>
      <c r="F841" s="23"/>
      <c r="G841" s="32">
        <v>100</v>
      </c>
      <c r="H841" s="32">
        <v>0</v>
      </c>
      <c r="I841" s="52">
        <f t="shared" si="65"/>
        <v>100</v>
      </c>
      <c r="J841" s="27"/>
      <c r="K841" s="18">
        <f t="shared" si="67"/>
        <v>29316</v>
      </c>
    </row>
    <row r="842" spans="2:11" x14ac:dyDescent="0.45">
      <c r="B842" s="19">
        <f t="shared" si="66"/>
        <v>21</v>
      </c>
      <c r="C842" s="10">
        <v>46261</v>
      </c>
      <c r="D842" s="11"/>
      <c r="E842" s="22"/>
      <c r="F842" s="23"/>
      <c r="G842" s="32">
        <v>1900</v>
      </c>
      <c r="H842" s="32">
        <v>570</v>
      </c>
      <c r="I842" s="52">
        <f t="shared" si="65"/>
        <v>1330</v>
      </c>
      <c r="J842" s="27"/>
      <c r="K842" s="18">
        <f t="shared" si="67"/>
        <v>29317</v>
      </c>
    </row>
    <row r="843" spans="2:11" x14ac:dyDescent="0.45">
      <c r="B843" s="19">
        <f t="shared" si="66"/>
        <v>22</v>
      </c>
      <c r="C843" s="10">
        <v>46261</v>
      </c>
      <c r="D843" s="78"/>
      <c r="E843" s="22"/>
      <c r="F843" s="33"/>
      <c r="G843" s="32">
        <v>440</v>
      </c>
      <c r="H843" s="32">
        <v>0</v>
      </c>
      <c r="I843" s="52">
        <f t="shared" si="65"/>
        <v>440</v>
      </c>
      <c r="J843" s="28"/>
      <c r="K843" s="18">
        <f t="shared" si="67"/>
        <v>29318</v>
      </c>
    </row>
    <row r="844" spans="2:11" x14ac:dyDescent="0.45">
      <c r="B844" s="19">
        <f t="shared" si="66"/>
        <v>23</v>
      </c>
      <c r="C844" s="10">
        <v>46261</v>
      </c>
      <c r="D844" s="78"/>
      <c r="E844" s="22"/>
      <c r="F844" s="22"/>
      <c r="G844" s="32">
        <v>24500</v>
      </c>
      <c r="H844" s="32">
        <v>7350</v>
      </c>
      <c r="I844" s="52">
        <f t="shared" si="65"/>
        <v>17150</v>
      </c>
      <c r="J844" s="27"/>
      <c r="K844" s="18">
        <f t="shared" si="67"/>
        <v>29319</v>
      </c>
    </row>
    <row r="845" spans="2:11" x14ac:dyDescent="0.45">
      <c r="B845" s="19">
        <f t="shared" si="66"/>
        <v>24</v>
      </c>
      <c r="C845" s="10">
        <v>46261</v>
      </c>
      <c r="D845" s="78"/>
      <c r="E845" s="22"/>
      <c r="F845" s="22"/>
      <c r="G845" s="32">
        <v>1900</v>
      </c>
      <c r="H845" s="32">
        <v>0</v>
      </c>
      <c r="I845" s="52">
        <f t="shared" si="65"/>
        <v>1900</v>
      </c>
      <c r="J845" s="27"/>
      <c r="K845" s="18">
        <f t="shared" si="67"/>
        <v>29320</v>
      </c>
    </row>
    <row r="846" spans="2:11" x14ac:dyDescent="0.45">
      <c r="B846" s="19">
        <f t="shared" si="66"/>
        <v>25</v>
      </c>
      <c r="C846" s="10">
        <v>46261</v>
      </c>
      <c r="D846" s="78"/>
      <c r="E846" s="22"/>
      <c r="F846" s="22"/>
      <c r="G846" s="32">
        <v>1900</v>
      </c>
      <c r="H846" s="32">
        <v>570</v>
      </c>
      <c r="I846" s="52">
        <f t="shared" si="65"/>
        <v>1330</v>
      </c>
      <c r="J846" s="27"/>
      <c r="K846" s="18">
        <f t="shared" si="67"/>
        <v>29321</v>
      </c>
    </row>
    <row r="847" spans="2:11" x14ac:dyDescent="0.45">
      <c r="B847" s="19">
        <f t="shared" si="66"/>
        <v>26</v>
      </c>
      <c r="C847" s="10">
        <v>46261</v>
      </c>
      <c r="D847" s="78"/>
      <c r="E847" s="22"/>
      <c r="F847" s="22"/>
      <c r="G847" s="32">
        <v>9300</v>
      </c>
      <c r="H847" s="32">
        <v>600</v>
      </c>
      <c r="I847" s="52">
        <f t="shared" si="65"/>
        <v>8700</v>
      </c>
      <c r="J847" s="27"/>
      <c r="K847" s="18">
        <f t="shared" si="67"/>
        <v>29322</v>
      </c>
    </row>
    <row r="848" spans="2:11" x14ac:dyDescent="0.45">
      <c r="B848" s="19">
        <f t="shared" si="66"/>
        <v>27</v>
      </c>
      <c r="C848" s="10">
        <v>46261</v>
      </c>
      <c r="D848" s="78"/>
      <c r="E848" s="22"/>
      <c r="F848" s="22"/>
      <c r="G848" s="32">
        <v>3280</v>
      </c>
      <c r="H848" s="32">
        <v>0</v>
      </c>
      <c r="I848" s="52">
        <f t="shared" si="65"/>
        <v>3280</v>
      </c>
      <c r="J848" s="27"/>
      <c r="K848" s="18">
        <f t="shared" si="67"/>
        <v>29323</v>
      </c>
    </row>
    <row r="849" spans="2:11" x14ac:dyDescent="0.45">
      <c r="B849" s="19">
        <f t="shared" si="66"/>
        <v>28</v>
      </c>
      <c r="C849" s="10">
        <v>46261</v>
      </c>
      <c r="D849" s="78"/>
      <c r="E849" s="22"/>
      <c r="F849" s="22"/>
      <c r="G849" s="32">
        <v>8600</v>
      </c>
      <c r="H849" s="32">
        <v>2580</v>
      </c>
      <c r="I849" s="52">
        <f t="shared" si="65"/>
        <v>6020</v>
      </c>
      <c r="J849" s="27"/>
      <c r="K849" s="18">
        <f t="shared" si="67"/>
        <v>29324</v>
      </c>
    </row>
    <row r="850" spans="2:11" ht="14.65" thickBot="1" x14ac:dyDescent="0.5">
      <c r="F850" s="38" t="s">
        <v>26</v>
      </c>
      <c r="G850" s="39">
        <f>SUM(G822:G849)</f>
        <v>91900</v>
      </c>
      <c r="H850" s="39">
        <f>SUM(H822:H849)</f>
        <v>17590</v>
      </c>
      <c r="I850" s="39">
        <f>SUM(I822:I849)</f>
        <v>74310</v>
      </c>
      <c r="K850" s="41"/>
    </row>
    <row r="852" spans="2:11" ht="15.75" x14ac:dyDescent="0.5">
      <c r="D852" s="42" t="s">
        <v>28</v>
      </c>
      <c r="E852" s="42"/>
      <c r="F852" s="43" t="s">
        <v>29</v>
      </c>
      <c r="G852" s="44"/>
      <c r="H852" s="44"/>
      <c r="I852" s="45"/>
      <c r="J852" s="46"/>
    </row>
    <row r="853" spans="2:11" x14ac:dyDescent="0.45">
      <c r="D853" s="47" t="s">
        <v>30</v>
      </c>
      <c r="E853" s="47"/>
      <c r="F853" s="48">
        <v>25910</v>
      </c>
      <c r="G853" s="49"/>
      <c r="H853" s="49"/>
      <c r="I853" s="50"/>
      <c r="K853" s="51"/>
    </row>
    <row r="854" spans="2:11" x14ac:dyDescent="0.45">
      <c r="D854" s="47" t="s">
        <v>31</v>
      </c>
      <c r="E854" s="47"/>
      <c r="F854" s="52">
        <v>0</v>
      </c>
      <c r="G854" s="53"/>
      <c r="H854" s="53"/>
      <c r="I854" s="50"/>
    </row>
    <row r="855" spans="2:11" x14ac:dyDescent="0.45">
      <c r="D855" s="47" t="s">
        <v>32</v>
      </c>
      <c r="E855" s="47"/>
      <c r="F855" s="54">
        <v>35250</v>
      </c>
      <c r="G855" s="55"/>
      <c r="H855" s="55"/>
      <c r="J855" s="46"/>
    </row>
    <row r="856" spans="2:11" x14ac:dyDescent="0.45">
      <c r="D856" s="47" t="s">
        <v>33</v>
      </c>
      <c r="E856" s="47"/>
      <c r="F856" s="54">
        <v>7130</v>
      </c>
      <c r="G856" s="55"/>
      <c r="H856" s="55"/>
      <c r="I856" s="50"/>
    </row>
    <row r="857" spans="2:11" x14ac:dyDescent="0.45">
      <c r="D857" s="47" t="s">
        <v>34</v>
      </c>
      <c r="E857" s="47"/>
      <c r="F857" s="52">
        <v>6020</v>
      </c>
      <c r="G857" s="53"/>
      <c r="H857" s="53"/>
      <c r="I857" s="50"/>
    </row>
    <row r="858" spans="2:11" ht="15.75" thickBot="1" x14ac:dyDescent="0.65">
      <c r="D858" s="56" t="s">
        <v>35</v>
      </c>
      <c r="E858" s="56"/>
      <c r="F858" s="57">
        <f>SUM(F853:F857)</f>
        <v>74310</v>
      </c>
      <c r="G858" s="58">
        <f>+I850-F858</f>
        <v>0</v>
      </c>
      <c r="H858" s="58"/>
      <c r="I858" s="50"/>
    </row>
    <row r="859" spans="2:11" ht="16.149999999999999" thickTop="1" thickBot="1" x14ac:dyDescent="0.65">
      <c r="D859" s="64"/>
      <c r="E859" s="64"/>
      <c r="F859" s="65"/>
      <c r="G859" s="58"/>
      <c r="H859" s="58"/>
      <c r="I859" s="50"/>
    </row>
    <row r="860" spans="2:11" ht="21.4" thickBot="1" x14ac:dyDescent="0.7">
      <c r="B860" s="1" t="s">
        <v>396</v>
      </c>
      <c r="C860" s="1"/>
      <c r="D860" s="2"/>
      <c r="E860" s="1"/>
      <c r="F860" s="1"/>
      <c r="G860" s="1"/>
      <c r="H860" s="1"/>
      <c r="I860" s="1"/>
      <c r="J860" s="1"/>
      <c r="K860" s="3"/>
    </row>
    <row r="861" spans="2:11" ht="24.4" thickBot="1" x14ac:dyDescent="0.55000000000000004">
      <c r="B861" s="4" t="s">
        <v>1</v>
      </c>
      <c r="C861" s="5" t="s">
        <v>2</v>
      </c>
      <c r="D861" s="5" t="s">
        <v>3</v>
      </c>
      <c r="E861" s="5" t="s">
        <v>4</v>
      </c>
      <c r="F861" s="6" t="s">
        <v>5</v>
      </c>
      <c r="G861" s="6" t="s">
        <v>6</v>
      </c>
      <c r="H861" s="6" t="s">
        <v>7</v>
      </c>
      <c r="I861" s="7" t="s">
        <v>8</v>
      </c>
      <c r="J861" s="5" t="s">
        <v>9</v>
      </c>
      <c r="K861" s="8" t="s">
        <v>10</v>
      </c>
    </row>
    <row r="862" spans="2:11" x14ac:dyDescent="0.45">
      <c r="B862" s="9">
        <v>1</v>
      </c>
      <c r="C862" s="10">
        <v>46262</v>
      </c>
      <c r="D862" s="11"/>
      <c r="E862" s="30"/>
      <c r="F862" s="31"/>
      <c r="G862" s="32">
        <v>3000</v>
      </c>
      <c r="H862" s="32">
        <v>0</v>
      </c>
      <c r="I862" s="68">
        <f>+G862-H862</f>
        <v>3000</v>
      </c>
      <c r="J862" s="17"/>
      <c r="K862" s="18">
        <v>29325</v>
      </c>
    </row>
    <row r="863" spans="2:11" x14ac:dyDescent="0.45">
      <c r="B863" s="19">
        <f>+B862+1</f>
        <v>2</v>
      </c>
      <c r="C863" s="10">
        <v>46262</v>
      </c>
      <c r="D863" s="78"/>
      <c r="E863" s="22"/>
      <c r="F863" s="23"/>
      <c r="G863" s="32">
        <v>1900</v>
      </c>
      <c r="H863" s="32">
        <v>570</v>
      </c>
      <c r="I863" s="52">
        <f t="shared" ref="I863:I885" si="68">+G863-H863</f>
        <v>1330</v>
      </c>
      <c r="J863" s="26"/>
      <c r="K863" s="18">
        <f>+K862+1</f>
        <v>29326</v>
      </c>
    </row>
    <row r="864" spans="2:11" x14ac:dyDescent="0.45">
      <c r="B864" s="19">
        <f t="shared" ref="B864:B885" si="69">+B863+1</f>
        <v>3</v>
      </c>
      <c r="C864" s="10">
        <v>46262</v>
      </c>
      <c r="D864" s="78"/>
      <c r="E864" s="22"/>
      <c r="F864" s="23"/>
      <c r="G864" s="32">
        <v>1700</v>
      </c>
      <c r="H864" s="32">
        <v>510</v>
      </c>
      <c r="I864" s="52">
        <f t="shared" si="68"/>
        <v>1190</v>
      </c>
      <c r="J864" s="26"/>
      <c r="K864" s="18">
        <f t="shared" ref="K864:K885" si="70">+K863+1</f>
        <v>29327</v>
      </c>
    </row>
    <row r="865" spans="2:11" x14ac:dyDescent="0.45">
      <c r="B865" s="19">
        <f t="shared" si="69"/>
        <v>4</v>
      </c>
      <c r="C865" s="10">
        <v>46262</v>
      </c>
      <c r="D865" s="78"/>
      <c r="E865" s="22"/>
      <c r="F865" s="23"/>
      <c r="G865" s="32">
        <v>3820</v>
      </c>
      <c r="H865" s="32">
        <v>600</v>
      </c>
      <c r="I865" s="52">
        <f t="shared" si="68"/>
        <v>3220</v>
      </c>
      <c r="J865" s="27"/>
      <c r="K865" s="18">
        <f t="shared" si="70"/>
        <v>29328</v>
      </c>
    </row>
    <row r="866" spans="2:11" x14ac:dyDescent="0.45">
      <c r="B866" s="19">
        <f t="shared" si="69"/>
        <v>5</v>
      </c>
      <c r="C866" s="10">
        <v>46262</v>
      </c>
      <c r="D866" s="78"/>
      <c r="E866" s="22"/>
      <c r="F866" s="23"/>
      <c r="G866" s="32">
        <v>1900</v>
      </c>
      <c r="H866" s="32">
        <v>0</v>
      </c>
      <c r="I866" s="52">
        <f t="shared" si="68"/>
        <v>1900</v>
      </c>
      <c r="J866" s="28"/>
      <c r="K866" s="18">
        <f t="shared" si="70"/>
        <v>29329</v>
      </c>
    </row>
    <row r="867" spans="2:11" x14ac:dyDescent="0.45">
      <c r="B867" s="19">
        <f t="shared" si="69"/>
        <v>6</v>
      </c>
      <c r="C867" s="10">
        <v>46262</v>
      </c>
      <c r="D867" s="78"/>
      <c r="E867" s="22"/>
      <c r="F867" s="23"/>
      <c r="G867" s="32">
        <v>4900</v>
      </c>
      <c r="H867" s="32">
        <v>1470</v>
      </c>
      <c r="I867" s="52">
        <f t="shared" si="68"/>
        <v>3430</v>
      </c>
      <c r="J867" s="27"/>
      <c r="K867" s="18">
        <f t="shared" si="70"/>
        <v>29330</v>
      </c>
    </row>
    <row r="868" spans="2:11" x14ac:dyDescent="0.45">
      <c r="B868" s="19">
        <f t="shared" si="69"/>
        <v>7</v>
      </c>
      <c r="C868" s="10">
        <v>46262</v>
      </c>
      <c r="D868" s="78"/>
      <c r="E868" s="22"/>
      <c r="F868" s="23"/>
      <c r="G868" s="32">
        <v>2500</v>
      </c>
      <c r="H868" s="32">
        <v>800</v>
      </c>
      <c r="I868" s="52">
        <f t="shared" si="68"/>
        <v>1700</v>
      </c>
      <c r="J868" s="27"/>
      <c r="K868" s="18">
        <f t="shared" si="70"/>
        <v>29331</v>
      </c>
    </row>
    <row r="869" spans="2:11" x14ac:dyDescent="0.45">
      <c r="B869" s="19">
        <f t="shared" si="69"/>
        <v>8</v>
      </c>
      <c r="C869" s="10">
        <v>46262</v>
      </c>
      <c r="D869" s="78"/>
      <c r="E869" s="22"/>
      <c r="F869" s="23"/>
      <c r="G869" s="32">
        <v>5900</v>
      </c>
      <c r="H869" s="32">
        <v>1400</v>
      </c>
      <c r="I869" s="52">
        <f t="shared" si="68"/>
        <v>4500</v>
      </c>
      <c r="J869" s="27"/>
      <c r="K869" s="18">
        <f t="shared" si="70"/>
        <v>29332</v>
      </c>
    </row>
    <row r="870" spans="2:11" x14ac:dyDescent="0.45">
      <c r="B870" s="19">
        <f t="shared" si="69"/>
        <v>9</v>
      </c>
      <c r="C870" s="10">
        <v>46262</v>
      </c>
      <c r="D870" s="78"/>
      <c r="E870" s="22"/>
      <c r="F870" s="23"/>
      <c r="G870" s="32">
        <v>4900</v>
      </c>
      <c r="H870" s="32">
        <v>400</v>
      </c>
      <c r="I870" s="52">
        <f t="shared" si="68"/>
        <v>4500</v>
      </c>
      <c r="J870" s="27"/>
      <c r="K870" s="18">
        <f t="shared" si="70"/>
        <v>29333</v>
      </c>
    </row>
    <row r="871" spans="2:11" x14ac:dyDescent="0.45">
      <c r="B871" s="19">
        <f t="shared" si="69"/>
        <v>10</v>
      </c>
      <c r="C871" s="10">
        <v>46262</v>
      </c>
      <c r="D871" s="78"/>
      <c r="E871" s="22"/>
      <c r="F871" s="23"/>
      <c r="G871" s="32">
        <v>4900</v>
      </c>
      <c r="H871" s="32">
        <v>1470</v>
      </c>
      <c r="I871" s="52">
        <f t="shared" si="68"/>
        <v>3430</v>
      </c>
      <c r="J871" s="27"/>
      <c r="K871" s="18">
        <f t="shared" si="70"/>
        <v>29334</v>
      </c>
    </row>
    <row r="872" spans="2:11" x14ac:dyDescent="0.45">
      <c r="B872" s="19">
        <f t="shared" si="69"/>
        <v>11</v>
      </c>
      <c r="C872" s="10">
        <v>46262</v>
      </c>
      <c r="D872" s="78"/>
      <c r="E872" s="22"/>
      <c r="F872" s="23"/>
      <c r="G872" s="32">
        <v>7000</v>
      </c>
      <c r="H872" s="32">
        <v>2100</v>
      </c>
      <c r="I872" s="52">
        <f t="shared" si="68"/>
        <v>4900</v>
      </c>
      <c r="J872" s="27"/>
      <c r="K872" s="18">
        <f t="shared" si="70"/>
        <v>29335</v>
      </c>
    </row>
    <row r="873" spans="2:11" x14ac:dyDescent="0.45">
      <c r="B873" s="19">
        <f t="shared" si="69"/>
        <v>12</v>
      </c>
      <c r="C873" s="10">
        <v>46262</v>
      </c>
      <c r="D873" s="78"/>
      <c r="E873" s="22"/>
      <c r="F873" s="23"/>
      <c r="G873" s="32">
        <v>1900</v>
      </c>
      <c r="H873" s="32">
        <v>100</v>
      </c>
      <c r="I873" s="52">
        <f t="shared" si="68"/>
        <v>1800</v>
      </c>
      <c r="J873" s="27"/>
      <c r="K873" s="18">
        <f t="shared" si="70"/>
        <v>29336</v>
      </c>
    </row>
    <row r="874" spans="2:11" x14ac:dyDescent="0.45">
      <c r="B874" s="19">
        <f t="shared" si="69"/>
        <v>13</v>
      </c>
      <c r="C874" s="10">
        <v>46262</v>
      </c>
      <c r="D874" s="78"/>
      <c r="E874" s="22"/>
      <c r="F874" s="23"/>
      <c r="G874" s="32">
        <v>4500</v>
      </c>
      <c r="H874" s="32">
        <v>0</v>
      </c>
      <c r="I874" s="52">
        <f t="shared" si="68"/>
        <v>4500</v>
      </c>
      <c r="J874" s="27"/>
      <c r="K874" s="18">
        <f t="shared" si="70"/>
        <v>29337</v>
      </c>
    </row>
    <row r="875" spans="2:11" x14ac:dyDescent="0.45">
      <c r="B875" s="19">
        <f t="shared" si="69"/>
        <v>14</v>
      </c>
      <c r="C875" s="10">
        <v>46262</v>
      </c>
      <c r="D875" s="78"/>
      <c r="E875" s="22"/>
      <c r="F875" s="23"/>
      <c r="G875" s="32">
        <v>7600</v>
      </c>
      <c r="H875" s="32">
        <v>4800</v>
      </c>
      <c r="I875" s="52">
        <f t="shared" si="68"/>
        <v>2800</v>
      </c>
      <c r="J875" s="27"/>
      <c r="K875" s="18">
        <f t="shared" si="70"/>
        <v>29338</v>
      </c>
    </row>
    <row r="876" spans="2:11" x14ac:dyDescent="0.45">
      <c r="B876" s="19">
        <f t="shared" si="69"/>
        <v>15</v>
      </c>
      <c r="C876" s="10">
        <v>46262</v>
      </c>
      <c r="D876" s="78"/>
      <c r="E876" s="22"/>
      <c r="F876" s="23"/>
      <c r="G876" s="32">
        <v>14000</v>
      </c>
      <c r="H876" s="32">
        <v>4200</v>
      </c>
      <c r="I876" s="52">
        <f t="shared" si="68"/>
        <v>9800</v>
      </c>
      <c r="J876" s="27"/>
      <c r="K876" s="18">
        <f t="shared" si="70"/>
        <v>29339</v>
      </c>
    </row>
    <row r="877" spans="2:11" x14ac:dyDescent="0.45">
      <c r="B877" s="19">
        <f t="shared" si="69"/>
        <v>16</v>
      </c>
      <c r="C877" s="10">
        <v>46262</v>
      </c>
      <c r="D877" s="78"/>
      <c r="E877" s="22"/>
      <c r="F877" s="23"/>
      <c r="G877" s="32">
        <v>220</v>
      </c>
      <c r="H877" s="32">
        <v>0</v>
      </c>
      <c r="I877" s="52">
        <f t="shared" si="68"/>
        <v>220</v>
      </c>
      <c r="J877" s="27"/>
      <c r="K877" s="18">
        <f t="shared" si="70"/>
        <v>29340</v>
      </c>
    </row>
    <row r="878" spans="2:11" x14ac:dyDescent="0.45">
      <c r="B878" s="19">
        <f t="shared" si="69"/>
        <v>17</v>
      </c>
      <c r="C878" s="10">
        <v>46262</v>
      </c>
      <c r="D878" s="78"/>
      <c r="E878" s="22"/>
      <c r="F878" s="23"/>
      <c r="G878" s="32">
        <v>220</v>
      </c>
      <c r="H878" s="32">
        <v>0</v>
      </c>
      <c r="I878" s="52">
        <f t="shared" si="68"/>
        <v>220</v>
      </c>
      <c r="J878" s="27"/>
      <c r="K878" s="18">
        <f t="shared" si="70"/>
        <v>29341</v>
      </c>
    </row>
    <row r="879" spans="2:11" x14ac:dyDescent="0.45">
      <c r="B879" s="19">
        <f t="shared" si="69"/>
        <v>18</v>
      </c>
      <c r="C879" s="10">
        <v>46262</v>
      </c>
      <c r="D879" s="78"/>
      <c r="E879" s="22"/>
      <c r="F879" s="23"/>
      <c r="G879" s="32">
        <v>100</v>
      </c>
      <c r="H879" s="32">
        <v>0</v>
      </c>
      <c r="I879" s="52">
        <f t="shared" si="68"/>
        <v>100</v>
      </c>
      <c r="J879" s="27"/>
      <c r="K879" s="18">
        <f t="shared" si="70"/>
        <v>29342</v>
      </c>
    </row>
    <row r="880" spans="2:11" x14ac:dyDescent="0.45">
      <c r="B880" s="19">
        <f t="shared" si="69"/>
        <v>19</v>
      </c>
      <c r="C880" s="10">
        <v>46262</v>
      </c>
      <c r="D880" s="78"/>
      <c r="E880" s="22"/>
      <c r="F880" s="23"/>
      <c r="G880" s="32">
        <v>1800</v>
      </c>
      <c r="H880" s="32">
        <v>400</v>
      </c>
      <c r="I880" s="52">
        <f t="shared" si="68"/>
        <v>1400</v>
      </c>
      <c r="J880" s="27"/>
      <c r="K880" s="18">
        <f t="shared" si="70"/>
        <v>29343</v>
      </c>
    </row>
    <row r="881" spans="2:11" x14ac:dyDescent="0.45">
      <c r="B881" s="19">
        <f t="shared" si="69"/>
        <v>20</v>
      </c>
      <c r="C881" s="10">
        <v>46262</v>
      </c>
      <c r="D881" s="78"/>
      <c r="E881" s="22"/>
      <c r="F881" s="23"/>
      <c r="G881" s="32">
        <v>2000</v>
      </c>
      <c r="H881" s="32">
        <v>200</v>
      </c>
      <c r="I881" s="52">
        <f t="shared" si="68"/>
        <v>1800</v>
      </c>
      <c r="J881" s="27"/>
      <c r="K881" s="18">
        <f t="shared" si="70"/>
        <v>29344</v>
      </c>
    </row>
    <row r="882" spans="2:11" x14ac:dyDescent="0.45">
      <c r="B882" s="19">
        <f t="shared" si="69"/>
        <v>21</v>
      </c>
      <c r="C882" s="10">
        <v>46262</v>
      </c>
      <c r="D882" s="11"/>
      <c r="E882" s="22"/>
      <c r="F882" s="23"/>
      <c r="G882" s="32">
        <f>2800*2</f>
        <v>5600</v>
      </c>
      <c r="H882" s="32">
        <v>1000</v>
      </c>
      <c r="I882" s="52">
        <f t="shared" si="68"/>
        <v>4600</v>
      </c>
      <c r="J882" s="27"/>
      <c r="K882" s="18">
        <f t="shared" si="70"/>
        <v>29345</v>
      </c>
    </row>
    <row r="883" spans="2:11" x14ac:dyDescent="0.45">
      <c r="B883" s="19">
        <f t="shared" si="69"/>
        <v>22</v>
      </c>
      <c r="C883" s="10">
        <v>46262</v>
      </c>
      <c r="D883" s="78"/>
      <c r="E883" s="22"/>
      <c r="F883" s="33"/>
      <c r="G883" s="32">
        <v>660</v>
      </c>
      <c r="H883" s="32">
        <v>0</v>
      </c>
      <c r="I883" s="52">
        <f t="shared" si="68"/>
        <v>660</v>
      </c>
      <c r="J883" s="28"/>
      <c r="K883" s="18">
        <f t="shared" si="70"/>
        <v>29346</v>
      </c>
    </row>
    <row r="884" spans="2:11" x14ac:dyDescent="0.45">
      <c r="B884" s="19">
        <f t="shared" si="69"/>
        <v>23</v>
      </c>
      <c r="C884" s="10">
        <v>46262</v>
      </c>
      <c r="D884" s="78"/>
      <c r="E884" s="22"/>
      <c r="F884" s="22"/>
      <c r="G884" s="32">
        <v>1700</v>
      </c>
      <c r="H884" s="32">
        <v>510</v>
      </c>
      <c r="I884" s="52">
        <f t="shared" si="68"/>
        <v>1190</v>
      </c>
      <c r="J884" s="27"/>
      <c r="K884" s="18">
        <f t="shared" si="70"/>
        <v>29347</v>
      </c>
    </row>
    <row r="885" spans="2:11" x14ac:dyDescent="0.45">
      <c r="B885" s="19">
        <f t="shared" si="69"/>
        <v>24</v>
      </c>
      <c r="C885" s="10">
        <v>46262</v>
      </c>
      <c r="D885" s="78"/>
      <c r="E885" s="22"/>
      <c r="F885" s="22"/>
      <c r="G885" s="32">
        <v>1900</v>
      </c>
      <c r="H885" s="32">
        <v>550</v>
      </c>
      <c r="I885" s="52">
        <f t="shared" si="68"/>
        <v>1350</v>
      </c>
      <c r="J885" s="27"/>
      <c r="K885" s="18">
        <f t="shared" si="70"/>
        <v>29348</v>
      </c>
    </row>
    <row r="886" spans="2:11" ht="14.65" thickBot="1" x14ac:dyDescent="0.5">
      <c r="F886" s="38" t="s">
        <v>26</v>
      </c>
      <c r="G886" s="39">
        <f>SUM(G862:G885)</f>
        <v>84620</v>
      </c>
      <c r="H886" s="39">
        <f>SUM(H862:H885)</f>
        <v>21080</v>
      </c>
      <c r="I886" s="39">
        <f>SUM(I862:I885)</f>
        <v>63540</v>
      </c>
      <c r="K886" s="41"/>
    </row>
    <row r="888" spans="2:11" ht="15.75" x14ac:dyDescent="0.5">
      <c r="D888" s="42" t="s">
        <v>28</v>
      </c>
      <c r="E888" s="42"/>
      <c r="F888" s="43" t="s">
        <v>29</v>
      </c>
      <c r="G888" s="44"/>
      <c r="H888" s="44"/>
      <c r="I888" s="45"/>
      <c r="J888" s="46"/>
    </row>
    <row r="889" spans="2:11" x14ac:dyDescent="0.45">
      <c r="D889" s="47" t="s">
        <v>30</v>
      </c>
      <c r="E889" s="47"/>
      <c r="F889" s="48">
        <v>23390</v>
      </c>
      <c r="G889" s="49"/>
      <c r="H889" s="49"/>
      <c r="I889" s="50"/>
      <c r="K889" s="51"/>
    </row>
    <row r="890" spans="2:11" x14ac:dyDescent="0.45">
      <c r="D890" s="47" t="s">
        <v>31</v>
      </c>
      <c r="E890" s="47"/>
      <c r="F890" s="52">
        <v>0</v>
      </c>
      <c r="G890" s="53"/>
      <c r="H890" s="53"/>
      <c r="I890" s="50"/>
    </row>
    <row r="891" spans="2:11" x14ac:dyDescent="0.45">
      <c r="D891" s="47" t="s">
        <v>32</v>
      </c>
      <c r="E891" s="47"/>
      <c r="F891" s="54">
        <v>14550</v>
      </c>
      <c r="G891" s="55"/>
      <c r="H891" s="55"/>
      <c r="J891" s="46"/>
    </row>
    <row r="892" spans="2:11" x14ac:dyDescent="0.45">
      <c r="D892" s="47" t="s">
        <v>33</v>
      </c>
      <c r="E892" s="47"/>
      <c r="F892" s="54">
        <v>16500</v>
      </c>
      <c r="G892" s="55"/>
      <c r="H892" s="55"/>
      <c r="I892" s="50"/>
    </row>
    <row r="893" spans="2:11" x14ac:dyDescent="0.45">
      <c r="D893" s="47" t="s">
        <v>34</v>
      </c>
      <c r="E893" s="47"/>
      <c r="F893" s="52">
        <v>9100</v>
      </c>
      <c r="G893" s="53"/>
      <c r="H893" s="53"/>
      <c r="I893" s="50"/>
    </row>
    <row r="894" spans="2:11" ht="15.75" thickBot="1" x14ac:dyDescent="0.65">
      <c r="D894" s="56" t="s">
        <v>35</v>
      </c>
      <c r="E894" s="56"/>
      <c r="F894" s="57">
        <f>SUM(F889:F893)</f>
        <v>63540</v>
      </c>
      <c r="G894" s="58">
        <f>+I886-F894</f>
        <v>0</v>
      </c>
      <c r="H894" s="58"/>
      <c r="I894" s="50"/>
    </row>
    <row r="895" spans="2:11" ht="15" thickTop="1" thickBot="1" x14ac:dyDescent="0.5"/>
    <row r="896" spans="2:11" ht="21.4" thickBot="1" x14ac:dyDescent="0.7">
      <c r="B896" s="1" t="s">
        <v>397</v>
      </c>
      <c r="C896" s="1"/>
      <c r="D896" s="2"/>
      <c r="E896" s="1"/>
      <c r="F896" s="1"/>
      <c r="G896" s="1"/>
      <c r="H896" s="1"/>
      <c r="I896" s="1"/>
      <c r="J896" s="1"/>
      <c r="K896" s="3"/>
    </row>
    <row r="897" spans="2:11" ht="24.4" thickBot="1" x14ac:dyDescent="0.55000000000000004">
      <c r="B897" s="4" t="s">
        <v>1</v>
      </c>
      <c r="C897" s="5" t="s">
        <v>2</v>
      </c>
      <c r="D897" s="5" t="s">
        <v>3</v>
      </c>
      <c r="E897" s="5" t="s">
        <v>4</v>
      </c>
      <c r="F897" s="6" t="s">
        <v>5</v>
      </c>
      <c r="G897" s="6" t="s">
        <v>6</v>
      </c>
      <c r="H897" s="6" t="s">
        <v>7</v>
      </c>
      <c r="I897" s="7" t="s">
        <v>8</v>
      </c>
      <c r="J897" s="5" t="s">
        <v>9</v>
      </c>
      <c r="K897" s="8" t="s">
        <v>10</v>
      </c>
    </row>
    <row r="898" spans="2:11" x14ac:dyDescent="0.45">
      <c r="B898" s="9">
        <v>1</v>
      </c>
      <c r="C898" s="10">
        <v>46263</v>
      </c>
      <c r="D898" s="11"/>
      <c r="E898" s="30"/>
      <c r="F898" s="31"/>
      <c r="G898" s="32">
        <v>880</v>
      </c>
      <c r="H898" s="32">
        <v>0</v>
      </c>
      <c r="I898" s="68">
        <f>+G898-H898</f>
        <v>880</v>
      </c>
      <c r="J898" s="17"/>
      <c r="K898" s="18">
        <v>29349</v>
      </c>
    </row>
    <row r="899" spans="2:11" x14ac:dyDescent="0.45">
      <c r="B899" s="19">
        <f>+B898+1</f>
        <v>2</v>
      </c>
      <c r="C899" s="10">
        <v>46263</v>
      </c>
      <c r="D899" s="78"/>
      <c r="E899" s="22"/>
      <c r="F899" s="23"/>
      <c r="G899" s="32">
        <v>2000</v>
      </c>
      <c r="H899" s="32">
        <v>1000</v>
      </c>
      <c r="I899" s="52">
        <f t="shared" ref="I899:I915" si="71">+G899-H899</f>
        <v>1000</v>
      </c>
      <c r="J899" s="26"/>
      <c r="K899" s="18">
        <f>+K898+1</f>
        <v>29350</v>
      </c>
    </row>
    <row r="900" spans="2:11" x14ac:dyDescent="0.45">
      <c r="B900" s="19">
        <f t="shared" ref="B900:B915" si="72">+B899+1</f>
        <v>3</v>
      </c>
      <c r="C900" s="10">
        <v>46263</v>
      </c>
      <c r="D900" s="78"/>
      <c r="E900" s="22"/>
      <c r="F900" s="23"/>
      <c r="G900" s="32">
        <v>1800</v>
      </c>
      <c r="H900" s="32">
        <v>300</v>
      </c>
      <c r="I900" s="52">
        <f t="shared" si="71"/>
        <v>1500</v>
      </c>
      <c r="J900" s="26"/>
      <c r="K900" s="18">
        <f t="shared" ref="K900:K915" si="73">+K899+1</f>
        <v>29351</v>
      </c>
    </row>
    <row r="901" spans="2:11" x14ac:dyDescent="0.45">
      <c r="B901" s="19">
        <f t="shared" si="72"/>
        <v>4</v>
      </c>
      <c r="C901" s="10">
        <v>46263</v>
      </c>
      <c r="D901" s="78"/>
      <c r="E901" s="22"/>
      <c r="F901" s="23"/>
      <c r="G901" s="32">
        <v>1900</v>
      </c>
      <c r="H901" s="32">
        <v>570</v>
      </c>
      <c r="I901" s="52">
        <f t="shared" si="71"/>
        <v>1330</v>
      </c>
      <c r="J901" s="27"/>
      <c r="K901" s="18">
        <f t="shared" si="73"/>
        <v>29352</v>
      </c>
    </row>
    <row r="902" spans="2:11" x14ac:dyDescent="0.45">
      <c r="B902" s="19">
        <f t="shared" si="72"/>
        <v>5</v>
      </c>
      <c r="C902" s="10">
        <v>46263</v>
      </c>
      <c r="D902" s="78"/>
      <c r="E902" s="22"/>
      <c r="F902" s="23"/>
      <c r="G902" s="32">
        <v>4900</v>
      </c>
      <c r="H902" s="32">
        <v>1470</v>
      </c>
      <c r="I902" s="52">
        <f t="shared" si="71"/>
        <v>3430</v>
      </c>
      <c r="J902" s="28"/>
      <c r="K902" s="18">
        <f t="shared" si="73"/>
        <v>29353</v>
      </c>
    </row>
    <row r="903" spans="2:11" x14ac:dyDescent="0.45">
      <c r="B903" s="19">
        <f t="shared" si="72"/>
        <v>6</v>
      </c>
      <c r="C903" s="10">
        <v>46263</v>
      </c>
      <c r="D903" s="78"/>
      <c r="E903" s="22"/>
      <c r="F903" s="23"/>
      <c r="G903" s="32">
        <v>1900</v>
      </c>
      <c r="H903" s="32">
        <v>570</v>
      </c>
      <c r="I903" s="52">
        <f>+G903-H903</f>
        <v>1330</v>
      </c>
      <c r="J903" s="27"/>
      <c r="K903" s="18">
        <f t="shared" si="73"/>
        <v>29354</v>
      </c>
    </row>
    <row r="904" spans="2:11" x14ac:dyDescent="0.45">
      <c r="B904" s="19">
        <f t="shared" si="72"/>
        <v>7</v>
      </c>
      <c r="C904" s="10">
        <v>46263</v>
      </c>
      <c r="D904" s="78"/>
      <c r="E904" s="22"/>
      <c r="F904" s="23"/>
      <c r="G904" s="32">
        <v>1960</v>
      </c>
      <c r="H904" s="32">
        <v>0</v>
      </c>
      <c r="I904" s="52">
        <f>+G904-H904</f>
        <v>1960</v>
      </c>
      <c r="J904" s="27"/>
      <c r="K904" s="18">
        <f t="shared" si="73"/>
        <v>29355</v>
      </c>
    </row>
    <row r="905" spans="2:11" x14ac:dyDescent="0.45">
      <c r="B905" s="19">
        <f t="shared" si="72"/>
        <v>8</v>
      </c>
      <c r="C905" s="10">
        <v>46263</v>
      </c>
      <c r="D905" s="78"/>
      <c r="E905" s="22"/>
      <c r="F905" s="23"/>
      <c r="G905" s="32">
        <v>1900</v>
      </c>
      <c r="H905" s="32">
        <v>0</v>
      </c>
      <c r="I905" s="52">
        <f t="shared" si="71"/>
        <v>1900</v>
      </c>
      <c r="J905" s="27"/>
      <c r="K905" s="18">
        <f t="shared" si="73"/>
        <v>29356</v>
      </c>
    </row>
    <row r="906" spans="2:11" x14ac:dyDescent="0.45">
      <c r="B906" s="19">
        <f t="shared" si="72"/>
        <v>9</v>
      </c>
      <c r="C906" s="10">
        <v>46263</v>
      </c>
      <c r="D906" s="78"/>
      <c r="E906" s="22"/>
      <c r="F906" s="23"/>
      <c r="G906" s="32">
        <v>1800</v>
      </c>
      <c r="H906" s="32">
        <v>300</v>
      </c>
      <c r="I906" s="52">
        <f t="shared" si="71"/>
        <v>1500</v>
      </c>
      <c r="J906" s="27"/>
      <c r="K906" s="18">
        <f t="shared" si="73"/>
        <v>29357</v>
      </c>
    </row>
    <row r="907" spans="2:11" x14ac:dyDescent="0.45">
      <c r="B907" s="19">
        <f t="shared" si="72"/>
        <v>10</v>
      </c>
      <c r="C907" s="10">
        <v>46263</v>
      </c>
      <c r="D907" s="78"/>
      <c r="E907" s="22"/>
      <c r="F907" s="23"/>
      <c r="G907" s="32">
        <v>13390</v>
      </c>
      <c r="H907" s="32">
        <v>4115</v>
      </c>
      <c r="I907" s="52">
        <f t="shared" si="71"/>
        <v>9275</v>
      </c>
      <c r="J907" s="27"/>
      <c r="K907" s="18">
        <f t="shared" si="73"/>
        <v>29358</v>
      </c>
    </row>
    <row r="908" spans="2:11" x14ac:dyDescent="0.45">
      <c r="B908" s="19">
        <f t="shared" si="72"/>
        <v>11</v>
      </c>
      <c r="C908" s="10">
        <v>46263</v>
      </c>
      <c r="D908" s="78"/>
      <c r="E908" s="22"/>
      <c r="F908" s="23"/>
      <c r="G908" s="32">
        <v>220</v>
      </c>
      <c r="H908" s="32">
        <v>0</v>
      </c>
      <c r="I908" s="52">
        <f t="shared" si="71"/>
        <v>220</v>
      </c>
      <c r="J908" s="27"/>
      <c r="K908" s="18">
        <f t="shared" si="73"/>
        <v>29359</v>
      </c>
    </row>
    <row r="909" spans="2:11" x14ac:dyDescent="0.45">
      <c r="B909" s="19">
        <f t="shared" si="72"/>
        <v>12</v>
      </c>
      <c r="C909" s="10">
        <v>46263</v>
      </c>
      <c r="D909" s="78"/>
      <c r="E909" s="22"/>
      <c r="F909" s="23"/>
      <c r="G909" s="32">
        <v>220</v>
      </c>
      <c r="H909" s="32">
        <v>0</v>
      </c>
      <c r="I909" s="52">
        <f t="shared" si="71"/>
        <v>220</v>
      </c>
      <c r="J909" s="27"/>
      <c r="K909" s="18">
        <f t="shared" si="73"/>
        <v>29360</v>
      </c>
    </row>
    <row r="910" spans="2:11" x14ac:dyDescent="0.45">
      <c r="B910" s="19">
        <f t="shared" si="72"/>
        <v>13</v>
      </c>
      <c r="C910" s="10">
        <v>46263</v>
      </c>
      <c r="D910" s="78"/>
      <c r="E910" s="22"/>
      <c r="F910" s="23"/>
      <c r="G910" s="32">
        <v>1900</v>
      </c>
      <c r="H910" s="32">
        <v>400</v>
      </c>
      <c r="I910" s="52">
        <f t="shared" si="71"/>
        <v>1500</v>
      </c>
      <c r="J910" s="27"/>
      <c r="K910" s="18">
        <f t="shared" si="73"/>
        <v>29361</v>
      </c>
    </row>
    <row r="911" spans="2:11" x14ac:dyDescent="0.45">
      <c r="B911" s="19">
        <f t="shared" si="72"/>
        <v>14</v>
      </c>
      <c r="C911" s="10">
        <v>46263</v>
      </c>
      <c r="D911" s="78"/>
      <c r="E911" s="22"/>
      <c r="F911" s="23"/>
      <c r="G911" s="32">
        <v>5600</v>
      </c>
      <c r="H911" s="32">
        <v>2800</v>
      </c>
      <c r="I911" s="52">
        <f t="shared" si="71"/>
        <v>2800</v>
      </c>
      <c r="J911" s="27"/>
      <c r="K911" s="18">
        <f t="shared" si="73"/>
        <v>29362</v>
      </c>
    </row>
    <row r="912" spans="2:11" x14ac:dyDescent="0.45">
      <c r="B912" s="19">
        <f t="shared" si="72"/>
        <v>15</v>
      </c>
      <c r="C912" s="10">
        <v>46263</v>
      </c>
      <c r="D912" s="78"/>
      <c r="E912" s="22"/>
      <c r="F912" s="23"/>
      <c r="G912" s="32">
        <v>10000</v>
      </c>
      <c r="H912" s="32">
        <v>5000</v>
      </c>
      <c r="I912" s="52">
        <f t="shared" si="71"/>
        <v>5000</v>
      </c>
      <c r="J912" s="27"/>
      <c r="K912" s="18">
        <f t="shared" si="73"/>
        <v>29363</v>
      </c>
    </row>
    <row r="913" spans="2:11" x14ac:dyDescent="0.45">
      <c r="B913" s="19">
        <f t="shared" si="72"/>
        <v>16</v>
      </c>
      <c r="C913" s="10">
        <v>46263</v>
      </c>
      <c r="D913" s="78"/>
      <c r="E913" s="22"/>
      <c r="F913" s="23"/>
      <c r="G913" s="32">
        <v>1700</v>
      </c>
      <c r="H913" s="32">
        <v>200</v>
      </c>
      <c r="I913" s="52">
        <f t="shared" si="71"/>
        <v>1500</v>
      </c>
      <c r="J913" s="27"/>
      <c r="K913" s="18">
        <f t="shared" si="73"/>
        <v>29364</v>
      </c>
    </row>
    <row r="914" spans="2:11" x14ac:dyDescent="0.45">
      <c r="B914" s="19">
        <f t="shared" si="72"/>
        <v>17</v>
      </c>
      <c r="C914" s="10">
        <v>46263</v>
      </c>
      <c r="D914" s="78"/>
      <c r="E914" s="22"/>
      <c r="F914" s="23"/>
      <c r="G914" s="32">
        <v>2000</v>
      </c>
      <c r="H914" s="32">
        <v>600</v>
      </c>
      <c r="I914" s="52">
        <f t="shared" si="71"/>
        <v>1400</v>
      </c>
      <c r="J914" s="27"/>
      <c r="K914" s="18">
        <f t="shared" si="73"/>
        <v>29365</v>
      </c>
    </row>
    <row r="915" spans="2:11" x14ac:dyDescent="0.45">
      <c r="B915" s="19">
        <f t="shared" si="72"/>
        <v>18</v>
      </c>
      <c r="C915" s="10">
        <v>46263</v>
      </c>
      <c r="D915" s="78"/>
      <c r="E915" s="22"/>
      <c r="F915" s="23"/>
      <c r="G915" s="32">
        <v>2500</v>
      </c>
      <c r="H915" s="32">
        <v>0</v>
      </c>
      <c r="I915" s="52">
        <f t="shared" si="71"/>
        <v>2500</v>
      </c>
      <c r="J915" s="27"/>
      <c r="K915" s="18">
        <f t="shared" si="73"/>
        <v>29366</v>
      </c>
    </row>
    <row r="916" spans="2:11" ht="14.65" thickBot="1" x14ac:dyDescent="0.5">
      <c r="F916" s="38" t="s">
        <v>26</v>
      </c>
      <c r="G916" s="39">
        <f>SUM(G898:G915)</f>
        <v>56570</v>
      </c>
      <c r="H916" s="39">
        <f>SUM(H898:H915)</f>
        <v>17325</v>
      </c>
      <c r="I916" s="39">
        <f>SUM(I898:I915)</f>
        <v>39245</v>
      </c>
      <c r="K916" s="41"/>
    </row>
    <row r="918" spans="2:11" ht="15.75" x14ac:dyDescent="0.5">
      <c r="D918" s="42" t="s">
        <v>28</v>
      </c>
      <c r="E918" s="42"/>
      <c r="F918" s="43" t="s">
        <v>29</v>
      </c>
      <c r="G918" s="44"/>
      <c r="H918" s="44"/>
      <c r="I918" s="45"/>
      <c r="J918" s="46"/>
    </row>
    <row r="919" spans="2:11" x14ac:dyDescent="0.45">
      <c r="D919" s="47" t="s">
        <v>30</v>
      </c>
      <c r="E919" s="47"/>
      <c r="F919" s="48">
        <v>13760</v>
      </c>
      <c r="G919" s="49"/>
      <c r="H919" s="49"/>
      <c r="I919" s="50"/>
      <c r="K919" s="51"/>
    </row>
    <row r="920" spans="2:11" x14ac:dyDescent="0.45">
      <c r="D920" s="47" t="s">
        <v>31</v>
      </c>
      <c r="E920" s="47"/>
      <c r="F920" s="52">
        <v>0</v>
      </c>
      <c r="G920" s="53"/>
      <c r="H920" s="53"/>
      <c r="I920" s="50"/>
    </row>
    <row r="921" spans="2:11" x14ac:dyDescent="0.45">
      <c r="D921" s="47" t="s">
        <v>32</v>
      </c>
      <c r="E921" s="47"/>
      <c r="F921" s="54">
        <v>11260</v>
      </c>
      <c r="G921" s="55"/>
      <c r="H921" s="55"/>
      <c r="J921" s="46"/>
    </row>
    <row r="922" spans="2:11" x14ac:dyDescent="0.45">
      <c r="D922" s="47" t="s">
        <v>33</v>
      </c>
      <c r="E922" s="47"/>
      <c r="F922" s="54">
        <v>4950</v>
      </c>
      <c r="G922" s="55"/>
      <c r="H922" s="55"/>
      <c r="I922" s="50"/>
    </row>
    <row r="923" spans="2:11" x14ac:dyDescent="0.45">
      <c r="D923" s="47" t="s">
        <v>34</v>
      </c>
      <c r="E923" s="47"/>
      <c r="F923" s="52">
        <v>9275</v>
      </c>
      <c r="G923" s="53"/>
      <c r="H923" s="53"/>
      <c r="I923" s="50"/>
    </row>
    <row r="924" spans="2:11" ht="15.75" thickBot="1" x14ac:dyDescent="0.65">
      <c r="D924" s="56" t="s">
        <v>35</v>
      </c>
      <c r="E924" s="56"/>
      <c r="F924" s="57">
        <f>SUM(F919:F923)</f>
        <v>39245</v>
      </c>
      <c r="G924" s="58">
        <f>+I916-F924</f>
        <v>0</v>
      </c>
      <c r="H924" s="58"/>
      <c r="I924" s="50"/>
    </row>
    <row r="925" spans="2:11" ht="15" thickTop="1" thickBot="1" x14ac:dyDescent="0.5"/>
    <row r="926" spans="2:11" ht="21.4" thickBot="1" x14ac:dyDescent="0.7">
      <c r="B926" s="1" t="s">
        <v>398</v>
      </c>
      <c r="C926" s="1"/>
      <c r="D926" s="2"/>
      <c r="E926" s="1"/>
      <c r="F926" s="1"/>
      <c r="G926" s="1"/>
      <c r="H926" s="1"/>
      <c r="I926" s="1"/>
      <c r="J926" s="1"/>
      <c r="K926" s="3"/>
    </row>
    <row r="927" spans="2:11" ht="24.4" thickBot="1" x14ac:dyDescent="0.55000000000000004">
      <c r="B927" s="4" t="s">
        <v>1</v>
      </c>
      <c r="C927" s="5" t="s">
        <v>2</v>
      </c>
      <c r="D927" s="5" t="s">
        <v>3</v>
      </c>
      <c r="E927" s="5" t="s">
        <v>4</v>
      </c>
      <c r="F927" s="6" t="s">
        <v>5</v>
      </c>
      <c r="G927" s="6" t="s">
        <v>6</v>
      </c>
      <c r="H927" s="6" t="s">
        <v>7</v>
      </c>
      <c r="I927" s="7" t="s">
        <v>8</v>
      </c>
      <c r="J927" s="5" t="s">
        <v>9</v>
      </c>
      <c r="K927" s="8" t="s">
        <v>10</v>
      </c>
    </row>
    <row r="928" spans="2:11" x14ac:dyDescent="0.45">
      <c r="B928" s="9">
        <v>1</v>
      </c>
      <c r="C928" s="10">
        <v>46265</v>
      </c>
      <c r="D928" s="11"/>
      <c r="E928" s="30"/>
      <c r="F928" s="31"/>
      <c r="G928" s="32">
        <v>2000</v>
      </c>
      <c r="H928" s="32">
        <v>0</v>
      </c>
      <c r="I928" s="68">
        <f>+G928-H928</f>
        <v>2000</v>
      </c>
      <c r="J928" s="17"/>
      <c r="K928" s="18">
        <v>29367</v>
      </c>
    </row>
    <row r="929" spans="2:11" x14ac:dyDescent="0.45">
      <c r="B929" s="19">
        <f>+B928+1</f>
        <v>2</v>
      </c>
      <c r="C929" s="10">
        <v>46265</v>
      </c>
      <c r="D929" s="78"/>
      <c r="E929" s="22"/>
      <c r="F929" s="23"/>
      <c r="G929" s="32">
        <v>1800</v>
      </c>
      <c r="H929" s="32">
        <v>0</v>
      </c>
      <c r="I929" s="52">
        <f t="shared" ref="I929:I932" si="74">+G929-H929</f>
        <v>1800</v>
      </c>
      <c r="J929" s="26"/>
      <c r="K929" s="18">
        <f>+K928+1</f>
        <v>29368</v>
      </c>
    </row>
    <row r="930" spans="2:11" x14ac:dyDescent="0.45">
      <c r="B930" s="19">
        <f t="shared" ref="B930:B943" si="75">+B929+1</f>
        <v>3</v>
      </c>
      <c r="C930" s="10">
        <v>46265</v>
      </c>
      <c r="D930" s="78"/>
      <c r="E930" s="22"/>
      <c r="F930" s="23"/>
      <c r="G930" s="32">
        <v>2800</v>
      </c>
      <c r="H930" s="32">
        <v>0</v>
      </c>
      <c r="I930" s="52">
        <f t="shared" si="74"/>
        <v>2800</v>
      </c>
      <c r="J930" s="26"/>
      <c r="K930" s="18">
        <f t="shared" ref="K930:K943" si="76">+K929+1</f>
        <v>29369</v>
      </c>
    </row>
    <row r="931" spans="2:11" x14ac:dyDescent="0.45">
      <c r="B931" s="19">
        <f t="shared" si="75"/>
        <v>4</v>
      </c>
      <c r="C931" s="10">
        <v>46265</v>
      </c>
      <c r="D931" s="78"/>
      <c r="E931" s="22"/>
      <c r="F931" s="23"/>
      <c r="G931" s="32">
        <v>10500</v>
      </c>
      <c r="H931" s="32">
        <v>4200</v>
      </c>
      <c r="I931" s="52">
        <f t="shared" si="74"/>
        <v>6300</v>
      </c>
      <c r="J931" s="27"/>
      <c r="K931" s="18">
        <f t="shared" si="76"/>
        <v>29370</v>
      </c>
    </row>
    <row r="932" spans="2:11" x14ac:dyDescent="0.45">
      <c r="B932" s="19">
        <f t="shared" si="75"/>
        <v>5</v>
      </c>
      <c r="C932" s="10">
        <v>46265</v>
      </c>
      <c r="D932" s="78"/>
      <c r="E932" s="22"/>
      <c r="F932" s="23"/>
      <c r="G932" s="32">
        <v>2500</v>
      </c>
      <c r="H932" s="32">
        <v>750</v>
      </c>
      <c r="I932" s="52">
        <f t="shared" si="74"/>
        <v>1750</v>
      </c>
      <c r="J932" s="28"/>
      <c r="K932" s="18">
        <f t="shared" si="76"/>
        <v>29371</v>
      </c>
    </row>
    <row r="933" spans="2:11" x14ac:dyDescent="0.45">
      <c r="B933" s="19">
        <f t="shared" si="75"/>
        <v>6</v>
      </c>
      <c r="C933" s="10">
        <v>46265</v>
      </c>
      <c r="D933" s="78"/>
      <c r="E933" s="22"/>
      <c r="F933" s="23"/>
      <c r="G933" s="32">
        <v>2200</v>
      </c>
      <c r="H933" s="32">
        <v>400</v>
      </c>
      <c r="I933" s="52">
        <f>+G933-H933</f>
        <v>1800</v>
      </c>
      <c r="J933" s="27"/>
      <c r="K933" s="18">
        <f t="shared" si="76"/>
        <v>29372</v>
      </c>
    </row>
    <row r="934" spans="2:11" x14ac:dyDescent="0.45">
      <c r="B934" s="19">
        <f t="shared" si="75"/>
        <v>7</v>
      </c>
      <c r="C934" s="10">
        <v>46265</v>
      </c>
      <c r="D934" s="78"/>
      <c r="E934" s="22"/>
      <c r="F934" s="23"/>
      <c r="G934" s="32">
        <v>14000</v>
      </c>
      <c r="H934" s="32">
        <v>4200</v>
      </c>
      <c r="I934" s="52">
        <f>+G934-H934</f>
        <v>9800</v>
      </c>
      <c r="J934" s="27"/>
      <c r="K934" s="18">
        <f t="shared" si="76"/>
        <v>29373</v>
      </c>
    </row>
    <row r="935" spans="2:11" x14ac:dyDescent="0.45">
      <c r="B935" s="19">
        <f t="shared" si="75"/>
        <v>8</v>
      </c>
      <c r="C935" s="10">
        <v>46265</v>
      </c>
      <c r="D935" s="78"/>
      <c r="E935" s="22"/>
      <c r="F935" s="23"/>
      <c r="G935" s="32">
        <v>3000</v>
      </c>
      <c r="H935" s="32">
        <v>900</v>
      </c>
      <c r="I935" s="52">
        <f t="shared" ref="I935:I943" si="77">+G935-H935</f>
        <v>2100</v>
      </c>
      <c r="J935" s="27"/>
      <c r="K935" s="18">
        <f t="shared" si="76"/>
        <v>29374</v>
      </c>
    </row>
    <row r="936" spans="2:11" x14ac:dyDescent="0.45">
      <c r="B936" s="19">
        <f t="shared" si="75"/>
        <v>9</v>
      </c>
      <c r="C936" s="10">
        <v>46265</v>
      </c>
      <c r="D936" s="78"/>
      <c r="E936" s="22"/>
      <c r="F936" s="23"/>
      <c r="G936" s="32">
        <v>2500</v>
      </c>
      <c r="H936" s="32">
        <v>1000</v>
      </c>
      <c r="I936" s="52">
        <f t="shared" si="77"/>
        <v>1500</v>
      </c>
      <c r="J936" s="27"/>
      <c r="K936" s="18">
        <f t="shared" si="76"/>
        <v>29375</v>
      </c>
    </row>
    <row r="937" spans="2:11" x14ac:dyDescent="0.45">
      <c r="B937" s="19">
        <f t="shared" si="75"/>
        <v>10</v>
      </c>
      <c r="C937" s="10">
        <v>46265</v>
      </c>
      <c r="D937" s="78"/>
      <c r="E937" s="22"/>
      <c r="F937" s="23"/>
      <c r="G937" s="32">
        <v>2500</v>
      </c>
      <c r="H937" s="32">
        <v>0</v>
      </c>
      <c r="I937" s="52">
        <f t="shared" si="77"/>
        <v>2500</v>
      </c>
      <c r="J937" s="27"/>
      <c r="K937" s="18">
        <f t="shared" si="76"/>
        <v>29376</v>
      </c>
    </row>
    <row r="938" spans="2:11" x14ac:dyDescent="0.45">
      <c r="B938" s="19">
        <f t="shared" si="75"/>
        <v>11</v>
      </c>
      <c r="C938" s="10">
        <v>46265</v>
      </c>
      <c r="D938" s="78"/>
      <c r="E938" s="22"/>
      <c r="F938" s="23"/>
      <c r="G938" s="32">
        <v>1900</v>
      </c>
      <c r="H938" s="32">
        <v>0</v>
      </c>
      <c r="I938" s="52">
        <f t="shared" si="77"/>
        <v>1900</v>
      </c>
      <c r="J938" s="27"/>
      <c r="K938" s="18">
        <f t="shared" si="76"/>
        <v>29377</v>
      </c>
    </row>
    <row r="939" spans="2:11" x14ac:dyDescent="0.45">
      <c r="B939" s="19">
        <f t="shared" si="75"/>
        <v>12</v>
      </c>
      <c r="C939" s="10">
        <v>46265</v>
      </c>
      <c r="D939" s="78"/>
      <c r="E939" s="22"/>
      <c r="F939" s="23"/>
      <c r="G939" s="32">
        <v>2500</v>
      </c>
      <c r="H939" s="32">
        <v>750</v>
      </c>
      <c r="I939" s="52">
        <f t="shared" si="77"/>
        <v>1750</v>
      </c>
      <c r="J939" s="27"/>
      <c r="K939" s="18">
        <f t="shared" si="76"/>
        <v>29378</v>
      </c>
    </row>
    <row r="940" spans="2:11" x14ac:dyDescent="0.45">
      <c r="B940" s="19">
        <f t="shared" si="75"/>
        <v>13</v>
      </c>
      <c r="C940" s="10">
        <v>46265</v>
      </c>
      <c r="D940" s="78"/>
      <c r="E940" s="22"/>
      <c r="F940" s="23"/>
      <c r="G940" s="32">
        <v>1700</v>
      </c>
      <c r="H940" s="32">
        <v>200</v>
      </c>
      <c r="I940" s="52">
        <f t="shared" si="77"/>
        <v>1500</v>
      </c>
      <c r="J940" s="27"/>
      <c r="K940" s="18">
        <f t="shared" si="76"/>
        <v>29379</v>
      </c>
    </row>
    <row r="941" spans="2:11" x14ac:dyDescent="0.45">
      <c r="B941" s="19">
        <f t="shared" si="75"/>
        <v>14</v>
      </c>
      <c r="C941" s="10">
        <v>46265</v>
      </c>
      <c r="D941" s="78"/>
      <c r="E941" s="22"/>
      <c r="F941" s="23"/>
      <c r="G941" s="32">
        <v>14000</v>
      </c>
      <c r="H941" s="32">
        <v>800</v>
      </c>
      <c r="I941" s="52">
        <f t="shared" si="77"/>
        <v>13200</v>
      </c>
      <c r="J941" s="27"/>
      <c r="K941" s="18">
        <f t="shared" si="76"/>
        <v>29380</v>
      </c>
    </row>
    <row r="942" spans="2:11" x14ac:dyDescent="0.45">
      <c r="B942" s="19">
        <f t="shared" si="75"/>
        <v>15</v>
      </c>
      <c r="C942" s="10">
        <v>46265</v>
      </c>
      <c r="D942" s="78"/>
      <c r="E942" s="22"/>
      <c r="F942" s="23"/>
      <c r="G942" s="32">
        <v>440</v>
      </c>
      <c r="H942" s="32">
        <v>0</v>
      </c>
      <c r="I942" s="52">
        <f t="shared" si="77"/>
        <v>440</v>
      </c>
      <c r="J942" s="27"/>
      <c r="K942" s="18">
        <f t="shared" si="76"/>
        <v>29381</v>
      </c>
    </row>
    <row r="943" spans="2:11" x14ac:dyDescent="0.45">
      <c r="B943" s="19">
        <f t="shared" si="75"/>
        <v>16</v>
      </c>
      <c r="C943" s="10">
        <v>46265</v>
      </c>
      <c r="D943" s="78"/>
      <c r="E943" s="22"/>
      <c r="F943" s="23"/>
      <c r="G943" s="32">
        <v>1700</v>
      </c>
      <c r="H943" s="32">
        <v>0</v>
      </c>
      <c r="I943" s="52">
        <f t="shared" si="77"/>
        <v>1700</v>
      </c>
      <c r="J943" s="27"/>
      <c r="K943" s="18">
        <f t="shared" si="76"/>
        <v>29382</v>
      </c>
    </row>
    <row r="944" spans="2:11" ht="14.65" thickBot="1" x14ac:dyDescent="0.5">
      <c r="F944" s="38" t="s">
        <v>26</v>
      </c>
      <c r="G944" s="39">
        <f>SUM(G928:G943)</f>
        <v>66040</v>
      </c>
      <c r="H944" s="39">
        <f>SUM(H928:H943)</f>
        <v>13200</v>
      </c>
      <c r="I944" s="39">
        <f>SUM(I928:I943)</f>
        <v>52840</v>
      </c>
      <c r="K944" s="41"/>
    </row>
    <row r="946" spans="4:11" ht="15.75" x14ac:dyDescent="0.5">
      <c r="D946" s="42" t="s">
        <v>28</v>
      </c>
      <c r="E946" s="42"/>
      <c r="F946" s="43" t="s">
        <v>29</v>
      </c>
      <c r="G946" s="44"/>
      <c r="H946" s="44"/>
      <c r="I946" s="45"/>
      <c r="J946" s="46"/>
    </row>
    <row r="947" spans="4:11" x14ac:dyDescent="0.45">
      <c r="D947" s="47" t="s">
        <v>30</v>
      </c>
      <c r="E947" s="47"/>
      <c r="F947" s="48">
        <v>13240</v>
      </c>
      <c r="G947" s="49"/>
      <c r="H947" s="49"/>
      <c r="I947" s="50"/>
      <c r="K947" s="51"/>
    </row>
    <row r="948" spans="4:11" x14ac:dyDescent="0.45">
      <c r="D948" s="47" t="s">
        <v>31</v>
      </c>
      <c r="E948" s="47"/>
      <c r="F948" s="52">
        <v>0</v>
      </c>
      <c r="G948" s="53"/>
      <c r="H948" s="53"/>
      <c r="I948" s="50"/>
    </row>
    <row r="949" spans="4:11" x14ac:dyDescent="0.45">
      <c r="D949" s="47" t="s">
        <v>32</v>
      </c>
      <c r="E949" s="47"/>
      <c r="F949" s="54">
        <v>26400</v>
      </c>
      <c r="G949" s="55"/>
      <c r="H949" s="55"/>
      <c r="J949" s="46"/>
    </row>
    <row r="950" spans="4:11" x14ac:dyDescent="0.45">
      <c r="D950" s="47" t="s">
        <v>33</v>
      </c>
      <c r="E950" s="47"/>
      <c r="F950" s="54">
        <v>13200</v>
      </c>
      <c r="G950" s="55"/>
      <c r="H950" s="55"/>
      <c r="I950" s="50"/>
    </row>
    <row r="951" spans="4:11" x14ac:dyDescent="0.45">
      <c r="D951" s="47" t="s">
        <v>34</v>
      </c>
      <c r="E951" s="47"/>
      <c r="F951" s="52">
        <v>0</v>
      </c>
      <c r="G951" s="53"/>
      <c r="H951" s="53"/>
      <c r="I951" s="50"/>
    </row>
    <row r="952" spans="4:11" ht="15.75" thickBot="1" x14ac:dyDescent="0.65">
      <c r="D952" s="56" t="s">
        <v>35</v>
      </c>
      <c r="E952" s="56"/>
      <c r="F952" s="57">
        <f>SUM(F947:F951)</f>
        <v>52840</v>
      </c>
      <c r="G952" s="58">
        <f>+I944-F952</f>
        <v>0</v>
      </c>
      <c r="H952" s="58"/>
      <c r="I952" s="50"/>
    </row>
    <row r="953" spans="4:11" ht="14.65" thickTop="1" x14ac:dyDescent="0.45"/>
    <row r="955" spans="4:11" x14ac:dyDescent="0.45">
      <c r="D955" t="s">
        <v>399</v>
      </c>
      <c r="E955" s="79" t="s">
        <v>400</v>
      </c>
      <c r="F955" s="79" t="s">
        <v>401</v>
      </c>
      <c r="G955" s="79" t="s">
        <v>402</v>
      </c>
      <c r="H955" s="79" t="s">
        <v>403</v>
      </c>
      <c r="I955" s="79" t="s">
        <v>404</v>
      </c>
    </row>
    <row r="956" spans="4:11" x14ac:dyDescent="0.45">
      <c r="D956" t="s">
        <v>405</v>
      </c>
      <c r="E956" s="80">
        <v>30000</v>
      </c>
      <c r="F956" s="80">
        <v>2529290</v>
      </c>
      <c r="G956" s="80">
        <v>516630</v>
      </c>
      <c r="H956" s="80">
        <f>+E956*0.15</f>
        <v>4500</v>
      </c>
      <c r="I956" s="80">
        <f>+E956+F956+H956-G956</f>
        <v>2047160</v>
      </c>
      <c r="J956" s="46"/>
    </row>
    <row r="957" spans="4:11" x14ac:dyDescent="0.45">
      <c r="F957" s="41"/>
      <c r="G957" s="41"/>
    </row>
  </sheetData>
  <autoFilter ref="B31:K69" xr:uid="{C6CF57C0-D98F-4D97-B24D-3F8BB57A22A8}"/>
  <mergeCells count="208">
    <mergeCell ref="D949:E949"/>
    <mergeCell ref="D950:E950"/>
    <mergeCell ref="D951:E951"/>
    <mergeCell ref="D952:E952"/>
    <mergeCell ref="D923:E923"/>
    <mergeCell ref="D924:E924"/>
    <mergeCell ref="B926:K926"/>
    <mergeCell ref="D946:E946"/>
    <mergeCell ref="D947:E947"/>
    <mergeCell ref="D948:E948"/>
    <mergeCell ref="B896:K896"/>
    <mergeCell ref="D918:E918"/>
    <mergeCell ref="D919:E919"/>
    <mergeCell ref="D920:E920"/>
    <mergeCell ref="D921:E921"/>
    <mergeCell ref="D922:E922"/>
    <mergeCell ref="D889:E889"/>
    <mergeCell ref="D890:E890"/>
    <mergeCell ref="D891:E891"/>
    <mergeCell ref="D892:E892"/>
    <mergeCell ref="D893:E893"/>
    <mergeCell ref="D894:E894"/>
    <mergeCell ref="D855:E855"/>
    <mergeCell ref="D856:E856"/>
    <mergeCell ref="D857:E857"/>
    <mergeCell ref="D858:E858"/>
    <mergeCell ref="B860:K860"/>
    <mergeCell ref="D888:E888"/>
    <mergeCell ref="D817:E817"/>
    <mergeCell ref="D818:E818"/>
    <mergeCell ref="B820:K820"/>
    <mergeCell ref="D852:E852"/>
    <mergeCell ref="D853:E853"/>
    <mergeCell ref="D854:E854"/>
    <mergeCell ref="B789:K789"/>
    <mergeCell ref="D812:E812"/>
    <mergeCell ref="D813:E813"/>
    <mergeCell ref="D814:E814"/>
    <mergeCell ref="D815:E815"/>
    <mergeCell ref="D816:E816"/>
    <mergeCell ref="D782:E782"/>
    <mergeCell ref="D783:E783"/>
    <mergeCell ref="D784:E784"/>
    <mergeCell ref="D785:E785"/>
    <mergeCell ref="D786:E786"/>
    <mergeCell ref="D787:E787"/>
    <mergeCell ref="D752:E752"/>
    <mergeCell ref="D753:E753"/>
    <mergeCell ref="D754:E754"/>
    <mergeCell ref="D755:E755"/>
    <mergeCell ref="B757:K757"/>
    <mergeCell ref="D781:E781"/>
    <mergeCell ref="D715:E715"/>
    <mergeCell ref="D716:E716"/>
    <mergeCell ref="B719:K719"/>
    <mergeCell ref="D749:E749"/>
    <mergeCell ref="D750:E750"/>
    <mergeCell ref="D751:E751"/>
    <mergeCell ref="B697:K697"/>
    <mergeCell ref="D710:E710"/>
    <mergeCell ref="D711:E711"/>
    <mergeCell ref="D712:E712"/>
    <mergeCell ref="D713:E713"/>
    <mergeCell ref="D714:E714"/>
    <mergeCell ref="D690:E690"/>
    <mergeCell ref="D691:E691"/>
    <mergeCell ref="D692:E692"/>
    <mergeCell ref="D693:E693"/>
    <mergeCell ref="D694:E694"/>
    <mergeCell ref="D695:E695"/>
    <mergeCell ref="D652:E652"/>
    <mergeCell ref="D653:E653"/>
    <mergeCell ref="D654:E654"/>
    <mergeCell ref="D655:E655"/>
    <mergeCell ref="B658:K658"/>
    <mergeCell ref="D689:E689"/>
    <mergeCell ref="D616:E616"/>
    <mergeCell ref="D617:E617"/>
    <mergeCell ref="B620:K620"/>
    <mergeCell ref="D649:E649"/>
    <mergeCell ref="D650:E650"/>
    <mergeCell ref="D651:E651"/>
    <mergeCell ref="B576:K576"/>
    <mergeCell ref="D611:E611"/>
    <mergeCell ref="D612:E612"/>
    <mergeCell ref="D613:E613"/>
    <mergeCell ref="D614:E614"/>
    <mergeCell ref="D615:E615"/>
    <mergeCell ref="D568:E568"/>
    <mergeCell ref="D569:E569"/>
    <mergeCell ref="D570:E570"/>
    <mergeCell ref="D571:E571"/>
    <mergeCell ref="D572:E572"/>
    <mergeCell ref="D573:E573"/>
    <mergeCell ref="D533:E533"/>
    <mergeCell ref="D534:E534"/>
    <mergeCell ref="D535:E535"/>
    <mergeCell ref="D536:E536"/>
    <mergeCell ref="B538:K538"/>
    <mergeCell ref="D567:E567"/>
    <mergeCell ref="D497:E497"/>
    <mergeCell ref="D498:E498"/>
    <mergeCell ref="B501:K501"/>
    <mergeCell ref="D530:E530"/>
    <mergeCell ref="D531:E531"/>
    <mergeCell ref="D532:E532"/>
    <mergeCell ref="B480:K480"/>
    <mergeCell ref="D492:E492"/>
    <mergeCell ref="D493:E493"/>
    <mergeCell ref="D494:E494"/>
    <mergeCell ref="D495:E495"/>
    <mergeCell ref="D496:E496"/>
    <mergeCell ref="D473:E473"/>
    <mergeCell ref="D474:E474"/>
    <mergeCell ref="D475:E475"/>
    <mergeCell ref="D476:E476"/>
    <mergeCell ref="D477:E477"/>
    <mergeCell ref="D478:E478"/>
    <mergeCell ref="D441:E441"/>
    <mergeCell ref="D442:E442"/>
    <mergeCell ref="D443:E443"/>
    <mergeCell ref="D444:E444"/>
    <mergeCell ref="B447:K447"/>
    <mergeCell ref="D472:E472"/>
    <mergeCell ref="D392:E392"/>
    <mergeCell ref="D393:E393"/>
    <mergeCell ref="B396:K396"/>
    <mergeCell ref="D438:E438"/>
    <mergeCell ref="D439:E439"/>
    <mergeCell ref="D440:E440"/>
    <mergeCell ref="B364:K364"/>
    <mergeCell ref="D387:E387"/>
    <mergeCell ref="D388:E388"/>
    <mergeCell ref="D389:E389"/>
    <mergeCell ref="D390:E390"/>
    <mergeCell ref="D391:E391"/>
    <mergeCell ref="D357:E357"/>
    <mergeCell ref="D358:E358"/>
    <mergeCell ref="D359:E359"/>
    <mergeCell ref="D360:E360"/>
    <mergeCell ref="D361:E361"/>
    <mergeCell ref="D362:E362"/>
    <mergeCell ref="D315:E315"/>
    <mergeCell ref="D316:E316"/>
    <mergeCell ref="D317:E317"/>
    <mergeCell ref="D318:E318"/>
    <mergeCell ref="B320:K320"/>
    <mergeCell ref="D356:E356"/>
    <mergeCell ref="D271:E271"/>
    <mergeCell ref="D272:E272"/>
    <mergeCell ref="B275:K275"/>
    <mergeCell ref="D312:E312"/>
    <mergeCell ref="D313:E313"/>
    <mergeCell ref="D314:E314"/>
    <mergeCell ref="B256:K256"/>
    <mergeCell ref="D266:E266"/>
    <mergeCell ref="D267:E267"/>
    <mergeCell ref="D268:E268"/>
    <mergeCell ref="D269:E269"/>
    <mergeCell ref="D270:E270"/>
    <mergeCell ref="D249:E249"/>
    <mergeCell ref="D250:E250"/>
    <mergeCell ref="D251:E251"/>
    <mergeCell ref="D252:E252"/>
    <mergeCell ref="D253:E253"/>
    <mergeCell ref="D254:E254"/>
    <mergeCell ref="D208:E208"/>
    <mergeCell ref="D209:E209"/>
    <mergeCell ref="D210:E210"/>
    <mergeCell ref="D211:E211"/>
    <mergeCell ref="B214:K214"/>
    <mergeCell ref="D248:E248"/>
    <mergeCell ref="D167:E167"/>
    <mergeCell ref="D168:E168"/>
    <mergeCell ref="B170:K170"/>
    <mergeCell ref="D205:E205"/>
    <mergeCell ref="D206:E206"/>
    <mergeCell ref="D207:E207"/>
    <mergeCell ref="B116:K116"/>
    <mergeCell ref="D162:E162"/>
    <mergeCell ref="D163:E163"/>
    <mergeCell ref="D164:E164"/>
    <mergeCell ref="D165:E165"/>
    <mergeCell ref="D166:E166"/>
    <mergeCell ref="D109:E109"/>
    <mergeCell ref="D110:E110"/>
    <mergeCell ref="D111:E111"/>
    <mergeCell ref="D112:E112"/>
    <mergeCell ref="D113:E113"/>
    <mergeCell ref="D114:E114"/>
    <mergeCell ref="D74:E74"/>
    <mergeCell ref="D75:E75"/>
    <mergeCell ref="D76:E76"/>
    <mergeCell ref="D77:E77"/>
    <mergeCell ref="B80:K80"/>
    <mergeCell ref="D108:E108"/>
    <mergeCell ref="D25:E25"/>
    <mergeCell ref="D26:E26"/>
    <mergeCell ref="B30:K30"/>
    <mergeCell ref="D71:E71"/>
    <mergeCell ref="D72:E72"/>
    <mergeCell ref="D73:E73"/>
    <mergeCell ref="B2:K2"/>
    <mergeCell ref="D20:E20"/>
    <mergeCell ref="D21:E21"/>
    <mergeCell ref="D22:E22"/>
    <mergeCell ref="D23:E23"/>
    <mergeCell ref="D24:E24"/>
  </mergeCells>
  <pageMargins left="0.11811023622047245" right="0.11811023622047245" top="0.74803149606299213" bottom="0.74803149606299213" header="0.31496062992125984" footer="0.31496062992125984"/>
  <pageSetup scale="9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50FAD-F80A-4FEF-B211-126EA98FED9D}">
  <dimension ref="B2:K636"/>
  <sheetViews>
    <sheetView topLeftCell="B1" workbookViewId="0">
      <selection activeCell="G632" sqref="G632"/>
    </sheetView>
  </sheetViews>
  <sheetFormatPr defaultColWidth="11.3984375" defaultRowHeight="14.25" x14ac:dyDescent="0.45"/>
  <cols>
    <col min="1" max="1" width="3.73046875" customWidth="1"/>
    <col min="2" max="2" width="6.33203125" customWidth="1"/>
    <col min="3" max="3" width="9.3984375" customWidth="1"/>
    <col min="4" max="4" width="21.9296875" customWidth="1"/>
    <col min="5" max="5" width="36.86328125" customWidth="1"/>
    <col min="6" max="10" width="13.33203125" customWidth="1"/>
    <col min="11" max="11" width="25.265625" customWidth="1"/>
    <col min="12" max="12" width="13.46484375" customWidth="1"/>
  </cols>
  <sheetData>
    <row r="2" spans="2:11" ht="21" x14ac:dyDescent="0.65">
      <c r="B2" s="81" t="s">
        <v>0</v>
      </c>
      <c r="C2" s="81"/>
      <c r="D2" s="81"/>
      <c r="E2" s="81"/>
      <c r="F2" s="81"/>
      <c r="G2" s="81"/>
      <c r="H2" s="81"/>
      <c r="I2" s="81"/>
      <c r="J2" s="81"/>
      <c r="K2" s="81"/>
    </row>
    <row r="3" spans="2:11" ht="24" customHeight="1" x14ac:dyDescent="0.45">
      <c r="B3" s="82" t="s">
        <v>1</v>
      </c>
      <c r="C3" s="64" t="s">
        <v>2</v>
      </c>
      <c r="D3" s="64" t="s">
        <v>406</v>
      </c>
      <c r="E3" s="64" t="s">
        <v>3</v>
      </c>
      <c r="F3" s="64" t="s">
        <v>400</v>
      </c>
      <c r="G3" s="83" t="s">
        <v>401</v>
      </c>
      <c r="H3" s="83" t="s">
        <v>7</v>
      </c>
      <c r="I3" s="83" t="s">
        <v>403</v>
      </c>
      <c r="J3" s="84" t="s">
        <v>8</v>
      </c>
      <c r="K3" s="64" t="s">
        <v>9</v>
      </c>
    </row>
    <row r="4" spans="2:11" x14ac:dyDescent="0.45">
      <c r="B4" s="85">
        <v>1</v>
      </c>
      <c r="C4" s="86">
        <v>46235</v>
      </c>
      <c r="D4" s="86" t="s">
        <v>407</v>
      </c>
      <c r="E4" s="11" t="s">
        <v>11</v>
      </c>
      <c r="F4" s="87">
        <v>0</v>
      </c>
      <c r="G4" s="14">
        <v>1700</v>
      </c>
      <c r="H4" s="14">
        <v>200</v>
      </c>
      <c r="I4" s="14">
        <v>0</v>
      </c>
      <c r="J4" s="88">
        <f>+G4-H4</f>
        <v>1500</v>
      </c>
      <c r="K4" s="89"/>
    </row>
    <row r="5" spans="2:11" x14ac:dyDescent="0.45">
      <c r="B5" s="85">
        <v>2</v>
      </c>
      <c r="C5" s="86">
        <v>46235</v>
      </c>
      <c r="D5" s="86" t="s">
        <v>408</v>
      </c>
      <c r="E5" s="11" t="s">
        <v>12</v>
      </c>
      <c r="F5" s="87">
        <v>0</v>
      </c>
      <c r="G5" s="14">
        <v>1100</v>
      </c>
      <c r="H5" s="14">
        <v>0</v>
      </c>
      <c r="I5" s="14">
        <v>0</v>
      </c>
      <c r="J5" s="88">
        <f t="shared" ref="J5:J17" si="0">+G5-H5</f>
        <v>1100</v>
      </c>
      <c r="K5" s="90"/>
    </row>
    <row r="6" spans="2:11" x14ac:dyDescent="0.45">
      <c r="B6" s="85">
        <v>4</v>
      </c>
      <c r="C6" s="86">
        <v>46235</v>
      </c>
      <c r="D6" s="86" t="s">
        <v>409</v>
      </c>
      <c r="E6" s="11" t="s">
        <v>13</v>
      </c>
      <c r="F6" s="87">
        <v>0</v>
      </c>
      <c r="G6" s="14">
        <v>1900</v>
      </c>
      <c r="H6" s="14">
        <v>570</v>
      </c>
      <c r="I6" s="14">
        <v>0</v>
      </c>
      <c r="J6" s="88">
        <f t="shared" si="0"/>
        <v>1330</v>
      </c>
      <c r="K6" s="90"/>
    </row>
    <row r="7" spans="2:11" x14ac:dyDescent="0.45">
      <c r="B7" s="85">
        <v>5</v>
      </c>
      <c r="C7" s="86">
        <v>46235</v>
      </c>
      <c r="D7" s="86" t="s">
        <v>410</v>
      </c>
      <c r="E7" s="11" t="s">
        <v>14</v>
      </c>
      <c r="F7" s="87">
        <v>0</v>
      </c>
      <c r="G7" s="14">
        <v>440</v>
      </c>
      <c r="H7" s="14">
        <v>0</v>
      </c>
      <c r="I7" s="14">
        <v>0</v>
      </c>
      <c r="J7" s="88">
        <f t="shared" si="0"/>
        <v>440</v>
      </c>
      <c r="K7" s="91"/>
    </row>
    <row r="8" spans="2:11" x14ac:dyDescent="0.45">
      <c r="B8" s="85">
        <v>6</v>
      </c>
      <c r="C8" s="86">
        <v>46235</v>
      </c>
      <c r="D8" s="86" t="s">
        <v>411</v>
      </c>
      <c r="E8" s="11" t="s">
        <v>15</v>
      </c>
      <c r="F8" s="87">
        <v>0</v>
      </c>
      <c r="G8" s="14">
        <v>1900</v>
      </c>
      <c r="H8" s="14">
        <v>570</v>
      </c>
      <c r="I8" s="14">
        <v>0</v>
      </c>
      <c r="J8" s="88">
        <f t="shared" si="0"/>
        <v>1330</v>
      </c>
      <c r="K8" s="89"/>
    </row>
    <row r="9" spans="2:11" x14ac:dyDescent="0.45">
      <c r="B9" s="85">
        <v>7</v>
      </c>
      <c r="C9" s="86">
        <v>46235</v>
      </c>
      <c r="D9" s="86" t="s">
        <v>412</v>
      </c>
      <c r="E9" s="11" t="s">
        <v>17</v>
      </c>
      <c r="F9" s="87">
        <v>0</v>
      </c>
      <c r="G9" s="14">
        <v>220</v>
      </c>
      <c r="H9" s="14">
        <v>0</v>
      </c>
      <c r="I9" s="14">
        <v>0</v>
      </c>
      <c r="J9" s="88">
        <f t="shared" si="0"/>
        <v>220</v>
      </c>
      <c r="K9" s="91"/>
    </row>
    <row r="10" spans="2:11" x14ac:dyDescent="0.45">
      <c r="B10" s="85">
        <v>8</v>
      </c>
      <c r="C10" s="86">
        <v>46235</v>
      </c>
      <c r="D10" s="86" t="s">
        <v>413</v>
      </c>
      <c r="E10" s="11" t="s">
        <v>18</v>
      </c>
      <c r="F10" s="87">
        <v>0</v>
      </c>
      <c r="G10" s="14">
        <v>220</v>
      </c>
      <c r="H10" s="14">
        <v>0</v>
      </c>
      <c r="I10" s="14">
        <v>0</v>
      </c>
      <c r="J10" s="88">
        <f t="shared" si="0"/>
        <v>220</v>
      </c>
      <c r="K10" s="91"/>
    </row>
    <row r="11" spans="2:11" x14ac:dyDescent="0.45">
      <c r="B11" s="85">
        <v>9</v>
      </c>
      <c r="C11" s="86">
        <v>46235</v>
      </c>
      <c r="D11" s="86" t="s">
        <v>414</v>
      </c>
      <c r="E11" s="11" t="s">
        <v>19</v>
      </c>
      <c r="F11" s="87">
        <v>0</v>
      </c>
      <c r="G11" s="14">
        <v>220</v>
      </c>
      <c r="H11" s="14">
        <v>0</v>
      </c>
      <c r="I11" s="14">
        <v>0</v>
      </c>
      <c r="J11" s="88">
        <f t="shared" si="0"/>
        <v>220</v>
      </c>
      <c r="K11" s="91"/>
    </row>
    <row r="12" spans="2:11" x14ac:dyDescent="0.45">
      <c r="B12" s="92">
        <v>10</v>
      </c>
      <c r="C12" s="86">
        <v>46235</v>
      </c>
      <c r="D12" s="86" t="s">
        <v>415</v>
      </c>
      <c r="E12" s="11" t="s">
        <v>20</v>
      </c>
      <c r="F12" s="87">
        <v>0</v>
      </c>
      <c r="G12" s="14">
        <v>1900</v>
      </c>
      <c r="H12" s="14">
        <v>200</v>
      </c>
      <c r="I12" s="14">
        <v>0</v>
      </c>
      <c r="J12" s="88">
        <f t="shared" si="0"/>
        <v>1700</v>
      </c>
      <c r="K12" s="91"/>
    </row>
    <row r="13" spans="2:11" x14ac:dyDescent="0.45">
      <c r="B13" s="85">
        <v>11</v>
      </c>
      <c r="C13" s="86">
        <v>46235</v>
      </c>
      <c r="D13" s="86" t="s">
        <v>416</v>
      </c>
      <c r="E13" s="11" t="s">
        <v>21</v>
      </c>
      <c r="F13" s="87">
        <v>0</v>
      </c>
      <c r="G13" s="14">
        <v>3900</v>
      </c>
      <c r="H13" s="14">
        <v>1570</v>
      </c>
      <c r="I13" s="14">
        <v>0</v>
      </c>
      <c r="J13" s="88">
        <f t="shared" si="0"/>
        <v>2330</v>
      </c>
      <c r="K13" s="91"/>
    </row>
    <row r="14" spans="2:11" x14ac:dyDescent="0.45">
      <c r="B14" s="85">
        <v>12</v>
      </c>
      <c r="C14" s="86">
        <v>46235</v>
      </c>
      <c r="D14" s="86" t="s">
        <v>417</v>
      </c>
      <c r="E14" s="11" t="s">
        <v>22</v>
      </c>
      <c r="F14" s="87">
        <v>0</v>
      </c>
      <c r="G14" s="93">
        <v>2300</v>
      </c>
      <c r="H14" s="93">
        <v>690</v>
      </c>
      <c r="I14" s="14">
        <v>0</v>
      </c>
      <c r="J14" s="88">
        <f t="shared" si="0"/>
        <v>1610</v>
      </c>
      <c r="K14" s="89"/>
    </row>
    <row r="15" spans="2:11" x14ac:dyDescent="0.45">
      <c r="B15" s="85">
        <v>13</v>
      </c>
      <c r="C15" s="86">
        <v>46235</v>
      </c>
      <c r="D15" s="86" t="s">
        <v>418</v>
      </c>
      <c r="E15" s="11" t="s">
        <v>23</v>
      </c>
      <c r="F15" s="87">
        <v>0</v>
      </c>
      <c r="G15" s="94">
        <v>2300</v>
      </c>
      <c r="H15" s="94">
        <v>0</v>
      </c>
      <c r="I15" s="14">
        <v>0</v>
      </c>
      <c r="J15" s="88">
        <f t="shared" si="0"/>
        <v>2300</v>
      </c>
      <c r="K15" s="91"/>
    </row>
    <row r="16" spans="2:11" x14ac:dyDescent="0.45">
      <c r="B16" s="85">
        <v>14</v>
      </c>
      <c r="C16" s="86">
        <v>46235</v>
      </c>
      <c r="D16" s="86" t="s">
        <v>419</v>
      </c>
      <c r="E16" s="11" t="s">
        <v>24</v>
      </c>
      <c r="F16" s="87">
        <v>0</v>
      </c>
      <c r="G16" s="14">
        <v>2170</v>
      </c>
      <c r="H16" s="14">
        <v>350</v>
      </c>
      <c r="I16" s="14">
        <v>0</v>
      </c>
      <c r="J16" s="88">
        <v>1820</v>
      </c>
      <c r="K16" s="91"/>
    </row>
    <row r="17" spans="2:11" x14ac:dyDescent="0.45">
      <c r="B17" s="85">
        <v>15</v>
      </c>
      <c r="C17" s="86">
        <v>46235</v>
      </c>
      <c r="D17" s="86" t="s">
        <v>420</v>
      </c>
      <c r="E17" s="11" t="s">
        <v>25</v>
      </c>
      <c r="F17" s="87">
        <v>0</v>
      </c>
      <c r="G17" s="93">
        <v>220</v>
      </c>
      <c r="H17" s="93">
        <v>0</v>
      </c>
      <c r="I17" s="14">
        <v>0</v>
      </c>
      <c r="J17" s="88">
        <f t="shared" si="0"/>
        <v>220</v>
      </c>
      <c r="K17" s="95"/>
    </row>
    <row r="18" spans="2:11" x14ac:dyDescent="0.45">
      <c r="B18" s="85">
        <v>1</v>
      </c>
      <c r="C18" s="86">
        <v>46237</v>
      </c>
      <c r="D18" s="86" t="s">
        <v>421</v>
      </c>
      <c r="E18" s="11" t="s">
        <v>37</v>
      </c>
      <c r="F18" s="87">
        <v>0</v>
      </c>
      <c r="G18" s="14">
        <v>5000</v>
      </c>
      <c r="H18" s="14">
        <v>1000</v>
      </c>
      <c r="I18" s="14">
        <v>0</v>
      </c>
      <c r="J18" s="88">
        <f>+G18-H18</f>
        <v>4000</v>
      </c>
      <c r="K18" s="89"/>
    </row>
    <row r="19" spans="2:11" x14ac:dyDescent="0.45">
      <c r="B19" s="85">
        <f>+B18+1</f>
        <v>2</v>
      </c>
      <c r="C19" s="86">
        <v>46237</v>
      </c>
      <c r="D19" s="86" t="s">
        <v>422</v>
      </c>
      <c r="E19" s="11" t="s">
        <v>38</v>
      </c>
      <c r="F19" s="87">
        <v>0</v>
      </c>
      <c r="G19" s="14">
        <v>13200</v>
      </c>
      <c r="H19" s="14">
        <v>0</v>
      </c>
      <c r="I19" s="14">
        <v>0</v>
      </c>
      <c r="J19" s="88">
        <f t="shared" ref="J19:J54" si="1">+G19-H19</f>
        <v>13200</v>
      </c>
      <c r="K19" s="90"/>
    </row>
    <row r="20" spans="2:11" x14ac:dyDescent="0.45">
      <c r="B20" s="85">
        <f t="shared" ref="B20:B54" si="2">+B19+1</f>
        <v>3</v>
      </c>
      <c r="C20" s="86">
        <v>46237</v>
      </c>
      <c r="D20" s="86" t="s">
        <v>423</v>
      </c>
      <c r="E20" s="11" t="s">
        <v>39</v>
      </c>
      <c r="F20" s="87">
        <v>0</v>
      </c>
      <c r="G20" s="14">
        <v>5500</v>
      </c>
      <c r="H20" s="14">
        <v>1650</v>
      </c>
      <c r="I20" s="14">
        <v>0</v>
      </c>
      <c r="J20" s="88">
        <f t="shared" si="1"/>
        <v>3850</v>
      </c>
      <c r="K20" s="90"/>
    </row>
    <row r="21" spans="2:11" x14ac:dyDescent="0.45">
      <c r="B21" s="85">
        <f t="shared" si="2"/>
        <v>4</v>
      </c>
      <c r="C21" s="86">
        <v>46237</v>
      </c>
      <c r="D21" s="86" t="s">
        <v>424</v>
      </c>
      <c r="E21" s="11" t="s">
        <v>40</v>
      </c>
      <c r="F21" s="87">
        <v>0</v>
      </c>
      <c r="G21" s="14">
        <v>2800</v>
      </c>
      <c r="H21" s="14">
        <v>0</v>
      </c>
      <c r="I21" s="14">
        <v>0</v>
      </c>
      <c r="J21" s="88">
        <f t="shared" si="1"/>
        <v>2800</v>
      </c>
      <c r="K21" s="91"/>
    </row>
    <row r="22" spans="2:11" x14ac:dyDescent="0.45">
      <c r="B22" s="85">
        <f t="shared" si="2"/>
        <v>5</v>
      </c>
      <c r="C22" s="86">
        <v>46237</v>
      </c>
      <c r="D22" s="86" t="s">
        <v>425</v>
      </c>
      <c r="E22" s="11" t="s">
        <v>41</v>
      </c>
      <c r="F22" s="87">
        <v>0</v>
      </c>
      <c r="G22" s="14">
        <v>1800</v>
      </c>
      <c r="H22" s="14">
        <v>200</v>
      </c>
      <c r="I22" s="14">
        <v>0</v>
      </c>
      <c r="J22" s="88">
        <f t="shared" si="1"/>
        <v>1600</v>
      </c>
      <c r="K22" s="89"/>
    </row>
    <row r="23" spans="2:11" x14ac:dyDescent="0.45">
      <c r="B23" s="85">
        <f t="shared" si="2"/>
        <v>6</v>
      </c>
      <c r="C23" s="86">
        <v>46237</v>
      </c>
      <c r="D23" s="86" t="s">
        <v>426</v>
      </c>
      <c r="E23" s="11" t="s">
        <v>42</v>
      </c>
      <c r="F23" s="87">
        <v>0</v>
      </c>
      <c r="G23" s="14">
        <v>6500</v>
      </c>
      <c r="H23" s="14">
        <v>3070</v>
      </c>
      <c r="I23" s="14">
        <v>0</v>
      </c>
      <c r="J23" s="88">
        <f t="shared" si="1"/>
        <v>3430</v>
      </c>
      <c r="K23" s="91"/>
    </row>
    <row r="24" spans="2:11" x14ac:dyDescent="0.45">
      <c r="B24" s="85">
        <f t="shared" si="2"/>
        <v>7</v>
      </c>
      <c r="C24" s="86">
        <v>46237</v>
      </c>
      <c r="D24" s="86" t="s">
        <v>427</v>
      </c>
      <c r="E24" s="11" t="s">
        <v>43</v>
      </c>
      <c r="F24" s="87">
        <v>0</v>
      </c>
      <c r="G24" s="14">
        <v>2000</v>
      </c>
      <c r="H24" s="14">
        <v>1300</v>
      </c>
      <c r="I24" s="14">
        <v>0</v>
      </c>
      <c r="J24" s="88">
        <f t="shared" si="1"/>
        <v>700</v>
      </c>
      <c r="K24" s="91"/>
    </row>
    <row r="25" spans="2:11" x14ac:dyDescent="0.45">
      <c r="B25" s="85">
        <f t="shared" si="2"/>
        <v>8</v>
      </c>
      <c r="C25" s="86">
        <v>46237</v>
      </c>
      <c r="D25" s="86" t="s">
        <v>428</v>
      </c>
      <c r="E25" s="11" t="s">
        <v>44</v>
      </c>
      <c r="F25" s="87">
        <v>0</v>
      </c>
      <c r="G25" s="14">
        <v>2800</v>
      </c>
      <c r="H25" s="14">
        <v>500</v>
      </c>
      <c r="I25" s="14">
        <v>0</v>
      </c>
      <c r="J25" s="88">
        <f t="shared" si="1"/>
        <v>2300</v>
      </c>
      <c r="K25" s="91"/>
    </row>
    <row r="26" spans="2:11" x14ac:dyDescent="0.45">
      <c r="B26" s="85">
        <f t="shared" si="2"/>
        <v>9</v>
      </c>
      <c r="C26" s="86">
        <v>46237</v>
      </c>
      <c r="D26" s="86" t="s">
        <v>429</v>
      </c>
      <c r="E26" s="11" t="s">
        <v>45</v>
      </c>
      <c r="F26" s="87">
        <v>0</v>
      </c>
      <c r="G26" s="14">
        <v>31500</v>
      </c>
      <c r="H26" s="14">
        <v>9450</v>
      </c>
      <c r="I26" s="14">
        <v>0</v>
      </c>
      <c r="J26" s="88">
        <f t="shared" si="1"/>
        <v>22050</v>
      </c>
      <c r="K26" s="91"/>
    </row>
    <row r="27" spans="2:11" x14ac:dyDescent="0.45">
      <c r="B27" s="85">
        <f t="shared" si="2"/>
        <v>10</v>
      </c>
      <c r="C27" s="86">
        <v>46237</v>
      </c>
      <c r="D27" s="86" t="s">
        <v>430</v>
      </c>
      <c r="E27" s="11" t="s">
        <v>46</v>
      </c>
      <c r="F27" s="87">
        <v>0</v>
      </c>
      <c r="G27" s="14">
        <f>4900*2</f>
        <v>9800</v>
      </c>
      <c r="H27" s="14">
        <v>3800</v>
      </c>
      <c r="I27" s="14">
        <v>0</v>
      </c>
      <c r="J27" s="88">
        <f t="shared" si="1"/>
        <v>6000</v>
      </c>
      <c r="K27" s="91"/>
    </row>
    <row r="28" spans="2:11" x14ac:dyDescent="0.45">
      <c r="B28" s="85">
        <f t="shared" si="2"/>
        <v>11</v>
      </c>
      <c r="C28" s="86">
        <v>46237</v>
      </c>
      <c r="D28" s="86" t="s">
        <v>431</v>
      </c>
      <c r="E28" s="11" t="s">
        <v>47</v>
      </c>
      <c r="F28" s="87">
        <v>0</v>
      </c>
      <c r="G28" s="93">
        <v>1900</v>
      </c>
      <c r="H28" s="93">
        <v>760</v>
      </c>
      <c r="I28" s="14">
        <v>0</v>
      </c>
      <c r="J28" s="88">
        <f t="shared" si="1"/>
        <v>1140</v>
      </c>
      <c r="K28" s="89"/>
    </row>
    <row r="29" spans="2:11" x14ac:dyDescent="0.45">
      <c r="B29" s="85">
        <f t="shared" si="2"/>
        <v>12</v>
      </c>
      <c r="C29" s="86">
        <v>46237</v>
      </c>
      <c r="D29" s="86" t="s">
        <v>432</v>
      </c>
      <c r="E29" s="11" t="s">
        <v>48</v>
      </c>
      <c r="F29" s="87">
        <v>0</v>
      </c>
      <c r="G29" s="94">
        <v>2240</v>
      </c>
      <c r="H29" s="94">
        <v>300</v>
      </c>
      <c r="I29" s="14">
        <v>0</v>
      </c>
      <c r="J29" s="88">
        <f t="shared" si="1"/>
        <v>1940</v>
      </c>
      <c r="K29" s="91"/>
    </row>
    <row r="30" spans="2:11" x14ac:dyDescent="0.45">
      <c r="B30" s="85">
        <f t="shared" si="2"/>
        <v>13</v>
      </c>
      <c r="C30" s="86">
        <v>46237</v>
      </c>
      <c r="D30" s="86" t="s">
        <v>433</v>
      </c>
      <c r="E30" s="11" t="s">
        <v>49</v>
      </c>
      <c r="F30" s="87">
        <v>0</v>
      </c>
      <c r="G30" s="94">
        <v>440</v>
      </c>
      <c r="H30" s="94">
        <v>0</v>
      </c>
      <c r="I30" s="14">
        <v>0</v>
      </c>
      <c r="J30" s="88">
        <f t="shared" si="1"/>
        <v>440</v>
      </c>
      <c r="K30" s="91"/>
    </row>
    <row r="31" spans="2:11" x14ac:dyDescent="0.45">
      <c r="B31" s="85">
        <f t="shared" si="2"/>
        <v>14</v>
      </c>
      <c r="C31" s="86">
        <v>46237</v>
      </c>
      <c r="D31" s="86" t="s">
        <v>434</v>
      </c>
      <c r="E31" s="11" t="s">
        <v>50</v>
      </c>
      <c r="F31" s="87">
        <v>0</v>
      </c>
      <c r="G31" s="94">
        <v>660</v>
      </c>
      <c r="H31" s="94">
        <v>0</v>
      </c>
      <c r="I31" s="14">
        <v>0</v>
      </c>
      <c r="J31" s="88">
        <f t="shared" si="1"/>
        <v>660</v>
      </c>
      <c r="K31" s="91"/>
    </row>
    <row r="32" spans="2:11" x14ac:dyDescent="0.45">
      <c r="B32" s="85">
        <f t="shared" si="2"/>
        <v>15</v>
      </c>
      <c r="C32" s="86">
        <v>46237</v>
      </c>
      <c r="D32" s="86" t="s">
        <v>435</v>
      </c>
      <c r="E32" s="11" t="s">
        <v>51</v>
      </c>
      <c r="F32" s="87">
        <v>0</v>
      </c>
      <c r="G32" s="94">
        <v>100</v>
      </c>
      <c r="H32" s="94">
        <v>0</v>
      </c>
      <c r="I32" s="14">
        <v>0</v>
      </c>
      <c r="J32" s="88">
        <f t="shared" si="1"/>
        <v>100</v>
      </c>
      <c r="K32" s="91"/>
    </row>
    <row r="33" spans="2:11" x14ac:dyDescent="0.45">
      <c r="B33" s="85">
        <f t="shared" si="2"/>
        <v>16</v>
      </c>
      <c r="C33" s="86">
        <v>46237</v>
      </c>
      <c r="D33" s="86" t="s">
        <v>436</v>
      </c>
      <c r="E33" s="11" t="s">
        <v>52</v>
      </c>
      <c r="F33" s="87">
        <v>0</v>
      </c>
      <c r="G33" s="94">
        <v>0</v>
      </c>
      <c r="H33" s="94">
        <v>0</v>
      </c>
      <c r="I33" s="14">
        <v>0</v>
      </c>
      <c r="J33" s="88">
        <f t="shared" si="1"/>
        <v>0</v>
      </c>
      <c r="K33" s="91" t="s">
        <v>53</v>
      </c>
    </row>
    <row r="34" spans="2:11" x14ac:dyDescent="0.45">
      <c r="B34" s="85">
        <f t="shared" si="2"/>
        <v>17</v>
      </c>
      <c r="C34" s="86">
        <v>46237</v>
      </c>
      <c r="D34" s="86" t="s">
        <v>437</v>
      </c>
      <c r="E34" s="11" t="s">
        <v>54</v>
      </c>
      <c r="F34" s="87">
        <v>0</v>
      </c>
      <c r="G34" s="94">
        <f>3500*8</f>
        <v>28000</v>
      </c>
      <c r="H34" s="94">
        <v>11200</v>
      </c>
      <c r="I34" s="14">
        <v>0</v>
      </c>
      <c r="J34" s="88">
        <f t="shared" si="1"/>
        <v>16800</v>
      </c>
      <c r="K34" s="91"/>
    </row>
    <row r="35" spans="2:11" x14ac:dyDescent="0.45">
      <c r="B35" s="85">
        <f t="shared" si="2"/>
        <v>18</v>
      </c>
      <c r="C35" s="86">
        <v>46237</v>
      </c>
      <c r="D35" s="86" t="s">
        <v>438</v>
      </c>
      <c r="E35" s="11" t="s">
        <v>55</v>
      </c>
      <c r="F35" s="87">
        <v>0</v>
      </c>
      <c r="G35" s="94">
        <v>1700</v>
      </c>
      <c r="H35" s="94">
        <v>0</v>
      </c>
      <c r="I35" s="14">
        <v>0</v>
      </c>
      <c r="J35" s="88">
        <f t="shared" si="1"/>
        <v>1700</v>
      </c>
      <c r="K35" s="91"/>
    </row>
    <row r="36" spans="2:11" x14ac:dyDescent="0.45">
      <c r="B36" s="85">
        <f t="shared" si="2"/>
        <v>19</v>
      </c>
      <c r="C36" s="86">
        <v>46237</v>
      </c>
      <c r="D36" s="86" t="s">
        <v>439</v>
      </c>
      <c r="E36" s="11" t="s">
        <v>56</v>
      </c>
      <c r="F36" s="87">
        <v>0</v>
      </c>
      <c r="G36" s="94">
        <v>220</v>
      </c>
      <c r="H36" s="94">
        <v>0</v>
      </c>
      <c r="I36" s="14">
        <v>0</v>
      </c>
      <c r="J36" s="88">
        <f t="shared" si="1"/>
        <v>220</v>
      </c>
      <c r="K36" s="91"/>
    </row>
    <row r="37" spans="2:11" x14ac:dyDescent="0.45">
      <c r="B37" s="85">
        <f t="shared" si="2"/>
        <v>20</v>
      </c>
      <c r="C37" s="86">
        <v>46237</v>
      </c>
      <c r="D37" s="86" t="s">
        <v>440</v>
      </c>
      <c r="E37" s="11" t="s">
        <v>57</v>
      </c>
      <c r="F37" s="87">
        <v>0</v>
      </c>
      <c r="G37" s="94">
        <v>1800</v>
      </c>
      <c r="H37" s="94">
        <v>0</v>
      </c>
      <c r="I37" s="14">
        <v>0</v>
      </c>
      <c r="J37" s="88">
        <f t="shared" si="1"/>
        <v>1800</v>
      </c>
      <c r="K37" s="91"/>
    </row>
    <row r="38" spans="2:11" x14ac:dyDescent="0.45">
      <c r="B38" s="85">
        <f t="shared" si="2"/>
        <v>21</v>
      </c>
      <c r="C38" s="86">
        <v>46237</v>
      </c>
      <c r="D38" s="86" t="s">
        <v>441</v>
      </c>
      <c r="E38" s="11" t="s">
        <v>58</v>
      </c>
      <c r="F38" s="87">
        <v>0</v>
      </c>
      <c r="G38" s="94">
        <v>4000</v>
      </c>
      <c r="H38" s="94">
        <v>0</v>
      </c>
      <c r="I38" s="14">
        <v>0</v>
      </c>
      <c r="J38" s="88">
        <f t="shared" si="1"/>
        <v>4000</v>
      </c>
      <c r="K38" s="91"/>
    </row>
    <row r="39" spans="2:11" x14ac:dyDescent="0.45">
      <c r="B39" s="85">
        <f t="shared" si="2"/>
        <v>22</v>
      </c>
      <c r="C39" s="86">
        <v>46237</v>
      </c>
      <c r="D39" s="86" t="s">
        <v>442</v>
      </c>
      <c r="E39" s="11" t="s">
        <v>59</v>
      </c>
      <c r="F39" s="87">
        <v>0</v>
      </c>
      <c r="G39" s="94">
        <v>2800</v>
      </c>
      <c r="H39" s="94">
        <v>840</v>
      </c>
      <c r="I39" s="14">
        <v>0</v>
      </c>
      <c r="J39" s="88">
        <f t="shared" si="1"/>
        <v>1960</v>
      </c>
      <c r="K39" s="91"/>
    </row>
    <row r="40" spans="2:11" x14ac:dyDescent="0.45">
      <c r="B40" s="85">
        <f t="shared" si="2"/>
        <v>23</v>
      </c>
      <c r="C40" s="86">
        <v>46237</v>
      </c>
      <c r="D40" s="86" t="s">
        <v>443</v>
      </c>
      <c r="E40" s="11" t="s">
        <v>60</v>
      </c>
      <c r="F40" s="87">
        <v>0</v>
      </c>
      <c r="G40" s="94">
        <v>1900</v>
      </c>
      <c r="H40" s="94">
        <v>200</v>
      </c>
      <c r="I40" s="14">
        <v>0</v>
      </c>
      <c r="J40" s="88">
        <f t="shared" si="1"/>
        <v>1700</v>
      </c>
      <c r="K40" s="91"/>
    </row>
    <row r="41" spans="2:11" x14ac:dyDescent="0.45">
      <c r="B41" s="85">
        <f t="shared" si="2"/>
        <v>24</v>
      </c>
      <c r="C41" s="86">
        <v>46237</v>
      </c>
      <c r="D41" s="86" t="s">
        <v>444</v>
      </c>
      <c r="E41" s="11" t="s">
        <v>61</v>
      </c>
      <c r="F41" s="87">
        <v>0</v>
      </c>
      <c r="G41" s="94">
        <v>1900</v>
      </c>
      <c r="H41" s="94">
        <v>200</v>
      </c>
      <c r="I41" s="14">
        <v>0</v>
      </c>
      <c r="J41" s="88">
        <f t="shared" si="1"/>
        <v>1700</v>
      </c>
      <c r="K41" s="91"/>
    </row>
    <row r="42" spans="2:11" x14ac:dyDescent="0.45">
      <c r="B42" s="85">
        <f t="shared" si="2"/>
        <v>25</v>
      </c>
      <c r="C42" s="86">
        <v>46237</v>
      </c>
      <c r="D42" s="86" t="s">
        <v>445</v>
      </c>
      <c r="E42" s="11" t="s">
        <v>62</v>
      </c>
      <c r="F42" s="87">
        <v>0</v>
      </c>
      <c r="G42" s="94">
        <f>3500*5</f>
        <v>17500</v>
      </c>
      <c r="H42" s="94">
        <v>7000</v>
      </c>
      <c r="I42" s="14">
        <v>0</v>
      </c>
      <c r="J42" s="88">
        <f t="shared" si="1"/>
        <v>10500</v>
      </c>
      <c r="K42" s="91"/>
    </row>
    <row r="43" spans="2:11" x14ac:dyDescent="0.45">
      <c r="B43" s="85">
        <f t="shared" si="2"/>
        <v>26</v>
      </c>
      <c r="C43" s="86">
        <v>46237</v>
      </c>
      <c r="D43" s="86" t="s">
        <v>446</v>
      </c>
      <c r="E43" s="11" t="s">
        <v>63</v>
      </c>
      <c r="F43" s="87">
        <v>0</v>
      </c>
      <c r="G43" s="94">
        <v>2500</v>
      </c>
      <c r="H43" s="94">
        <v>600</v>
      </c>
      <c r="I43" s="14">
        <v>0</v>
      </c>
      <c r="J43" s="88">
        <f t="shared" si="1"/>
        <v>1900</v>
      </c>
      <c r="K43" s="91"/>
    </row>
    <row r="44" spans="2:11" x14ac:dyDescent="0.45">
      <c r="B44" s="85">
        <f t="shared" si="2"/>
        <v>27</v>
      </c>
      <c r="C44" s="86">
        <v>46237</v>
      </c>
      <c r="D44" s="86" t="s">
        <v>447</v>
      </c>
      <c r="E44" s="11" t="s">
        <v>64</v>
      </c>
      <c r="F44" s="87">
        <v>0</v>
      </c>
      <c r="G44" s="94">
        <v>2000</v>
      </c>
      <c r="H44" s="94">
        <v>1000</v>
      </c>
      <c r="I44" s="14">
        <v>0</v>
      </c>
      <c r="J44" s="88">
        <f t="shared" si="1"/>
        <v>1000</v>
      </c>
      <c r="K44" s="91"/>
    </row>
    <row r="45" spans="2:11" x14ac:dyDescent="0.45">
      <c r="B45" s="85">
        <f t="shared" si="2"/>
        <v>28</v>
      </c>
      <c r="C45" s="86">
        <v>46237</v>
      </c>
      <c r="D45" s="86" t="s">
        <v>448</v>
      </c>
      <c r="E45" s="11" t="s">
        <v>65</v>
      </c>
      <c r="F45" s="87">
        <v>0</v>
      </c>
      <c r="G45" s="94">
        <v>4600</v>
      </c>
      <c r="H45" s="94">
        <v>1380</v>
      </c>
      <c r="I45" s="14">
        <v>0</v>
      </c>
      <c r="J45" s="88">
        <f t="shared" si="1"/>
        <v>3220</v>
      </c>
      <c r="K45" s="91"/>
    </row>
    <row r="46" spans="2:11" x14ac:dyDescent="0.45">
      <c r="B46" s="85">
        <f t="shared" si="2"/>
        <v>29</v>
      </c>
      <c r="C46" s="86">
        <v>46237</v>
      </c>
      <c r="D46" s="86" t="s">
        <v>449</v>
      </c>
      <c r="E46" s="11" t="s">
        <v>66</v>
      </c>
      <c r="F46" s="87">
        <v>0</v>
      </c>
      <c r="G46" s="94">
        <v>3710</v>
      </c>
      <c r="H46" s="94">
        <v>350</v>
      </c>
      <c r="I46" s="14">
        <v>0</v>
      </c>
      <c r="J46" s="88">
        <f t="shared" si="1"/>
        <v>3360</v>
      </c>
      <c r="K46" s="91"/>
    </row>
    <row r="47" spans="2:11" x14ac:dyDescent="0.45">
      <c r="B47" s="85">
        <f t="shared" si="2"/>
        <v>30</v>
      </c>
      <c r="C47" s="86">
        <v>46237</v>
      </c>
      <c r="D47" s="86" t="s">
        <v>450</v>
      </c>
      <c r="E47" s="11" t="s">
        <v>67</v>
      </c>
      <c r="F47" s="87">
        <v>0</v>
      </c>
      <c r="G47" s="94">
        <v>107300</v>
      </c>
      <c r="H47" s="94">
        <v>6400</v>
      </c>
      <c r="I47" s="14">
        <v>0</v>
      </c>
      <c r="J47" s="88">
        <f t="shared" si="1"/>
        <v>100900</v>
      </c>
      <c r="K47" s="91"/>
    </row>
    <row r="48" spans="2:11" x14ac:dyDescent="0.45">
      <c r="B48" s="85">
        <f t="shared" si="2"/>
        <v>31</v>
      </c>
      <c r="C48" s="86">
        <v>46237</v>
      </c>
      <c r="D48" s="86" t="s">
        <v>451</v>
      </c>
      <c r="E48" s="11" t="s">
        <v>68</v>
      </c>
      <c r="F48" s="87">
        <v>0</v>
      </c>
      <c r="G48" s="94">
        <v>73700</v>
      </c>
      <c r="H48" s="94">
        <v>9600</v>
      </c>
      <c r="I48" s="14">
        <v>0</v>
      </c>
      <c r="J48" s="88">
        <f t="shared" si="1"/>
        <v>64100</v>
      </c>
      <c r="K48" s="91"/>
    </row>
    <row r="49" spans="2:11" x14ac:dyDescent="0.45">
      <c r="B49" s="85">
        <f t="shared" si="2"/>
        <v>32</v>
      </c>
      <c r="C49" s="86">
        <v>46237</v>
      </c>
      <c r="D49" s="86" t="s">
        <v>452</v>
      </c>
      <c r="E49" s="11" t="s">
        <v>68</v>
      </c>
      <c r="F49" s="87">
        <v>0</v>
      </c>
      <c r="G49" s="94">
        <v>1600</v>
      </c>
      <c r="H49" s="94">
        <v>320</v>
      </c>
      <c r="I49" s="14">
        <v>0</v>
      </c>
      <c r="J49" s="88">
        <f t="shared" si="1"/>
        <v>1280</v>
      </c>
      <c r="K49" s="91"/>
    </row>
    <row r="50" spans="2:11" x14ac:dyDescent="0.45">
      <c r="B50" s="85">
        <f t="shared" si="2"/>
        <v>33</v>
      </c>
      <c r="C50" s="86">
        <v>46237</v>
      </c>
      <c r="D50" s="86" t="s">
        <v>453</v>
      </c>
      <c r="E50" s="11" t="s">
        <v>69</v>
      </c>
      <c r="F50" s="87">
        <v>0</v>
      </c>
      <c r="G50" s="94">
        <v>58000</v>
      </c>
      <c r="H50" s="94">
        <v>8000</v>
      </c>
      <c r="I50" s="14">
        <v>0</v>
      </c>
      <c r="J50" s="88">
        <f t="shared" si="1"/>
        <v>50000</v>
      </c>
      <c r="K50" s="91"/>
    </row>
    <row r="51" spans="2:11" x14ac:dyDescent="0.45">
      <c r="B51" s="85">
        <f t="shared" si="2"/>
        <v>34</v>
      </c>
      <c r="C51" s="86">
        <v>46237</v>
      </c>
      <c r="D51" s="86" t="s">
        <v>454</v>
      </c>
      <c r="E51" s="11" t="s">
        <v>70</v>
      </c>
      <c r="F51" s="87">
        <v>0</v>
      </c>
      <c r="G51" s="94">
        <v>11880</v>
      </c>
      <c r="H51" s="94">
        <v>0</v>
      </c>
      <c r="I51" s="14">
        <v>0</v>
      </c>
      <c r="J51" s="88">
        <f t="shared" si="1"/>
        <v>11880</v>
      </c>
      <c r="K51" s="91"/>
    </row>
    <row r="52" spans="2:11" x14ac:dyDescent="0.45">
      <c r="B52" s="85">
        <f t="shared" si="2"/>
        <v>35</v>
      </c>
      <c r="C52" s="86">
        <v>46237</v>
      </c>
      <c r="D52" s="86" t="s">
        <v>455</v>
      </c>
      <c r="E52" s="11" t="s">
        <v>71</v>
      </c>
      <c r="F52" s="87">
        <v>0</v>
      </c>
      <c r="G52" s="94">
        <v>1800</v>
      </c>
      <c r="H52" s="94">
        <v>300</v>
      </c>
      <c r="I52" s="14">
        <v>0</v>
      </c>
      <c r="J52" s="88">
        <f t="shared" si="1"/>
        <v>1500</v>
      </c>
      <c r="K52" s="91"/>
    </row>
    <row r="53" spans="2:11" x14ac:dyDescent="0.45">
      <c r="B53" s="85">
        <f t="shared" si="2"/>
        <v>36</v>
      </c>
      <c r="C53" s="86">
        <v>46237</v>
      </c>
      <c r="D53" s="86" t="s">
        <v>456</v>
      </c>
      <c r="E53" s="11" t="s">
        <v>72</v>
      </c>
      <c r="F53" s="87">
        <v>0</v>
      </c>
      <c r="G53" s="94">
        <v>24675</v>
      </c>
      <c r="H53" s="94">
        <v>8775</v>
      </c>
      <c r="I53" s="14">
        <v>0</v>
      </c>
      <c r="J53" s="88">
        <f t="shared" si="1"/>
        <v>15900</v>
      </c>
      <c r="K53" s="91"/>
    </row>
    <row r="54" spans="2:11" x14ac:dyDescent="0.45">
      <c r="B54" s="85">
        <f t="shared" si="2"/>
        <v>37</v>
      </c>
      <c r="C54" s="86">
        <v>46237</v>
      </c>
      <c r="D54" s="86" t="s">
        <v>457</v>
      </c>
      <c r="E54" s="11" t="s">
        <v>73</v>
      </c>
      <c r="F54" s="87">
        <v>0</v>
      </c>
      <c r="G54" s="94">
        <v>4000</v>
      </c>
      <c r="H54" s="94">
        <v>0</v>
      </c>
      <c r="I54" s="14">
        <v>0</v>
      </c>
      <c r="J54" s="88">
        <f t="shared" si="1"/>
        <v>4000</v>
      </c>
      <c r="K54" s="91"/>
    </row>
    <row r="55" spans="2:11" x14ac:dyDescent="0.45">
      <c r="B55" s="85">
        <v>1</v>
      </c>
      <c r="C55" s="86">
        <v>46238</v>
      </c>
      <c r="D55" s="86" t="s">
        <v>458</v>
      </c>
      <c r="E55" s="11" t="s">
        <v>75</v>
      </c>
      <c r="F55" s="87">
        <v>0</v>
      </c>
      <c r="G55" s="14">
        <v>5000</v>
      </c>
      <c r="H55" s="14">
        <v>1500</v>
      </c>
      <c r="I55" s="14">
        <v>0</v>
      </c>
      <c r="J55" s="88">
        <f>+G55-H55</f>
        <v>3500</v>
      </c>
      <c r="K55" s="89"/>
    </row>
    <row r="56" spans="2:11" x14ac:dyDescent="0.45">
      <c r="B56" s="85">
        <f>+B55+1</f>
        <v>2</v>
      </c>
      <c r="C56" s="86">
        <v>46238</v>
      </c>
      <c r="D56" s="86" t="s">
        <v>459</v>
      </c>
      <c r="E56" s="11" t="s">
        <v>76</v>
      </c>
      <c r="F56" s="87">
        <v>0</v>
      </c>
      <c r="G56" s="14">
        <v>220</v>
      </c>
      <c r="H56" s="14">
        <v>0</v>
      </c>
      <c r="I56" s="14">
        <v>0</v>
      </c>
      <c r="J56" s="88">
        <f t="shared" ref="J56:J78" si="3">+G56-H56</f>
        <v>220</v>
      </c>
      <c r="K56" s="90"/>
    </row>
    <row r="57" spans="2:11" x14ac:dyDescent="0.45">
      <c r="B57" s="85">
        <f t="shared" ref="B57:B78" si="4">+B56+1</f>
        <v>3</v>
      </c>
      <c r="C57" s="86">
        <v>46238</v>
      </c>
      <c r="D57" s="86" t="s">
        <v>460</v>
      </c>
      <c r="E57" s="11" t="s">
        <v>77</v>
      </c>
      <c r="F57" s="87">
        <v>0</v>
      </c>
      <c r="G57" s="14">
        <v>1700</v>
      </c>
      <c r="H57" s="14">
        <v>510</v>
      </c>
      <c r="I57" s="14">
        <v>0</v>
      </c>
      <c r="J57" s="88">
        <f t="shared" si="3"/>
        <v>1190</v>
      </c>
      <c r="K57" s="90"/>
    </row>
    <row r="58" spans="2:11" x14ac:dyDescent="0.45">
      <c r="B58" s="85">
        <f t="shared" si="4"/>
        <v>4</v>
      </c>
      <c r="C58" s="86">
        <v>46238</v>
      </c>
      <c r="D58" s="86" t="s">
        <v>461</v>
      </c>
      <c r="E58" s="11" t="s">
        <v>78</v>
      </c>
      <c r="F58" s="87">
        <v>0</v>
      </c>
      <c r="G58" s="14">
        <v>2000</v>
      </c>
      <c r="H58" s="14">
        <v>1000</v>
      </c>
      <c r="I58" s="14">
        <v>0</v>
      </c>
      <c r="J58" s="88">
        <f t="shared" si="3"/>
        <v>1000</v>
      </c>
      <c r="K58" s="91"/>
    </row>
    <row r="59" spans="2:11" x14ac:dyDescent="0.45">
      <c r="B59" s="85">
        <f t="shared" si="4"/>
        <v>5</v>
      </c>
      <c r="C59" s="86">
        <v>46238</v>
      </c>
      <c r="D59" s="86" t="s">
        <v>462</v>
      </c>
      <c r="E59" s="11" t="s">
        <v>79</v>
      </c>
      <c r="F59" s="87">
        <v>0</v>
      </c>
      <c r="G59" s="14">
        <v>1900</v>
      </c>
      <c r="H59" s="14">
        <v>760</v>
      </c>
      <c r="I59" s="14">
        <v>0</v>
      </c>
      <c r="J59" s="88">
        <f t="shared" si="3"/>
        <v>1140</v>
      </c>
      <c r="K59" s="89"/>
    </row>
    <row r="60" spans="2:11" x14ac:dyDescent="0.45">
      <c r="B60" s="85">
        <f t="shared" si="4"/>
        <v>6</v>
      </c>
      <c r="C60" s="86">
        <v>46238</v>
      </c>
      <c r="D60" s="86" t="s">
        <v>463</v>
      </c>
      <c r="E60" s="11" t="s">
        <v>80</v>
      </c>
      <c r="F60" s="87">
        <v>0</v>
      </c>
      <c r="G60" s="14">
        <v>1700</v>
      </c>
      <c r="H60" s="14">
        <v>0</v>
      </c>
      <c r="I60" s="14">
        <v>0</v>
      </c>
      <c r="J60" s="88">
        <f t="shared" si="3"/>
        <v>1700</v>
      </c>
      <c r="K60" s="91"/>
    </row>
    <row r="61" spans="2:11" x14ac:dyDescent="0.45">
      <c r="B61" s="85">
        <f t="shared" si="4"/>
        <v>7</v>
      </c>
      <c r="C61" s="86">
        <v>46238</v>
      </c>
      <c r="D61" s="86" t="s">
        <v>464</v>
      </c>
      <c r="E61" s="11" t="s">
        <v>81</v>
      </c>
      <c r="F61" s="87">
        <v>0</v>
      </c>
      <c r="G61" s="14">
        <v>1800</v>
      </c>
      <c r="H61" s="14">
        <v>300</v>
      </c>
      <c r="I61" s="14">
        <v>0</v>
      </c>
      <c r="J61" s="88">
        <f t="shared" si="3"/>
        <v>1500</v>
      </c>
      <c r="K61" s="91"/>
    </row>
    <row r="62" spans="2:11" x14ac:dyDescent="0.45">
      <c r="B62" s="85">
        <f t="shared" si="4"/>
        <v>8</v>
      </c>
      <c r="C62" s="86">
        <v>46238</v>
      </c>
      <c r="D62" s="86" t="s">
        <v>465</v>
      </c>
      <c r="E62" s="11" t="s">
        <v>82</v>
      </c>
      <c r="F62" s="87">
        <v>0</v>
      </c>
      <c r="G62" s="14">
        <v>1800</v>
      </c>
      <c r="H62" s="14">
        <v>540</v>
      </c>
      <c r="I62" s="14">
        <v>0</v>
      </c>
      <c r="J62" s="88">
        <f t="shared" si="3"/>
        <v>1260</v>
      </c>
      <c r="K62" s="91"/>
    </row>
    <row r="63" spans="2:11" x14ac:dyDescent="0.45">
      <c r="B63" s="85">
        <f t="shared" si="4"/>
        <v>9</v>
      </c>
      <c r="C63" s="86">
        <v>46238</v>
      </c>
      <c r="D63" s="86" t="s">
        <v>466</v>
      </c>
      <c r="E63" s="11" t="s">
        <v>83</v>
      </c>
      <c r="F63" s="87">
        <v>0</v>
      </c>
      <c r="G63" s="14">
        <v>1900</v>
      </c>
      <c r="H63" s="14">
        <v>570</v>
      </c>
      <c r="I63" s="14">
        <v>0</v>
      </c>
      <c r="J63" s="88">
        <f t="shared" si="3"/>
        <v>1330</v>
      </c>
      <c r="K63" s="91"/>
    </row>
    <row r="64" spans="2:11" x14ac:dyDescent="0.45">
      <c r="B64" s="85">
        <f t="shared" si="4"/>
        <v>10</v>
      </c>
      <c r="C64" s="86">
        <v>46238</v>
      </c>
      <c r="D64" s="86" t="s">
        <v>467</v>
      </c>
      <c r="E64" s="11" t="s">
        <v>72</v>
      </c>
      <c r="F64" s="87">
        <v>0</v>
      </c>
      <c r="G64" s="14">
        <v>1175</v>
      </c>
      <c r="H64" s="14">
        <v>475</v>
      </c>
      <c r="I64" s="14">
        <v>0</v>
      </c>
      <c r="J64" s="88">
        <f t="shared" si="3"/>
        <v>700</v>
      </c>
      <c r="K64" s="91"/>
    </row>
    <row r="65" spans="2:11" x14ac:dyDescent="0.45">
      <c r="B65" s="85">
        <f t="shared" si="4"/>
        <v>11</v>
      </c>
      <c r="C65" s="86">
        <v>46238</v>
      </c>
      <c r="D65" s="86" t="s">
        <v>468</v>
      </c>
      <c r="E65" s="11" t="s">
        <v>84</v>
      </c>
      <c r="F65" s="87">
        <v>0</v>
      </c>
      <c r="G65" s="93">
        <v>4500</v>
      </c>
      <c r="H65" s="93">
        <v>0</v>
      </c>
      <c r="I65" s="14">
        <v>0</v>
      </c>
      <c r="J65" s="88">
        <f t="shared" si="3"/>
        <v>4500</v>
      </c>
      <c r="K65" s="89"/>
    </row>
    <row r="66" spans="2:11" x14ac:dyDescent="0.45">
      <c r="B66" s="85">
        <f t="shared" si="4"/>
        <v>12</v>
      </c>
      <c r="C66" s="86">
        <v>46238</v>
      </c>
      <c r="D66" s="86" t="s">
        <v>469</v>
      </c>
      <c r="E66" s="11" t="s">
        <v>85</v>
      </c>
      <c r="F66" s="87">
        <v>0</v>
      </c>
      <c r="G66" s="94">
        <v>3000</v>
      </c>
      <c r="H66" s="94">
        <v>0</v>
      </c>
      <c r="I66" s="14">
        <v>0</v>
      </c>
      <c r="J66" s="88">
        <f t="shared" si="3"/>
        <v>3000</v>
      </c>
      <c r="K66" s="91"/>
    </row>
    <row r="67" spans="2:11" x14ac:dyDescent="0.45">
      <c r="B67" s="85">
        <f t="shared" si="4"/>
        <v>13</v>
      </c>
      <c r="C67" s="86">
        <v>46238</v>
      </c>
      <c r="D67" s="86" t="s">
        <v>470</v>
      </c>
      <c r="E67" s="11" t="s">
        <v>86</v>
      </c>
      <c r="F67" s="87">
        <v>0</v>
      </c>
      <c r="G67" s="94">
        <v>1900</v>
      </c>
      <c r="H67" s="94">
        <v>760</v>
      </c>
      <c r="I67" s="14">
        <v>0</v>
      </c>
      <c r="J67" s="88">
        <f t="shared" si="3"/>
        <v>1140</v>
      </c>
      <c r="K67" s="91"/>
    </row>
    <row r="68" spans="2:11" x14ac:dyDescent="0.45">
      <c r="B68" s="85">
        <f t="shared" si="4"/>
        <v>14</v>
      </c>
      <c r="C68" s="86">
        <v>46238</v>
      </c>
      <c r="D68" s="86" t="s">
        <v>471</v>
      </c>
      <c r="E68" s="11" t="s">
        <v>87</v>
      </c>
      <c r="F68" s="87">
        <v>0</v>
      </c>
      <c r="G68" s="94">
        <v>1900</v>
      </c>
      <c r="H68" s="94">
        <v>570</v>
      </c>
      <c r="I68" s="14">
        <v>0</v>
      </c>
      <c r="J68" s="88">
        <f t="shared" si="3"/>
        <v>1330</v>
      </c>
      <c r="K68" s="91"/>
    </row>
    <row r="69" spans="2:11" x14ac:dyDescent="0.45">
      <c r="B69" s="85">
        <f t="shared" si="4"/>
        <v>15</v>
      </c>
      <c r="C69" s="86">
        <v>46238</v>
      </c>
      <c r="D69" s="86" t="s">
        <v>472</v>
      </c>
      <c r="E69" s="11" t="s">
        <v>88</v>
      </c>
      <c r="F69" s="87">
        <v>0</v>
      </c>
      <c r="G69" s="94">
        <f>3500*4</f>
        <v>14000</v>
      </c>
      <c r="H69" s="94">
        <v>800</v>
      </c>
      <c r="I69" s="14">
        <v>0</v>
      </c>
      <c r="J69" s="88">
        <f t="shared" si="3"/>
        <v>13200</v>
      </c>
      <c r="K69" s="91"/>
    </row>
    <row r="70" spans="2:11" x14ac:dyDescent="0.45">
      <c r="B70" s="85">
        <f t="shared" si="4"/>
        <v>16</v>
      </c>
      <c r="C70" s="86">
        <v>46238</v>
      </c>
      <c r="D70" s="86" t="s">
        <v>473</v>
      </c>
      <c r="E70" s="11" t="s">
        <v>89</v>
      </c>
      <c r="F70" s="87">
        <v>0</v>
      </c>
      <c r="G70" s="94">
        <v>2000</v>
      </c>
      <c r="H70" s="94">
        <v>200</v>
      </c>
      <c r="I70" s="14">
        <v>0</v>
      </c>
      <c r="J70" s="88">
        <f t="shared" si="3"/>
        <v>1800</v>
      </c>
      <c r="K70" s="91"/>
    </row>
    <row r="71" spans="2:11" x14ac:dyDescent="0.45">
      <c r="B71" s="85">
        <f t="shared" si="4"/>
        <v>17</v>
      </c>
      <c r="C71" s="86">
        <v>46238</v>
      </c>
      <c r="D71" s="86" t="s">
        <v>474</v>
      </c>
      <c r="E71" s="11" t="s">
        <v>90</v>
      </c>
      <c r="F71" s="87">
        <v>0</v>
      </c>
      <c r="G71" s="94">
        <v>1900</v>
      </c>
      <c r="H71" s="94">
        <v>570</v>
      </c>
      <c r="I71" s="14">
        <v>0</v>
      </c>
      <c r="J71" s="88">
        <f t="shared" si="3"/>
        <v>1330</v>
      </c>
      <c r="K71" s="91"/>
    </row>
    <row r="72" spans="2:11" x14ac:dyDescent="0.45">
      <c r="B72" s="85">
        <f t="shared" si="4"/>
        <v>18</v>
      </c>
      <c r="C72" s="86">
        <v>46238</v>
      </c>
      <c r="D72" s="86" t="s">
        <v>475</v>
      </c>
      <c r="E72" s="11" t="s">
        <v>91</v>
      </c>
      <c r="F72" s="87">
        <v>0</v>
      </c>
      <c r="G72" s="94">
        <f>3500*10</f>
        <v>35000</v>
      </c>
      <c r="H72" s="94">
        <v>10500</v>
      </c>
      <c r="I72" s="14">
        <v>0</v>
      </c>
      <c r="J72" s="88">
        <f t="shared" si="3"/>
        <v>24500</v>
      </c>
      <c r="K72" s="91"/>
    </row>
    <row r="73" spans="2:11" x14ac:dyDescent="0.45">
      <c r="B73" s="85">
        <f t="shared" si="4"/>
        <v>19</v>
      </c>
      <c r="C73" s="86">
        <v>46238</v>
      </c>
      <c r="D73" s="86" t="s">
        <v>476</v>
      </c>
      <c r="E73" s="11" t="s">
        <v>92</v>
      </c>
      <c r="F73" s="87">
        <v>0</v>
      </c>
      <c r="G73" s="94">
        <v>4900</v>
      </c>
      <c r="H73" s="94">
        <v>1470</v>
      </c>
      <c r="I73" s="14">
        <v>0</v>
      </c>
      <c r="J73" s="88">
        <f t="shared" si="3"/>
        <v>3430</v>
      </c>
      <c r="K73" s="91"/>
    </row>
    <row r="74" spans="2:11" x14ac:dyDescent="0.45">
      <c r="B74" s="85">
        <f t="shared" si="4"/>
        <v>20</v>
      </c>
      <c r="C74" s="86">
        <v>46238</v>
      </c>
      <c r="D74" s="86" t="s">
        <v>477</v>
      </c>
      <c r="E74" s="11" t="s">
        <v>93</v>
      </c>
      <c r="F74" s="87">
        <v>0</v>
      </c>
      <c r="G74" s="94">
        <v>1900</v>
      </c>
      <c r="H74" s="94">
        <v>570</v>
      </c>
      <c r="I74" s="14">
        <v>0</v>
      </c>
      <c r="J74" s="88">
        <f t="shared" si="3"/>
        <v>1330</v>
      </c>
      <c r="K74" s="91"/>
    </row>
    <row r="75" spans="2:11" x14ac:dyDescent="0.45">
      <c r="B75" s="85">
        <f t="shared" si="4"/>
        <v>21</v>
      </c>
      <c r="C75" s="86">
        <v>46238</v>
      </c>
      <c r="D75" s="86" t="s">
        <v>478</v>
      </c>
      <c r="E75" s="11" t="s">
        <v>94</v>
      </c>
      <c r="F75" s="87">
        <v>0</v>
      </c>
      <c r="G75" s="94">
        <v>2700</v>
      </c>
      <c r="H75" s="94">
        <v>1080</v>
      </c>
      <c r="I75" s="14">
        <v>0</v>
      </c>
      <c r="J75" s="88">
        <f t="shared" si="3"/>
        <v>1620</v>
      </c>
      <c r="K75" s="91"/>
    </row>
    <row r="76" spans="2:11" x14ac:dyDescent="0.45">
      <c r="B76" s="85">
        <f t="shared" si="4"/>
        <v>22</v>
      </c>
      <c r="C76" s="86">
        <v>46238</v>
      </c>
      <c r="D76" s="86" t="s">
        <v>479</v>
      </c>
      <c r="E76" s="11" t="s">
        <v>95</v>
      </c>
      <c r="F76" s="87">
        <v>0</v>
      </c>
      <c r="G76" s="94">
        <v>1800</v>
      </c>
      <c r="H76" s="94">
        <v>200</v>
      </c>
      <c r="I76" s="14">
        <v>0</v>
      </c>
      <c r="J76" s="88">
        <f t="shared" si="3"/>
        <v>1600</v>
      </c>
      <c r="K76" s="91"/>
    </row>
    <row r="77" spans="2:11" x14ac:dyDescent="0.45">
      <c r="B77" s="85">
        <f t="shared" si="4"/>
        <v>23</v>
      </c>
      <c r="C77" s="86">
        <v>46238</v>
      </c>
      <c r="D77" s="86" t="s">
        <v>480</v>
      </c>
      <c r="E77" s="11" t="s">
        <v>96</v>
      </c>
      <c r="F77" s="87">
        <v>0</v>
      </c>
      <c r="G77" s="94">
        <v>2700</v>
      </c>
      <c r="H77" s="94">
        <v>0</v>
      </c>
      <c r="I77" s="14">
        <v>0</v>
      </c>
      <c r="J77" s="88">
        <f t="shared" si="3"/>
        <v>2700</v>
      </c>
      <c r="K77" s="91"/>
    </row>
    <row r="78" spans="2:11" x14ac:dyDescent="0.45">
      <c r="B78" s="85">
        <f t="shared" si="4"/>
        <v>24</v>
      </c>
      <c r="C78" s="86">
        <v>46238</v>
      </c>
      <c r="D78" s="86" t="s">
        <v>481</v>
      </c>
      <c r="E78" s="11" t="s">
        <v>97</v>
      </c>
      <c r="F78" s="87">
        <v>0</v>
      </c>
      <c r="G78" s="94">
        <v>1800</v>
      </c>
      <c r="H78" s="94">
        <v>300</v>
      </c>
      <c r="I78" s="14">
        <v>0</v>
      </c>
      <c r="J78" s="88">
        <f t="shared" si="3"/>
        <v>1500</v>
      </c>
      <c r="K78" s="91"/>
    </row>
    <row r="79" spans="2:11" x14ac:dyDescent="0.45">
      <c r="B79" s="85">
        <v>1</v>
      </c>
      <c r="C79" s="86">
        <v>46239</v>
      </c>
      <c r="D79" s="86" t="s">
        <v>482</v>
      </c>
      <c r="E79" s="11" t="s">
        <v>99</v>
      </c>
      <c r="F79" s="87">
        <v>0</v>
      </c>
      <c r="G79" s="14">
        <v>440</v>
      </c>
      <c r="H79" s="14">
        <v>0</v>
      </c>
      <c r="I79" s="14">
        <v>0</v>
      </c>
      <c r="J79" s="88">
        <f>+G79-H79</f>
        <v>440</v>
      </c>
      <c r="K79" s="89"/>
    </row>
    <row r="80" spans="2:11" x14ac:dyDescent="0.45">
      <c r="B80" s="85">
        <f>+B79+1</f>
        <v>2</v>
      </c>
      <c r="C80" s="86">
        <v>46239</v>
      </c>
      <c r="D80" s="86" t="s">
        <v>483</v>
      </c>
      <c r="E80" s="11" t="s">
        <v>100</v>
      </c>
      <c r="F80" s="87">
        <v>0</v>
      </c>
      <c r="G80" s="14">
        <v>220</v>
      </c>
      <c r="H80" s="14">
        <v>0</v>
      </c>
      <c r="I80" s="14">
        <v>0</v>
      </c>
      <c r="J80" s="88">
        <f t="shared" ref="J80:J120" si="5">+G80-H80</f>
        <v>220</v>
      </c>
      <c r="K80" s="90"/>
    </row>
    <row r="81" spans="2:11" x14ac:dyDescent="0.45">
      <c r="B81" s="85">
        <f t="shared" ref="B81:B120" si="6">+B80+1</f>
        <v>3</v>
      </c>
      <c r="C81" s="86">
        <v>46239</v>
      </c>
      <c r="D81" s="86" t="s">
        <v>484</v>
      </c>
      <c r="E81" s="11" t="s">
        <v>101</v>
      </c>
      <c r="F81" s="87">
        <v>0</v>
      </c>
      <c r="G81" s="14">
        <v>220</v>
      </c>
      <c r="H81" s="14">
        <v>0</v>
      </c>
      <c r="I81" s="14">
        <v>0</v>
      </c>
      <c r="J81" s="88">
        <f t="shared" si="5"/>
        <v>220</v>
      </c>
      <c r="K81" s="90"/>
    </row>
    <row r="82" spans="2:11" x14ac:dyDescent="0.45">
      <c r="B82" s="85">
        <f t="shared" si="6"/>
        <v>4</v>
      </c>
      <c r="C82" s="86">
        <v>46239</v>
      </c>
      <c r="D82" s="86" t="s">
        <v>485</v>
      </c>
      <c r="E82" s="11" t="s">
        <v>102</v>
      </c>
      <c r="F82" s="87">
        <v>0</v>
      </c>
      <c r="G82" s="14">
        <v>1900</v>
      </c>
      <c r="H82" s="14">
        <v>0</v>
      </c>
      <c r="I82" s="14">
        <v>0</v>
      </c>
      <c r="J82" s="88">
        <f t="shared" si="5"/>
        <v>1900</v>
      </c>
      <c r="K82" s="91"/>
    </row>
    <row r="83" spans="2:11" x14ac:dyDescent="0.45">
      <c r="B83" s="85">
        <f t="shared" si="6"/>
        <v>5</v>
      </c>
      <c r="C83" s="86">
        <v>46239</v>
      </c>
      <c r="D83" s="86" t="s">
        <v>486</v>
      </c>
      <c r="E83" s="11" t="s">
        <v>103</v>
      </c>
      <c r="F83" s="87">
        <v>0</v>
      </c>
      <c r="G83" s="14">
        <f>3500*9</f>
        <v>31500</v>
      </c>
      <c r="H83" s="14">
        <v>9450</v>
      </c>
      <c r="I83" s="14">
        <v>0</v>
      </c>
      <c r="J83" s="88">
        <f t="shared" si="5"/>
        <v>22050</v>
      </c>
      <c r="K83" s="89"/>
    </row>
    <row r="84" spans="2:11" x14ac:dyDescent="0.45">
      <c r="B84" s="85">
        <f t="shared" si="6"/>
        <v>6</v>
      </c>
      <c r="C84" s="86">
        <v>46239</v>
      </c>
      <c r="D84" s="86" t="s">
        <v>487</v>
      </c>
      <c r="E84" s="11" t="s">
        <v>104</v>
      </c>
      <c r="F84" s="87">
        <v>0</v>
      </c>
      <c r="G84" s="14">
        <v>1710</v>
      </c>
      <c r="H84" s="14">
        <v>350</v>
      </c>
      <c r="I84" s="14">
        <v>0</v>
      </c>
      <c r="J84" s="88">
        <f t="shared" si="5"/>
        <v>1360</v>
      </c>
      <c r="K84" s="91"/>
    </row>
    <row r="85" spans="2:11" x14ac:dyDescent="0.45">
      <c r="B85" s="85">
        <f t="shared" si="6"/>
        <v>7</v>
      </c>
      <c r="C85" s="86">
        <v>46239</v>
      </c>
      <c r="D85" s="86" t="s">
        <v>488</v>
      </c>
      <c r="E85" s="11" t="s">
        <v>51</v>
      </c>
      <c r="F85" s="87">
        <v>0</v>
      </c>
      <c r="G85" s="14">
        <v>220</v>
      </c>
      <c r="H85" s="14">
        <v>0</v>
      </c>
      <c r="I85" s="14">
        <v>0</v>
      </c>
      <c r="J85" s="88">
        <f t="shared" si="5"/>
        <v>220</v>
      </c>
      <c r="K85" s="91"/>
    </row>
    <row r="86" spans="2:11" x14ac:dyDescent="0.45">
      <c r="B86" s="85">
        <f t="shared" si="6"/>
        <v>8</v>
      </c>
      <c r="C86" s="86">
        <v>46239</v>
      </c>
      <c r="D86" s="86" t="s">
        <v>489</v>
      </c>
      <c r="E86" s="11" t="s">
        <v>105</v>
      </c>
      <c r="F86" s="87">
        <v>0</v>
      </c>
      <c r="G86" s="14">
        <v>13900</v>
      </c>
      <c r="H86" s="14">
        <v>2800</v>
      </c>
      <c r="I86" s="14">
        <v>0</v>
      </c>
      <c r="J86" s="88">
        <f t="shared" si="5"/>
        <v>11100</v>
      </c>
      <c r="K86" s="91"/>
    </row>
    <row r="87" spans="2:11" x14ac:dyDescent="0.45">
      <c r="B87" s="85">
        <f t="shared" si="6"/>
        <v>9</v>
      </c>
      <c r="C87" s="86">
        <v>46239</v>
      </c>
      <c r="D87" s="86" t="s">
        <v>490</v>
      </c>
      <c r="E87" s="11" t="s">
        <v>105</v>
      </c>
      <c r="F87" s="87">
        <v>0</v>
      </c>
      <c r="G87" s="14">
        <v>1700</v>
      </c>
      <c r="H87" s="14">
        <v>200</v>
      </c>
      <c r="I87" s="14">
        <v>0</v>
      </c>
      <c r="J87" s="88">
        <f t="shared" si="5"/>
        <v>1500</v>
      </c>
      <c r="K87" s="91"/>
    </row>
    <row r="88" spans="2:11" x14ac:dyDescent="0.45">
      <c r="B88" s="85">
        <f t="shared" si="6"/>
        <v>10</v>
      </c>
      <c r="C88" s="86">
        <v>46239</v>
      </c>
      <c r="D88" s="86" t="s">
        <v>491</v>
      </c>
      <c r="E88" s="11" t="s">
        <v>106</v>
      </c>
      <c r="F88" s="87">
        <v>0</v>
      </c>
      <c r="G88" s="14">
        <v>220</v>
      </c>
      <c r="H88" s="14">
        <v>0</v>
      </c>
      <c r="I88" s="14">
        <v>0</v>
      </c>
      <c r="J88" s="88">
        <f t="shared" si="5"/>
        <v>220</v>
      </c>
      <c r="K88" s="91"/>
    </row>
    <row r="89" spans="2:11" x14ac:dyDescent="0.45">
      <c r="B89" s="85">
        <f t="shared" si="6"/>
        <v>11</v>
      </c>
      <c r="C89" s="86">
        <v>46239</v>
      </c>
      <c r="D89" s="86" t="s">
        <v>492</v>
      </c>
      <c r="E89" s="11" t="s">
        <v>107</v>
      </c>
      <c r="F89" s="87">
        <v>0</v>
      </c>
      <c r="G89" s="93">
        <v>700</v>
      </c>
      <c r="H89" s="93">
        <v>0</v>
      </c>
      <c r="I89" s="14">
        <v>0</v>
      </c>
      <c r="J89" s="88">
        <f t="shared" si="5"/>
        <v>700</v>
      </c>
      <c r="K89" s="89"/>
    </row>
    <row r="90" spans="2:11" x14ac:dyDescent="0.45">
      <c r="B90" s="85">
        <f t="shared" si="6"/>
        <v>12</v>
      </c>
      <c r="C90" s="86">
        <v>46239</v>
      </c>
      <c r="D90" s="86" t="s">
        <v>493</v>
      </c>
      <c r="E90" s="11" t="s">
        <v>51</v>
      </c>
      <c r="F90" s="87">
        <v>0</v>
      </c>
      <c r="G90" s="94">
        <v>100</v>
      </c>
      <c r="H90" s="94">
        <v>0</v>
      </c>
      <c r="I90" s="14">
        <v>0</v>
      </c>
      <c r="J90" s="88">
        <f t="shared" si="5"/>
        <v>100</v>
      </c>
      <c r="K90" s="91"/>
    </row>
    <row r="91" spans="2:11" x14ac:dyDescent="0.45">
      <c r="B91" s="85">
        <f t="shared" si="6"/>
        <v>13</v>
      </c>
      <c r="C91" s="86">
        <v>46239</v>
      </c>
      <c r="D91" s="86" t="s">
        <v>494</v>
      </c>
      <c r="E91" s="11" t="s">
        <v>18</v>
      </c>
      <c r="F91" s="87">
        <v>0</v>
      </c>
      <c r="G91" s="94">
        <v>440</v>
      </c>
      <c r="H91" s="94">
        <v>0</v>
      </c>
      <c r="I91" s="14">
        <v>0</v>
      </c>
      <c r="J91" s="88">
        <f t="shared" si="5"/>
        <v>440</v>
      </c>
      <c r="K91" s="91"/>
    </row>
    <row r="92" spans="2:11" x14ac:dyDescent="0.45">
      <c r="B92" s="85">
        <f t="shared" si="6"/>
        <v>14</v>
      </c>
      <c r="C92" s="86">
        <v>46239</v>
      </c>
      <c r="D92" s="86" t="s">
        <v>495</v>
      </c>
      <c r="E92" s="11" t="s">
        <v>48</v>
      </c>
      <c r="F92" s="87">
        <v>0</v>
      </c>
      <c r="G92" s="94">
        <v>660</v>
      </c>
      <c r="H92" s="94">
        <v>0</v>
      </c>
      <c r="I92" s="14">
        <v>0</v>
      </c>
      <c r="J92" s="88">
        <f t="shared" si="5"/>
        <v>660</v>
      </c>
      <c r="K92" s="91"/>
    </row>
    <row r="93" spans="2:11" x14ac:dyDescent="0.45">
      <c r="B93" s="85">
        <f t="shared" si="6"/>
        <v>15</v>
      </c>
      <c r="C93" s="86">
        <v>46239</v>
      </c>
      <c r="D93" s="86" t="s">
        <v>496</v>
      </c>
      <c r="E93" s="11" t="s">
        <v>108</v>
      </c>
      <c r="F93" s="87">
        <v>0</v>
      </c>
      <c r="G93" s="94">
        <v>640</v>
      </c>
      <c r="H93" s="94">
        <v>0</v>
      </c>
      <c r="I93" s="14">
        <v>0</v>
      </c>
      <c r="J93" s="88">
        <f t="shared" si="5"/>
        <v>640</v>
      </c>
      <c r="K93" s="91"/>
    </row>
    <row r="94" spans="2:11" x14ac:dyDescent="0.45">
      <c r="B94" s="85">
        <f t="shared" si="6"/>
        <v>16</v>
      </c>
      <c r="C94" s="86">
        <v>46239</v>
      </c>
      <c r="D94" s="86" t="s">
        <v>497</v>
      </c>
      <c r="E94" s="11" t="s">
        <v>109</v>
      </c>
      <c r="F94" s="87">
        <v>0</v>
      </c>
      <c r="G94" s="94">
        <v>220</v>
      </c>
      <c r="H94" s="94">
        <v>0</v>
      </c>
      <c r="I94" s="14">
        <v>0</v>
      </c>
      <c r="J94" s="88">
        <f t="shared" si="5"/>
        <v>220</v>
      </c>
      <c r="K94" s="91"/>
    </row>
    <row r="95" spans="2:11" x14ac:dyDescent="0.45">
      <c r="B95" s="85">
        <f t="shared" si="6"/>
        <v>17</v>
      </c>
      <c r="C95" s="86">
        <v>46239</v>
      </c>
      <c r="D95" s="86" t="s">
        <v>498</v>
      </c>
      <c r="E95" s="11" t="s">
        <v>19</v>
      </c>
      <c r="F95" s="87">
        <v>0</v>
      </c>
      <c r="G95" s="94">
        <v>220</v>
      </c>
      <c r="H95" s="94">
        <v>0</v>
      </c>
      <c r="I95" s="14">
        <v>0</v>
      </c>
      <c r="J95" s="88">
        <f t="shared" si="5"/>
        <v>220</v>
      </c>
      <c r="K95" s="91"/>
    </row>
    <row r="96" spans="2:11" x14ac:dyDescent="0.45">
      <c r="B96" s="85">
        <f t="shared" si="6"/>
        <v>18</v>
      </c>
      <c r="C96" s="86">
        <v>46239</v>
      </c>
      <c r="D96" s="86" t="s">
        <v>499</v>
      </c>
      <c r="E96" s="11" t="s">
        <v>110</v>
      </c>
      <c r="F96" s="87">
        <v>0</v>
      </c>
      <c r="G96" s="94">
        <v>440</v>
      </c>
      <c r="H96" s="94">
        <v>0</v>
      </c>
      <c r="I96" s="14">
        <v>0</v>
      </c>
      <c r="J96" s="88">
        <f t="shared" si="5"/>
        <v>440</v>
      </c>
      <c r="K96" s="91"/>
    </row>
    <row r="97" spans="2:11" x14ac:dyDescent="0.45">
      <c r="B97" s="85">
        <f t="shared" si="6"/>
        <v>19</v>
      </c>
      <c r="C97" s="86">
        <v>46239</v>
      </c>
      <c r="D97" s="86" t="s">
        <v>500</v>
      </c>
      <c r="E97" s="11" t="s">
        <v>111</v>
      </c>
      <c r="F97" s="87">
        <v>0</v>
      </c>
      <c r="G97" s="94">
        <v>3800</v>
      </c>
      <c r="H97" s="94">
        <v>1140</v>
      </c>
      <c r="I97" s="14">
        <v>0</v>
      </c>
      <c r="J97" s="88">
        <f t="shared" si="5"/>
        <v>2660</v>
      </c>
      <c r="K97" s="91"/>
    </row>
    <row r="98" spans="2:11" x14ac:dyDescent="0.45">
      <c r="B98" s="85">
        <f t="shared" si="6"/>
        <v>20</v>
      </c>
      <c r="C98" s="86">
        <v>46239</v>
      </c>
      <c r="D98" s="86" t="s">
        <v>501</v>
      </c>
      <c r="E98" s="11" t="s">
        <v>112</v>
      </c>
      <c r="F98" s="87">
        <v>0</v>
      </c>
      <c r="G98" s="94">
        <v>3200</v>
      </c>
      <c r="H98" s="94">
        <v>0</v>
      </c>
      <c r="I98" s="14">
        <v>0</v>
      </c>
      <c r="J98" s="88">
        <f t="shared" si="5"/>
        <v>3200</v>
      </c>
      <c r="K98" s="91"/>
    </row>
    <row r="99" spans="2:11" x14ac:dyDescent="0.45">
      <c r="B99" s="85">
        <f t="shared" si="6"/>
        <v>21</v>
      </c>
      <c r="C99" s="86">
        <v>46239</v>
      </c>
      <c r="D99" s="86" t="s">
        <v>502</v>
      </c>
      <c r="E99" s="11" t="s">
        <v>113</v>
      </c>
      <c r="F99" s="87">
        <v>0</v>
      </c>
      <c r="G99" s="94">
        <v>4900</v>
      </c>
      <c r="H99" s="94">
        <v>200</v>
      </c>
      <c r="I99" s="14">
        <v>0</v>
      </c>
      <c r="J99" s="88">
        <f t="shared" si="5"/>
        <v>4700</v>
      </c>
      <c r="K99" s="91"/>
    </row>
    <row r="100" spans="2:11" x14ac:dyDescent="0.45">
      <c r="B100" s="85">
        <f t="shared" si="6"/>
        <v>22</v>
      </c>
      <c r="C100" s="86">
        <v>46239</v>
      </c>
      <c r="D100" s="86" t="s">
        <v>503</v>
      </c>
      <c r="E100" s="11" t="s">
        <v>114</v>
      </c>
      <c r="F100" s="87">
        <v>0</v>
      </c>
      <c r="G100" s="94">
        <v>1700</v>
      </c>
      <c r="H100" s="94">
        <v>200</v>
      </c>
      <c r="I100" s="14">
        <v>0</v>
      </c>
      <c r="J100" s="88">
        <f t="shared" si="5"/>
        <v>1500</v>
      </c>
      <c r="K100" s="91"/>
    </row>
    <row r="101" spans="2:11" x14ac:dyDescent="0.45">
      <c r="B101" s="85">
        <f t="shared" si="6"/>
        <v>23</v>
      </c>
      <c r="C101" s="86">
        <v>46239</v>
      </c>
      <c r="D101" s="86" t="s">
        <v>504</v>
      </c>
      <c r="E101" s="11" t="s">
        <v>115</v>
      </c>
      <c r="F101" s="87">
        <v>0</v>
      </c>
      <c r="G101" s="94">
        <v>2800</v>
      </c>
      <c r="H101" s="94">
        <v>0</v>
      </c>
      <c r="I101" s="14">
        <v>0</v>
      </c>
      <c r="J101" s="88">
        <f t="shared" si="5"/>
        <v>2800</v>
      </c>
      <c r="K101" s="91"/>
    </row>
    <row r="102" spans="2:11" x14ac:dyDescent="0.45">
      <c r="B102" s="85">
        <f t="shared" si="6"/>
        <v>24</v>
      </c>
      <c r="C102" s="86">
        <v>46239</v>
      </c>
      <c r="D102" s="86" t="s">
        <v>505</v>
      </c>
      <c r="E102" s="11" t="s">
        <v>116</v>
      </c>
      <c r="F102" s="87">
        <v>0</v>
      </c>
      <c r="G102" s="94">
        <v>4900</v>
      </c>
      <c r="H102" s="94">
        <v>1470</v>
      </c>
      <c r="I102" s="14">
        <v>0</v>
      </c>
      <c r="J102" s="88">
        <f t="shared" si="5"/>
        <v>3430</v>
      </c>
      <c r="K102" s="91"/>
    </row>
    <row r="103" spans="2:11" x14ac:dyDescent="0.45">
      <c r="B103" s="85">
        <f t="shared" si="6"/>
        <v>25</v>
      </c>
      <c r="C103" s="86">
        <v>46239</v>
      </c>
      <c r="D103" s="86" t="s">
        <v>506</v>
      </c>
      <c r="E103" s="11" t="s">
        <v>117</v>
      </c>
      <c r="F103" s="87">
        <v>0</v>
      </c>
      <c r="G103" s="94">
        <v>2500</v>
      </c>
      <c r="H103" s="94">
        <v>0</v>
      </c>
      <c r="I103" s="14">
        <v>0</v>
      </c>
      <c r="J103" s="88">
        <f t="shared" si="5"/>
        <v>2500</v>
      </c>
      <c r="K103" s="91"/>
    </row>
    <row r="104" spans="2:11" x14ac:dyDescent="0.45">
      <c r="B104" s="85">
        <f t="shared" si="6"/>
        <v>26</v>
      </c>
      <c r="C104" s="86">
        <v>46239</v>
      </c>
      <c r="D104" s="86" t="s">
        <v>507</v>
      </c>
      <c r="E104" s="11" t="s">
        <v>118</v>
      </c>
      <c r="F104" s="87">
        <v>0</v>
      </c>
      <c r="G104" s="94">
        <v>4900</v>
      </c>
      <c r="H104" s="94">
        <v>400</v>
      </c>
      <c r="I104" s="14">
        <v>0</v>
      </c>
      <c r="J104" s="88">
        <f t="shared" si="5"/>
        <v>4500</v>
      </c>
      <c r="K104" s="91"/>
    </row>
    <row r="105" spans="2:11" x14ac:dyDescent="0.45">
      <c r="B105" s="85">
        <f t="shared" si="6"/>
        <v>27</v>
      </c>
      <c r="C105" s="86">
        <v>46239</v>
      </c>
      <c r="D105" s="86" t="s">
        <v>508</v>
      </c>
      <c r="E105" s="11" t="s">
        <v>119</v>
      </c>
      <c r="F105" s="87">
        <v>0</v>
      </c>
      <c r="G105" s="94">
        <v>10000</v>
      </c>
      <c r="H105" s="94">
        <v>0</v>
      </c>
      <c r="I105" s="14">
        <v>0</v>
      </c>
      <c r="J105" s="88">
        <f t="shared" si="5"/>
        <v>10000</v>
      </c>
      <c r="K105" s="91"/>
    </row>
    <row r="106" spans="2:11" x14ac:dyDescent="0.45">
      <c r="B106" s="85">
        <f t="shared" si="6"/>
        <v>28</v>
      </c>
      <c r="C106" s="86">
        <v>46239</v>
      </c>
      <c r="D106" s="86" t="s">
        <v>509</v>
      </c>
      <c r="E106" s="11" t="s">
        <v>120</v>
      </c>
      <c r="F106" s="87">
        <v>0</v>
      </c>
      <c r="G106" s="94">
        <v>2300</v>
      </c>
      <c r="H106" s="94">
        <v>690</v>
      </c>
      <c r="I106" s="14">
        <v>0</v>
      </c>
      <c r="J106" s="88">
        <f t="shared" si="5"/>
        <v>1610</v>
      </c>
      <c r="K106" s="91"/>
    </row>
    <row r="107" spans="2:11" x14ac:dyDescent="0.45">
      <c r="B107" s="85">
        <f t="shared" si="6"/>
        <v>29</v>
      </c>
      <c r="C107" s="86">
        <v>46239</v>
      </c>
      <c r="D107" s="86" t="s">
        <v>510</v>
      </c>
      <c r="E107" s="11" t="s">
        <v>121</v>
      </c>
      <c r="F107" s="87">
        <v>0</v>
      </c>
      <c r="G107" s="94">
        <v>1800</v>
      </c>
      <c r="H107" s="94">
        <v>540</v>
      </c>
      <c r="I107" s="14">
        <v>0</v>
      </c>
      <c r="J107" s="88">
        <f t="shared" si="5"/>
        <v>1260</v>
      </c>
      <c r="K107" s="91"/>
    </row>
    <row r="108" spans="2:11" x14ac:dyDescent="0.45">
      <c r="B108" s="85">
        <f t="shared" si="6"/>
        <v>30</v>
      </c>
      <c r="C108" s="86">
        <v>46239</v>
      </c>
      <c r="D108" s="86" t="s">
        <v>511</v>
      </c>
      <c r="E108" s="11" t="s">
        <v>122</v>
      </c>
      <c r="F108" s="87">
        <v>0</v>
      </c>
      <c r="G108" s="94">
        <v>5400</v>
      </c>
      <c r="H108" s="94">
        <v>1400</v>
      </c>
      <c r="I108" s="14">
        <v>0</v>
      </c>
      <c r="J108" s="88">
        <f t="shared" si="5"/>
        <v>4000</v>
      </c>
      <c r="K108" s="91"/>
    </row>
    <row r="109" spans="2:11" x14ac:dyDescent="0.45">
      <c r="B109" s="85">
        <f t="shared" si="6"/>
        <v>31</v>
      </c>
      <c r="C109" s="86">
        <v>46239</v>
      </c>
      <c r="D109" s="86" t="s">
        <v>512</v>
      </c>
      <c r="E109" s="11" t="s">
        <v>123</v>
      </c>
      <c r="F109" s="87">
        <v>0</v>
      </c>
      <c r="G109" s="94">
        <v>1800</v>
      </c>
      <c r="H109" s="94">
        <v>200</v>
      </c>
      <c r="I109" s="14">
        <v>0</v>
      </c>
      <c r="J109" s="88">
        <f t="shared" si="5"/>
        <v>1600</v>
      </c>
      <c r="K109" s="91"/>
    </row>
    <row r="110" spans="2:11" x14ac:dyDescent="0.45">
      <c r="B110" s="85">
        <f t="shared" si="6"/>
        <v>32</v>
      </c>
      <c r="C110" s="86">
        <v>46239</v>
      </c>
      <c r="D110" s="86" t="s">
        <v>513</v>
      </c>
      <c r="E110" s="11" t="s">
        <v>122</v>
      </c>
      <c r="F110" s="87">
        <v>0</v>
      </c>
      <c r="G110" s="94">
        <v>2000</v>
      </c>
      <c r="H110" s="94">
        <v>1000</v>
      </c>
      <c r="I110" s="14">
        <v>0</v>
      </c>
      <c r="J110" s="88">
        <f t="shared" si="5"/>
        <v>1000</v>
      </c>
      <c r="K110" s="91"/>
    </row>
    <row r="111" spans="2:11" x14ac:dyDescent="0.45">
      <c r="B111" s="85">
        <f t="shared" si="6"/>
        <v>33</v>
      </c>
      <c r="C111" s="86">
        <v>46239</v>
      </c>
      <c r="D111" s="86" t="s">
        <v>514</v>
      </c>
      <c r="E111" s="11" t="s">
        <v>124</v>
      </c>
      <c r="F111" s="87">
        <v>0</v>
      </c>
      <c r="G111" s="94">
        <v>1800</v>
      </c>
      <c r="H111" s="94">
        <v>300</v>
      </c>
      <c r="I111" s="14">
        <v>0</v>
      </c>
      <c r="J111" s="88">
        <f t="shared" si="5"/>
        <v>1500</v>
      </c>
      <c r="K111" s="91"/>
    </row>
    <row r="112" spans="2:11" x14ac:dyDescent="0.45">
      <c r="B112" s="85">
        <f t="shared" si="6"/>
        <v>34</v>
      </c>
      <c r="C112" s="86">
        <v>46239</v>
      </c>
      <c r="D112" s="86" t="s">
        <v>515</v>
      </c>
      <c r="E112" s="11" t="s">
        <v>125</v>
      </c>
      <c r="F112" s="87">
        <v>0</v>
      </c>
      <c r="G112" s="94">
        <v>1900</v>
      </c>
      <c r="H112" s="94">
        <v>0</v>
      </c>
      <c r="I112" s="14">
        <v>0</v>
      </c>
      <c r="J112" s="88">
        <f t="shared" si="5"/>
        <v>1900</v>
      </c>
      <c r="K112" s="91"/>
    </row>
    <row r="113" spans="2:11" x14ac:dyDescent="0.45">
      <c r="B113" s="85">
        <f t="shared" si="6"/>
        <v>35</v>
      </c>
      <c r="C113" s="86">
        <v>46239</v>
      </c>
      <c r="D113" s="86" t="s">
        <v>516</v>
      </c>
      <c r="E113" s="11" t="s">
        <v>126</v>
      </c>
      <c r="F113" s="87">
        <v>0</v>
      </c>
      <c r="G113" s="94">
        <v>1900</v>
      </c>
      <c r="H113" s="94">
        <v>0</v>
      </c>
      <c r="I113" s="14">
        <v>0</v>
      </c>
      <c r="J113" s="88">
        <f t="shared" si="5"/>
        <v>1900</v>
      </c>
      <c r="K113" s="91"/>
    </row>
    <row r="114" spans="2:11" x14ac:dyDescent="0.45">
      <c r="B114" s="85">
        <f t="shared" si="6"/>
        <v>36</v>
      </c>
      <c r="C114" s="86">
        <v>46239</v>
      </c>
      <c r="D114" s="86" t="s">
        <v>517</v>
      </c>
      <c r="E114" s="11" t="s">
        <v>127</v>
      </c>
      <c r="F114" s="87">
        <v>0</v>
      </c>
      <c r="G114" s="94">
        <v>6600</v>
      </c>
      <c r="H114" s="94">
        <v>400</v>
      </c>
      <c r="I114" s="14">
        <v>0</v>
      </c>
      <c r="J114" s="88">
        <f t="shared" si="5"/>
        <v>6200</v>
      </c>
      <c r="K114" s="91"/>
    </row>
    <row r="115" spans="2:11" x14ac:dyDescent="0.45">
      <c r="B115" s="85">
        <f t="shared" si="6"/>
        <v>37</v>
      </c>
      <c r="C115" s="86">
        <v>46239</v>
      </c>
      <c r="D115" s="86" t="s">
        <v>518</v>
      </c>
      <c r="E115" s="11" t="s">
        <v>128</v>
      </c>
      <c r="F115" s="87">
        <v>0</v>
      </c>
      <c r="G115" s="94">
        <v>1900</v>
      </c>
      <c r="H115" s="94">
        <v>400</v>
      </c>
      <c r="I115" s="14">
        <v>0</v>
      </c>
      <c r="J115" s="88">
        <f t="shared" si="5"/>
        <v>1500</v>
      </c>
      <c r="K115" s="91"/>
    </row>
    <row r="116" spans="2:11" x14ac:dyDescent="0.45">
      <c r="B116" s="85">
        <f t="shared" si="6"/>
        <v>38</v>
      </c>
      <c r="C116" s="86">
        <v>46239</v>
      </c>
      <c r="D116" s="86" t="s">
        <v>519</v>
      </c>
      <c r="E116" s="11" t="s">
        <v>129</v>
      </c>
      <c r="F116" s="87">
        <v>0</v>
      </c>
      <c r="G116" s="94">
        <v>1800</v>
      </c>
      <c r="H116" s="94">
        <v>300</v>
      </c>
      <c r="I116" s="14">
        <v>0</v>
      </c>
      <c r="J116" s="88">
        <f t="shared" si="5"/>
        <v>1500</v>
      </c>
      <c r="K116" s="91"/>
    </row>
    <row r="117" spans="2:11" x14ac:dyDescent="0.45">
      <c r="B117" s="85">
        <f t="shared" si="6"/>
        <v>39</v>
      </c>
      <c r="C117" s="86">
        <v>46239</v>
      </c>
      <c r="D117" s="86" t="s">
        <v>520</v>
      </c>
      <c r="E117" s="11" t="s">
        <v>130</v>
      </c>
      <c r="F117" s="87">
        <v>0</v>
      </c>
      <c r="G117" s="94">
        <v>1900</v>
      </c>
      <c r="H117" s="94">
        <v>570</v>
      </c>
      <c r="I117" s="14">
        <v>0</v>
      </c>
      <c r="J117" s="88">
        <f t="shared" si="5"/>
        <v>1330</v>
      </c>
      <c r="K117" s="91"/>
    </row>
    <row r="118" spans="2:11" x14ac:dyDescent="0.45">
      <c r="B118" s="85">
        <f t="shared" si="6"/>
        <v>40</v>
      </c>
      <c r="C118" s="86">
        <v>46239</v>
      </c>
      <c r="D118" s="86" t="s">
        <v>521</v>
      </c>
      <c r="E118" s="11" t="s">
        <v>75</v>
      </c>
      <c r="F118" s="87">
        <v>0</v>
      </c>
      <c r="G118" s="94">
        <v>4940</v>
      </c>
      <c r="H118" s="94">
        <v>1440</v>
      </c>
      <c r="I118" s="14">
        <v>0</v>
      </c>
      <c r="J118" s="88">
        <f t="shared" si="5"/>
        <v>3500</v>
      </c>
      <c r="K118" s="91"/>
    </row>
    <row r="119" spans="2:11" x14ac:dyDescent="0.45">
      <c r="B119" s="85">
        <f t="shared" si="6"/>
        <v>41</v>
      </c>
      <c r="C119" s="86">
        <v>46239</v>
      </c>
      <c r="D119" s="86" t="s">
        <v>522</v>
      </c>
      <c r="E119" s="11" t="s">
        <v>131</v>
      </c>
      <c r="F119" s="87">
        <v>0</v>
      </c>
      <c r="G119" s="94">
        <v>6960</v>
      </c>
      <c r="H119" s="94">
        <v>1100</v>
      </c>
      <c r="I119" s="14">
        <v>0</v>
      </c>
      <c r="J119" s="88">
        <f t="shared" si="5"/>
        <v>5860</v>
      </c>
      <c r="K119" s="91"/>
    </row>
    <row r="120" spans="2:11" x14ac:dyDescent="0.45">
      <c r="B120" s="85">
        <f t="shared" si="6"/>
        <v>42</v>
      </c>
      <c r="C120" s="86">
        <v>46239</v>
      </c>
      <c r="D120" s="86" t="s">
        <v>523</v>
      </c>
      <c r="E120" s="11" t="s">
        <v>12</v>
      </c>
      <c r="F120" s="87">
        <v>0</v>
      </c>
      <c r="G120" s="94">
        <v>3120</v>
      </c>
      <c r="H120" s="94">
        <v>300</v>
      </c>
      <c r="I120" s="14">
        <v>0</v>
      </c>
      <c r="J120" s="88">
        <f t="shared" si="5"/>
        <v>2820</v>
      </c>
      <c r="K120" s="91"/>
    </row>
    <row r="121" spans="2:11" x14ac:dyDescent="0.45">
      <c r="B121" s="85">
        <v>1</v>
      </c>
      <c r="C121" s="86">
        <v>46240</v>
      </c>
      <c r="D121" s="86" t="s">
        <v>524</v>
      </c>
      <c r="E121" s="11" t="s">
        <v>133</v>
      </c>
      <c r="F121" s="87">
        <v>0</v>
      </c>
      <c r="G121" s="14">
        <v>52500</v>
      </c>
      <c r="H121" s="14">
        <v>19500</v>
      </c>
      <c r="I121" s="14">
        <v>0</v>
      </c>
      <c r="J121" s="88">
        <f>+G121-H121</f>
        <v>33000</v>
      </c>
      <c r="K121" s="89"/>
    </row>
    <row r="122" spans="2:11" x14ac:dyDescent="0.45">
      <c r="B122" s="85">
        <f>+B121+1</f>
        <v>2</v>
      </c>
      <c r="C122" s="86">
        <v>46240</v>
      </c>
      <c r="D122" s="86" t="s">
        <v>525</v>
      </c>
      <c r="E122" s="11" t="s">
        <v>134</v>
      </c>
      <c r="F122" s="87">
        <v>0</v>
      </c>
      <c r="G122" s="14">
        <v>440</v>
      </c>
      <c r="H122" s="14">
        <v>0</v>
      </c>
      <c r="I122" s="14">
        <v>0</v>
      </c>
      <c r="J122" s="88">
        <f t="shared" ref="J122:J151" si="7">+G122-H122</f>
        <v>440</v>
      </c>
      <c r="K122" s="90"/>
    </row>
    <row r="123" spans="2:11" x14ac:dyDescent="0.45">
      <c r="B123" s="85">
        <f t="shared" ref="B123:B151" si="8">+B122+1</f>
        <v>3</v>
      </c>
      <c r="C123" s="86">
        <v>46240</v>
      </c>
      <c r="D123" s="86" t="s">
        <v>526</v>
      </c>
      <c r="E123" s="11" t="s">
        <v>135</v>
      </c>
      <c r="F123" s="87">
        <v>0</v>
      </c>
      <c r="G123" s="14">
        <v>100</v>
      </c>
      <c r="H123" s="14">
        <v>0</v>
      </c>
      <c r="I123" s="14">
        <v>0</v>
      </c>
      <c r="J123" s="88">
        <f t="shared" si="7"/>
        <v>100</v>
      </c>
      <c r="K123" s="90"/>
    </row>
    <row r="124" spans="2:11" x14ac:dyDescent="0.45">
      <c r="B124" s="85">
        <f t="shared" si="8"/>
        <v>4</v>
      </c>
      <c r="C124" s="86">
        <v>46240</v>
      </c>
      <c r="D124" s="86" t="s">
        <v>527</v>
      </c>
      <c r="E124" s="11" t="s">
        <v>136</v>
      </c>
      <c r="F124" s="87">
        <v>0</v>
      </c>
      <c r="G124" s="14">
        <v>1900</v>
      </c>
      <c r="H124" s="14">
        <v>570</v>
      </c>
      <c r="I124" s="14">
        <v>0</v>
      </c>
      <c r="J124" s="88">
        <f t="shared" si="7"/>
        <v>1330</v>
      </c>
      <c r="K124" s="91"/>
    </row>
    <row r="125" spans="2:11" x14ac:dyDescent="0.45">
      <c r="B125" s="85">
        <f t="shared" si="8"/>
        <v>5</v>
      </c>
      <c r="C125" s="86">
        <v>46240</v>
      </c>
      <c r="D125" s="86" t="s">
        <v>528</v>
      </c>
      <c r="E125" s="11" t="s">
        <v>137</v>
      </c>
      <c r="F125" s="87">
        <v>0</v>
      </c>
      <c r="G125" s="14">
        <v>6500</v>
      </c>
      <c r="H125" s="14">
        <v>6500</v>
      </c>
      <c r="I125" s="14">
        <v>0</v>
      </c>
      <c r="J125" s="88">
        <f t="shared" si="7"/>
        <v>0</v>
      </c>
      <c r="K125" s="89"/>
    </row>
    <row r="126" spans="2:11" x14ac:dyDescent="0.45">
      <c r="B126" s="85">
        <f t="shared" si="8"/>
        <v>6</v>
      </c>
      <c r="C126" s="86">
        <v>46240</v>
      </c>
      <c r="D126" s="86" t="s">
        <v>529</v>
      </c>
      <c r="E126" s="11" t="s">
        <v>138</v>
      </c>
      <c r="F126" s="87">
        <v>0</v>
      </c>
      <c r="G126" s="14">
        <v>1900</v>
      </c>
      <c r="H126" s="14">
        <v>570</v>
      </c>
      <c r="I126" s="14">
        <v>0</v>
      </c>
      <c r="J126" s="88">
        <f t="shared" si="7"/>
        <v>1330</v>
      </c>
      <c r="K126" s="91"/>
    </row>
    <row r="127" spans="2:11" x14ac:dyDescent="0.45">
      <c r="B127" s="85">
        <f t="shared" si="8"/>
        <v>7</v>
      </c>
      <c r="C127" s="86">
        <v>46240</v>
      </c>
      <c r="D127" s="86" t="s">
        <v>530</v>
      </c>
      <c r="E127" s="11" t="s">
        <v>139</v>
      </c>
      <c r="F127" s="87">
        <v>0</v>
      </c>
      <c r="G127" s="14">
        <v>2300</v>
      </c>
      <c r="H127" s="14">
        <v>0</v>
      </c>
      <c r="I127" s="14">
        <v>0</v>
      </c>
      <c r="J127" s="88">
        <f t="shared" si="7"/>
        <v>2300</v>
      </c>
      <c r="K127" s="91"/>
    </row>
    <row r="128" spans="2:11" x14ac:dyDescent="0.45">
      <c r="B128" s="85">
        <f t="shared" si="8"/>
        <v>8</v>
      </c>
      <c r="C128" s="86">
        <v>46240</v>
      </c>
      <c r="D128" s="86" t="s">
        <v>531</v>
      </c>
      <c r="E128" s="11" t="s">
        <v>140</v>
      </c>
      <c r="F128" s="87">
        <v>0</v>
      </c>
      <c r="G128" s="14">
        <v>2200</v>
      </c>
      <c r="H128" s="14">
        <v>660</v>
      </c>
      <c r="I128" s="14">
        <v>0</v>
      </c>
      <c r="J128" s="88">
        <f t="shared" si="7"/>
        <v>1540</v>
      </c>
      <c r="K128" s="91"/>
    </row>
    <row r="129" spans="2:11" x14ac:dyDescent="0.45">
      <c r="B129" s="85">
        <f t="shared" si="8"/>
        <v>9</v>
      </c>
      <c r="C129" s="86">
        <v>46240</v>
      </c>
      <c r="D129" s="86" t="s">
        <v>532</v>
      </c>
      <c r="E129" s="11" t="s">
        <v>67</v>
      </c>
      <c r="F129" s="87">
        <v>0</v>
      </c>
      <c r="G129" s="14">
        <v>7200</v>
      </c>
      <c r="H129" s="14">
        <v>0</v>
      </c>
      <c r="I129" s="14">
        <v>0</v>
      </c>
      <c r="J129" s="88">
        <f t="shared" si="7"/>
        <v>7200</v>
      </c>
      <c r="K129" s="91"/>
    </row>
    <row r="130" spans="2:11" x14ac:dyDescent="0.45">
      <c r="B130" s="85">
        <f t="shared" si="8"/>
        <v>10</v>
      </c>
      <c r="C130" s="86">
        <v>46240</v>
      </c>
      <c r="D130" s="86" t="s">
        <v>533</v>
      </c>
      <c r="E130" s="11" t="s">
        <v>141</v>
      </c>
      <c r="F130" s="87">
        <v>0</v>
      </c>
      <c r="G130" s="14">
        <v>3200</v>
      </c>
      <c r="H130" s="14">
        <v>0</v>
      </c>
      <c r="I130" s="14">
        <v>0</v>
      </c>
      <c r="J130" s="88">
        <f t="shared" si="7"/>
        <v>3200</v>
      </c>
      <c r="K130" s="91"/>
    </row>
    <row r="131" spans="2:11" x14ac:dyDescent="0.45">
      <c r="B131" s="85">
        <f t="shared" si="8"/>
        <v>11</v>
      </c>
      <c r="C131" s="86">
        <v>46240</v>
      </c>
      <c r="D131" s="86" t="s">
        <v>534</v>
      </c>
      <c r="E131" s="11" t="s">
        <v>142</v>
      </c>
      <c r="F131" s="87">
        <v>0</v>
      </c>
      <c r="G131" s="14">
        <v>100</v>
      </c>
      <c r="H131" s="14">
        <v>0</v>
      </c>
      <c r="I131" s="14">
        <v>0</v>
      </c>
      <c r="J131" s="88">
        <f t="shared" si="7"/>
        <v>100</v>
      </c>
      <c r="K131" s="89"/>
    </row>
    <row r="132" spans="2:11" x14ac:dyDescent="0.45">
      <c r="B132" s="85">
        <f t="shared" si="8"/>
        <v>12</v>
      </c>
      <c r="C132" s="86">
        <v>46240</v>
      </c>
      <c r="D132" s="86" t="s">
        <v>535</v>
      </c>
      <c r="E132" s="11" t="s">
        <v>143</v>
      </c>
      <c r="F132" s="87">
        <v>0</v>
      </c>
      <c r="G132" s="14">
        <v>2700</v>
      </c>
      <c r="H132" s="14">
        <v>0</v>
      </c>
      <c r="I132" s="14">
        <v>0</v>
      </c>
      <c r="J132" s="88">
        <f t="shared" si="7"/>
        <v>2700</v>
      </c>
      <c r="K132" s="91"/>
    </row>
    <row r="133" spans="2:11" x14ac:dyDescent="0.45">
      <c r="B133" s="85">
        <f t="shared" si="8"/>
        <v>13</v>
      </c>
      <c r="C133" s="86">
        <v>46240</v>
      </c>
      <c r="D133" s="86" t="s">
        <v>536</v>
      </c>
      <c r="E133" s="11" t="s">
        <v>144</v>
      </c>
      <c r="F133" s="87">
        <v>0</v>
      </c>
      <c r="G133" s="14">
        <v>220</v>
      </c>
      <c r="H133" s="14">
        <v>0</v>
      </c>
      <c r="I133" s="14">
        <v>0</v>
      </c>
      <c r="J133" s="88">
        <f t="shared" si="7"/>
        <v>220</v>
      </c>
      <c r="K133" s="91"/>
    </row>
    <row r="134" spans="2:11" x14ac:dyDescent="0.45">
      <c r="B134" s="85">
        <f t="shared" si="8"/>
        <v>14</v>
      </c>
      <c r="C134" s="86">
        <v>46240</v>
      </c>
      <c r="D134" s="86" t="s">
        <v>537</v>
      </c>
      <c r="E134" s="11" t="s">
        <v>50</v>
      </c>
      <c r="F134" s="87">
        <v>0</v>
      </c>
      <c r="G134" s="14">
        <v>1100</v>
      </c>
      <c r="H134" s="14">
        <v>0</v>
      </c>
      <c r="I134" s="14">
        <v>0</v>
      </c>
      <c r="J134" s="88">
        <f t="shared" si="7"/>
        <v>1100</v>
      </c>
      <c r="K134" s="91"/>
    </row>
    <row r="135" spans="2:11" x14ac:dyDescent="0.45">
      <c r="B135" s="85">
        <f t="shared" si="8"/>
        <v>15</v>
      </c>
      <c r="C135" s="86">
        <v>46240</v>
      </c>
      <c r="D135" s="86" t="s">
        <v>538</v>
      </c>
      <c r="E135" s="11" t="s">
        <v>145</v>
      </c>
      <c r="F135" s="87">
        <v>0</v>
      </c>
      <c r="G135" s="14">
        <v>500</v>
      </c>
      <c r="H135" s="14">
        <v>0</v>
      </c>
      <c r="I135" s="14">
        <v>0</v>
      </c>
      <c r="J135" s="88">
        <f t="shared" si="7"/>
        <v>500</v>
      </c>
      <c r="K135" s="91"/>
    </row>
    <row r="136" spans="2:11" x14ac:dyDescent="0.45">
      <c r="B136" s="85">
        <f t="shared" si="8"/>
        <v>16</v>
      </c>
      <c r="C136" s="86">
        <v>46240</v>
      </c>
      <c r="D136" s="86" t="s">
        <v>539</v>
      </c>
      <c r="E136" s="11" t="s">
        <v>18</v>
      </c>
      <c r="F136" s="87">
        <v>0</v>
      </c>
      <c r="G136" s="14">
        <v>440</v>
      </c>
      <c r="H136" s="14">
        <v>0</v>
      </c>
      <c r="I136" s="14">
        <v>0</v>
      </c>
      <c r="J136" s="88">
        <f t="shared" si="7"/>
        <v>440</v>
      </c>
      <c r="K136" s="91"/>
    </row>
    <row r="137" spans="2:11" x14ac:dyDescent="0.45">
      <c r="B137" s="85">
        <f t="shared" si="8"/>
        <v>17</v>
      </c>
      <c r="C137" s="86">
        <v>46240</v>
      </c>
      <c r="D137" s="86" t="s">
        <v>540</v>
      </c>
      <c r="E137" s="11" t="s">
        <v>146</v>
      </c>
      <c r="F137" s="87">
        <v>0</v>
      </c>
      <c r="G137" s="14">
        <v>1700</v>
      </c>
      <c r="H137" s="14">
        <v>0</v>
      </c>
      <c r="I137" s="14">
        <v>0</v>
      </c>
      <c r="J137" s="88">
        <f t="shared" si="7"/>
        <v>1700</v>
      </c>
      <c r="K137" s="91"/>
    </row>
    <row r="138" spans="2:11" x14ac:dyDescent="0.45">
      <c r="B138" s="85">
        <f t="shared" si="8"/>
        <v>18</v>
      </c>
      <c r="C138" s="86">
        <v>46240</v>
      </c>
      <c r="D138" s="86" t="s">
        <v>541</v>
      </c>
      <c r="E138" s="11" t="s">
        <v>147</v>
      </c>
      <c r="F138" s="87">
        <v>0</v>
      </c>
      <c r="G138" s="14">
        <v>5000</v>
      </c>
      <c r="H138" s="14">
        <v>1570</v>
      </c>
      <c r="I138" s="14">
        <v>0</v>
      </c>
      <c r="J138" s="88">
        <f t="shared" si="7"/>
        <v>3430</v>
      </c>
      <c r="K138" s="91"/>
    </row>
    <row r="139" spans="2:11" x14ac:dyDescent="0.45">
      <c r="B139" s="85">
        <f t="shared" si="8"/>
        <v>19</v>
      </c>
      <c r="C139" s="86">
        <v>46240</v>
      </c>
      <c r="D139" s="86" t="s">
        <v>542</v>
      </c>
      <c r="E139" s="11" t="s">
        <v>148</v>
      </c>
      <c r="F139" s="87">
        <v>0</v>
      </c>
      <c r="G139" s="14">
        <f>3500*6</f>
        <v>21000</v>
      </c>
      <c r="H139" s="14">
        <v>6300</v>
      </c>
      <c r="I139" s="14">
        <v>0</v>
      </c>
      <c r="J139" s="88">
        <f t="shared" si="7"/>
        <v>14700</v>
      </c>
      <c r="K139" s="91"/>
    </row>
    <row r="140" spans="2:11" x14ac:dyDescent="0.45">
      <c r="B140" s="85">
        <f t="shared" si="8"/>
        <v>20</v>
      </c>
      <c r="C140" s="86">
        <v>46240</v>
      </c>
      <c r="D140" s="86" t="s">
        <v>543</v>
      </c>
      <c r="E140" s="11" t="s">
        <v>149</v>
      </c>
      <c r="F140" s="87">
        <v>0</v>
      </c>
      <c r="G140" s="14">
        <f>3500*4</f>
        <v>14000</v>
      </c>
      <c r="H140" s="14">
        <v>800</v>
      </c>
      <c r="I140" s="14">
        <v>0</v>
      </c>
      <c r="J140" s="88">
        <f t="shared" si="7"/>
        <v>13200</v>
      </c>
      <c r="K140" s="91"/>
    </row>
    <row r="141" spans="2:11" x14ac:dyDescent="0.45">
      <c r="B141" s="85">
        <f t="shared" si="8"/>
        <v>21</v>
      </c>
      <c r="C141" s="86">
        <v>46240</v>
      </c>
      <c r="D141" s="86" t="s">
        <v>544</v>
      </c>
      <c r="E141" s="11" t="s">
        <v>18</v>
      </c>
      <c r="F141" s="87">
        <v>0</v>
      </c>
      <c r="G141" s="14">
        <v>440</v>
      </c>
      <c r="H141" s="14">
        <v>0</v>
      </c>
      <c r="I141" s="14">
        <v>0</v>
      </c>
      <c r="J141" s="88">
        <f t="shared" si="7"/>
        <v>440</v>
      </c>
      <c r="K141" s="91"/>
    </row>
    <row r="142" spans="2:11" x14ac:dyDescent="0.45">
      <c r="B142" s="85">
        <f t="shared" si="8"/>
        <v>22</v>
      </c>
      <c r="C142" s="86">
        <v>46240</v>
      </c>
      <c r="D142" s="86" t="s">
        <v>545</v>
      </c>
      <c r="E142" s="11" t="s">
        <v>18</v>
      </c>
      <c r="F142" s="87">
        <v>0</v>
      </c>
      <c r="G142" s="14">
        <v>220</v>
      </c>
      <c r="H142" s="14">
        <v>0</v>
      </c>
      <c r="I142" s="14">
        <v>0</v>
      </c>
      <c r="J142" s="88">
        <f t="shared" si="7"/>
        <v>220</v>
      </c>
      <c r="K142" s="91"/>
    </row>
    <row r="143" spans="2:11" x14ac:dyDescent="0.45">
      <c r="B143" s="85">
        <f t="shared" si="8"/>
        <v>23</v>
      </c>
      <c r="C143" s="86">
        <v>46240</v>
      </c>
      <c r="D143" s="86" t="s">
        <v>546</v>
      </c>
      <c r="E143" s="11" t="s">
        <v>150</v>
      </c>
      <c r="F143" s="87">
        <v>0</v>
      </c>
      <c r="G143" s="14">
        <v>1800</v>
      </c>
      <c r="H143" s="14">
        <v>300</v>
      </c>
      <c r="I143" s="14">
        <v>0</v>
      </c>
      <c r="J143" s="88">
        <f t="shared" si="7"/>
        <v>1500</v>
      </c>
      <c r="K143" s="91"/>
    </row>
    <row r="144" spans="2:11" x14ac:dyDescent="0.45">
      <c r="B144" s="85">
        <f t="shared" si="8"/>
        <v>24</v>
      </c>
      <c r="C144" s="86">
        <v>46240</v>
      </c>
      <c r="D144" s="86" t="s">
        <v>547</v>
      </c>
      <c r="E144" s="11" t="s">
        <v>151</v>
      </c>
      <c r="F144" s="87">
        <v>0</v>
      </c>
      <c r="G144" s="14">
        <v>4420</v>
      </c>
      <c r="H144" s="14">
        <v>600</v>
      </c>
      <c r="I144" s="14">
        <v>0</v>
      </c>
      <c r="J144" s="88">
        <f t="shared" si="7"/>
        <v>3820</v>
      </c>
      <c r="K144" s="91"/>
    </row>
    <row r="145" spans="2:11" x14ac:dyDescent="0.45">
      <c r="B145" s="85">
        <f t="shared" si="8"/>
        <v>25</v>
      </c>
      <c r="C145" s="86">
        <v>46240</v>
      </c>
      <c r="D145" s="86" t="s">
        <v>548</v>
      </c>
      <c r="E145" s="11" t="s">
        <v>152</v>
      </c>
      <c r="F145" s="87">
        <v>0</v>
      </c>
      <c r="G145" s="14">
        <v>2000</v>
      </c>
      <c r="H145" s="14">
        <v>300</v>
      </c>
      <c r="I145" s="14">
        <v>0</v>
      </c>
      <c r="J145" s="88">
        <f t="shared" si="7"/>
        <v>1700</v>
      </c>
      <c r="K145" s="91"/>
    </row>
    <row r="146" spans="2:11" x14ac:dyDescent="0.45">
      <c r="B146" s="85">
        <f t="shared" si="8"/>
        <v>26</v>
      </c>
      <c r="C146" s="86">
        <v>46240</v>
      </c>
      <c r="D146" s="86" t="s">
        <v>549</v>
      </c>
      <c r="E146" s="11" t="s">
        <v>153</v>
      </c>
      <c r="F146" s="87">
        <v>0</v>
      </c>
      <c r="G146" s="14">
        <v>1700</v>
      </c>
      <c r="H146" s="14">
        <v>200</v>
      </c>
      <c r="I146" s="14">
        <v>0</v>
      </c>
      <c r="J146" s="88">
        <f t="shared" si="7"/>
        <v>1500</v>
      </c>
      <c r="K146" s="91"/>
    </row>
    <row r="147" spans="2:11" x14ac:dyDescent="0.45">
      <c r="B147" s="85">
        <f t="shared" si="8"/>
        <v>27</v>
      </c>
      <c r="C147" s="86">
        <v>46240</v>
      </c>
      <c r="D147" s="86" t="s">
        <v>550</v>
      </c>
      <c r="E147" s="11" t="s">
        <v>154</v>
      </c>
      <c r="F147" s="87">
        <v>0</v>
      </c>
      <c r="G147" s="14">
        <v>1900</v>
      </c>
      <c r="H147" s="14">
        <v>570</v>
      </c>
      <c r="I147" s="14">
        <v>0</v>
      </c>
      <c r="J147" s="88">
        <f t="shared" si="7"/>
        <v>1330</v>
      </c>
      <c r="K147" s="91"/>
    </row>
    <row r="148" spans="2:11" x14ac:dyDescent="0.45">
      <c r="B148" s="85">
        <f t="shared" si="8"/>
        <v>28</v>
      </c>
      <c r="C148" s="86">
        <v>46240</v>
      </c>
      <c r="D148" s="86" t="s">
        <v>551</v>
      </c>
      <c r="E148" s="11" t="s">
        <v>155</v>
      </c>
      <c r="F148" s="87">
        <v>0</v>
      </c>
      <c r="G148" s="14">
        <v>2500</v>
      </c>
      <c r="H148" s="14">
        <v>200</v>
      </c>
      <c r="I148" s="14">
        <v>0</v>
      </c>
      <c r="J148" s="88">
        <f t="shared" si="7"/>
        <v>2300</v>
      </c>
      <c r="K148" s="91"/>
    </row>
    <row r="149" spans="2:11" x14ac:dyDescent="0.45">
      <c r="B149" s="85">
        <f t="shared" si="8"/>
        <v>29</v>
      </c>
      <c r="C149" s="86">
        <v>46240</v>
      </c>
      <c r="D149" s="86" t="s">
        <v>552</v>
      </c>
      <c r="E149" s="11" t="s">
        <v>63</v>
      </c>
      <c r="F149" s="87">
        <v>0</v>
      </c>
      <c r="G149" s="14">
        <v>2500</v>
      </c>
      <c r="H149" s="14">
        <v>600</v>
      </c>
      <c r="I149" s="14">
        <v>0</v>
      </c>
      <c r="J149" s="88">
        <f t="shared" si="7"/>
        <v>1900</v>
      </c>
      <c r="K149" s="91"/>
    </row>
    <row r="150" spans="2:11" x14ac:dyDescent="0.45">
      <c r="B150" s="85">
        <f t="shared" si="8"/>
        <v>30</v>
      </c>
      <c r="C150" s="86">
        <v>46240</v>
      </c>
      <c r="D150" s="86" t="s">
        <v>553</v>
      </c>
      <c r="E150" s="11" t="s">
        <v>156</v>
      </c>
      <c r="F150" s="87">
        <v>0</v>
      </c>
      <c r="G150" s="14">
        <v>1920</v>
      </c>
      <c r="H150" s="14">
        <v>200</v>
      </c>
      <c r="I150" s="14">
        <v>0</v>
      </c>
      <c r="J150" s="88">
        <f t="shared" si="7"/>
        <v>1720</v>
      </c>
      <c r="K150" s="91"/>
    </row>
    <row r="151" spans="2:11" x14ac:dyDescent="0.45">
      <c r="B151" s="85">
        <f t="shared" si="8"/>
        <v>31</v>
      </c>
      <c r="C151" s="86">
        <v>46240</v>
      </c>
      <c r="D151" s="86" t="s">
        <v>554</v>
      </c>
      <c r="E151" s="11" t="s">
        <v>76</v>
      </c>
      <c r="F151" s="87">
        <v>0</v>
      </c>
      <c r="G151" s="14">
        <v>2020</v>
      </c>
      <c r="H151" s="14">
        <v>400</v>
      </c>
      <c r="I151" s="14">
        <v>0</v>
      </c>
      <c r="J151" s="88">
        <f t="shared" si="7"/>
        <v>1620</v>
      </c>
      <c r="K151" s="91"/>
    </row>
    <row r="152" spans="2:11" x14ac:dyDescent="0.45">
      <c r="B152" s="85">
        <v>1</v>
      </c>
      <c r="C152" s="86">
        <v>46241</v>
      </c>
      <c r="D152" s="86" t="s">
        <v>555</v>
      </c>
      <c r="E152" s="11" t="s">
        <v>48</v>
      </c>
      <c r="F152" s="87">
        <v>0</v>
      </c>
      <c r="G152" s="14">
        <v>220</v>
      </c>
      <c r="H152" s="14">
        <v>0</v>
      </c>
      <c r="I152" s="14">
        <v>0</v>
      </c>
      <c r="J152" s="88">
        <f>+G152-H152</f>
        <v>220</v>
      </c>
      <c r="K152" s="89"/>
    </row>
    <row r="153" spans="2:11" x14ac:dyDescent="0.45">
      <c r="B153" s="85">
        <f>+B152+1</f>
        <v>2</v>
      </c>
      <c r="C153" s="86">
        <v>46241</v>
      </c>
      <c r="D153" s="86" t="s">
        <v>556</v>
      </c>
      <c r="E153" s="11" t="s">
        <v>158</v>
      </c>
      <c r="F153" s="87">
        <v>0</v>
      </c>
      <c r="G153" s="14">
        <v>100</v>
      </c>
      <c r="H153" s="14">
        <v>0</v>
      </c>
      <c r="I153" s="14">
        <v>0</v>
      </c>
      <c r="J153" s="88">
        <f t="shared" ref="J153:J181" si="9">+G153-H153</f>
        <v>100</v>
      </c>
      <c r="K153" s="90"/>
    </row>
    <row r="154" spans="2:11" x14ac:dyDescent="0.45">
      <c r="B154" s="85">
        <f t="shared" ref="B154:B181" si="10">+B153+1</f>
        <v>3</v>
      </c>
      <c r="C154" s="86">
        <v>46241</v>
      </c>
      <c r="D154" s="86" t="s">
        <v>557</v>
      </c>
      <c r="E154" s="11" t="s">
        <v>110</v>
      </c>
      <c r="F154" s="87">
        <v>0</v>
      </c>
      <c r="G154" s="14">
        <v>220</v>
      </c>
      <c r="H154" s="14">
        <v>0</v>
      </c>
      <c r="I154" s="14">
        <v>0</v>
      </c>
      <c r="J154" s="88">
        <f t="shared" si="9"/>
        <v>220</v>
      </c>
      <c r="K154" s="90"/>
    </row>
    <row r="155" spans="2:11" x14ac:dyDescent="0.45">
      <c r="B155" s="85">
        <f t="shared" si="10"/>
        <v>4</v>
      </c>
      <c r="C155" s="86">
        <v>46241</v>
      </c>
      <c r="D155" s="86" t="s">
        <v>558</v>
      </c>
      <c r="E155" s="11" t="s">
        <v>106</v>
      </c>
      <c r="F155" s="87">
        <v>0</v>
      </c>
      <c r="G155" s="14">
        <v>1100</v>
      </c>
      <c r="H155" s="14">
        <v>0</v>
      </c>
      <c r="I155" s="14">
        <v>0</v>
      </c>
      <c r="J155" s="88">
        <f t="shared" si="9"/>
        <v>1100</v>
      </c>
      <c r="K155" s="91"/>
    </row>
    <row r="156" spans="2:11" x14ac:dyDescent="0.45">
      <c r="B156" s="85">
        <f t="shared" si="10"/>
        <v>5</v>
      </c>
      <c r="C156" s="86">
        <v>46241</v>
      </c>
      <c r="D156" s="86" t="s">
        <v>559</v>
      </c>
      <c r="E156" s="11" t="s">
        <v>159</v>
      </c>
      <c r="F156" s="87">
        <v>0</v>
      </c>
      <c r="G156" s="14">
        <v>1700</v>
      </c>
      <c r="H156" s="14">
        <v>200</v>
      </c>
      <c r="I156" s="14">
        <v>0</v>
      </c>
      <c r="J156" s="88">
        <f t="shared" si="9"/>
        <v>1500</v>
      </c>
      <c r="K156" s="89"/>
    </row>
    <row r="157" spans="2:11" x14ac:dyDescent="0.45">
      <c r="B157" s="85">
        <f t="shared" si="10"/>
        <v>6</v>
      </c>
      <c r="C157" s="86">
        <v>46241</v>
      </c>
      <c r="D157" s="86" t="s">
        <v>560</v>
      </c>
      <c r="E157" s="11" t="s">
        <v>160</v>
      </c>
      <c r="F157" s="87">
        <v>0</v>
      </c>
      <c r="G157" s="14">
        <v>1700</v>
      </c>
      <c r="H157" s="14">
        <v>200</v>
      </c>
      <c r="I157" s="14">
        <v>0</v>
      </c>
      <c r="J157" s="88">
        <f t="shared" si="9"/>
        <v>1500</v>
      </c>
      <c r="K157" s="91"/>
    </row>
    <row r="158" spans="2:11" x14ac:dyDescent="0.45">
      <c r="B158" s="85">
        <f t="shared" si="10"/>
        <v>7</v>
      </c>
      <c r="C158" s="86">
        <v>46241</v>
      </c>
      <c r="D158" s="86" t="s">
        <v>561</v>
      </c>
      <c r="E158" s="11" t="s">
        <v>161</v>
      </c>
      <c r="F158" s="87">
        <v>0</v>
      </c>
      <c r="G158" s="14">
        <v>1800</v>
      </c>
      <c r="H158" s="14">
        <v>300</v>
      </c>
      <c r="I158" s="14">
        <v>0</v>
      </c>
      <c r="J158" s="88">
        <f t="shared" si="9"/>
        <v>1500</v>
      </c>
      <c r="K158" s="91"/>
    </row>
    <row r="159" spans="2:11" x14ac:dyDescent="0.45">
      <c r="B159" s="85">
        <f t="shared" si="10"/>
        <v>8</v>
      </c>
      <c r="C159" s="86">
        <v>46241</v>
      </c>
      <c r="D159" s="86" t="s">
        <v>562</v>
      </c>
      <c r="E159" s="11" t="s">
        <v>162</v>
      </c>
      <c r="F159" s="87">
        <v>0</v>
      </c>
      <c r="G159" s="14">
        <v>1900</v>
      </c>
      <c r="H159" s="14">
        <v>200</v>
      </c>
      <c r="I159" s="14">
        <v>0</v>
      </c>
      <c r="J159" s="88">
        <f t="shared" si="9"/>
        <v>1700</v>
      </c>
      <c r="K159" s="91"/>
    </row>
    <row r="160" spans="2:11" x14ac:dyDescent="0.45">
      <c r="B160" s="85">
        <f t="shared" si="10"/>
        <v>9</v>
      </c>
      <c r="C160" s="86">
        <v>46241</v>
      </c>
      <c r="D160" s="86" t="s">
        <v>563</v>
      </c>
      <c r="E160" s="11" t="s">
        <v>163</v>
      </c>
      <c r="F160" s="87">
        <v>0</v>
      </c>
      <c r="G160" s="14">
        <v>12780</v>
      </c>
      <c r="H160" s="14">
        <v>3750</v>
      </c>
      <c r="I160" s="14">
        <v>0</v>
      </c>
      <c r="J160" s="88">
        <f t="shared" si="9"/>
        <v>9030</v>
      </c>
      <c r="K160" s="91"/>
    </row>
    <row r="161" spans="2:11" x14ac:dyDescent="0.45">
      <c r="B161" s="85">
        <f t="shared" si="10"/>
        <v>10</v>
      </c>
      <c r="C161" s="86">
        <v>46241</v>
      </c>
      <c r="D161" s="86" t="s">
        <v>564</v>
      </c>
      <c r="E161" s="11" t="s">
        <v>164</v>
      </c>
      <c r="F161" s="87">
        <v>0</v>
      </c>
      <c r="G161" s="14">
        <v>1900</v>
      </c>
      <c r="H161" s="14">
        <v>400</v>
      </c>
      <c r="I161" s="14">
        <v>0</v>
      </c>
      <c r="J161" s="88">
        <f t="shared" si="9"/>
        <v>1500</v>
      </c>
      <c r="K161" s="91"/>
    </row>
    <row r="162" spans="2:11" x14ac:dyDescent="0.45">
      <c r="B162" s="85">
        <f t="shared" si="10"/>
        <v>11</v>
      </c>
      <c r="C162" s="86">
        <v>46241</v>
      </c>
      <c r="D162" s="86" t="s">
        <v>565</v>
      </c>
      <c r="E162" s="11" t="s">
        <v>165</v>
      </c>
      <c r="F162" s="87">
        <v>0</v>
      </c>
      <c r="G162" s="14">
        <v>15000</v>
      </c>
      <c r="H162" s="14">
        <v>0</v>
      </c>
      <c r="I162" s="14">
        <v>0</v>
      </c>
      <c r="J162" s="88">
        <f t="shared" si="9"/>
        <v>15000</v>
      </c>
      <c r="K162" s="89"/>
    </row>
    <row r="163" spans="2:11" x14ac:dyDescent="0.45">
      <c r="B163" s="85">
        <f t="shared" si="10"/>
        <v>12</v>
      </c>
      <c r="C163" s="86">
        <v>46241</v>
      </c>
      <c r="D163" s="86" t="s">
        <v>566</v>
      </c>
      <c r="E163" s="11" t="s">
        <v>166</v>
      </c>
      <c r="F163" s="87">
        <v>0</v>
      </c>
      <c r="G163" s="14">
        <v>3800</v>
      </c>
      <c r="H163" s="14">
        <v>1070</v>
      </c>
      <c r="I163" s="14">
        <v>0</v>
      </c>
      <c r="J163" s="88">
        <f t="shared" si="9"/>
        <v>2730</v>
      </c>
      <c r="K163" s="91"/>
    </row>
    <row r="164" spans="2:11" x14ac:dyDescent="0.45">
      <c r="B164" s="85">
        <f t="shared" si="10"/>
        <v>13</v>
      </c>
      <c r="C164" s="86">
        <v>46241</v>
      </c>
      <c r="D164" s="86" t="s">
        <v>567</v>
      </c>
      <c r="E164" s="11" t="s">
        <v>167</v>
      </c>
      <c r="F164" s="87">
        <v>0</v>
      </c>
      <c r="G164" s="14">
        <v>3400</v>
      </c>
      <c r="H164" s="14">
        <v>700</v>
      </c>
      <c r="I164" s="14">
        <v>0</v>
      </c>
      <c r="J164" s="88">
        <f t="shared" si="9"/>
        <v>2700</v>
      </c>
      <c r="K164" s="91"/>
    </row>
    <row r="165" spans="2:11" x14ac:dyDescent="0.45">
      <c r="B165" s="85">
        <f t="shared" si="10"/>
        <v>14</v>
      </c>
      <c r="C165" s="86">
        <v>46241</v>
      </c>
      <c r="D165" s="86" t="s">
        <v>568</v>
      </c>
      <c r="E165" s="11" t="s">
        <v>168</v>
      </c>
      <c r="F165" s="87">
        <v>0</v>
      </c>
      <c r="G165" s="14">
        <v>1800</v>
      </c>
      <c r="H165" s="14">
        <v>300</v>
      </c>
      <c r="I165" s="14">
        <v>0</v>
      </c>
      <c r="J165" s="88">
        <f t="shared" si="9"/>
        <v>1500</v>
      </c>
      <c r="K165" s="91"/>
    </row>
    <row r="166" spans="2:11" x14ac:dyDescent="0.45">
      <c r="B166" s="85">
        <f t="shared" si="10"/>
        <v>15</v>
      </c>
      <c r="C166" s="86">
        <v>46241</v>
      </c>
      <c r="D166" s="86" t="s">
        <v>569</v>
      </c>
      <c r="E166" s="11" t="s">
        <v>169</v>
      </c>
      <c r="F166" s="87">
        <v>0</v>
      </c>
      <c r="G166" s="14">
        <v>13500</v>
      </c>
      <c r="H166" s="14">
        <v>3150</v>
      </c>
      <c r="I166" s="14">
        <v>0</v>
      </c>
      <c r="J166" s="88">
        <f t="shared" si="9"/>
        <v>10350</v>
      </c>
      <c r="K166" s="91"/>
    </row>
    <row r="167" spans="2:11" x14ac:dyDescent="0.45">
      <c r="B167" s="85">
        <f t="shared" si="10"/>
        <v>16</v>
      </c>
      <c r="C167" s="86">
        <v>46241</v>
      </c>
      <c r="D167" s="86" t="s">
        <v>570</v>
      </c>
      <c r="E167" s="11" t="s">
        <v>130</v>
      </c>
      <c r="F167" s="87">
        <v>0</v>
      </c>
      <c r="G167" s="14">
        <v>1900</v>
      </c>
      <c r="H167" s="14">
        <v>570</v>
      </c>
      <c r="I167" s="14">
        <v>0</v>
      </c>
      <c r="J167" s="88">
        <f t="shared" si="9"/>
        <v>1330</v>
      </c>
      <c r="K167" s="91"/>
    </row>
    <row r="168" spans="2:11" x14ac:dyDescent="0.45">
      <c r="B168" s="85">
        <f t="shared" si="10"/>
        <v>17</v>
      </c>
      <c r="C168" s="86">
        <v>46241</v>
      </c>
      <c r="D168" s="86" t="s">
        <v>571</v>
      </c>
      <c r="E168" s="11" t="s">
        <v>137</v>
      </c>
      <c r="F168" s="87">
        <v>0</v>
      </c>
      <c r="G168" s="14">
        <v>220</v>
      </c>
      <c r="H168" s="14">
        <v>0</v>
      </c>
      <c r="I168" s="14">
        <v>0</v>
      </c>
      <c r="J168" s="88">
        <f t="shared" si="9"/>
        <v>220</v>
      </c>
      <c r="K168" s="91"/>
    </row>
    <row r="169" spans="2:11" x14ac:dyDescent="0.45">
      <c r="B169" s="85">
        <f t="shared" si="10"/>
        <v>18</v>
      </c>
      <c r="C169" s="86">
        <v>46241</v>
      </c>
      <c r="D169" s="86" t="s">
        <v>572</v>
      </c>
      <c r="E169" s="11" t="s">
        <v>170</v>
      </c>
      <c r="F169" s="87">
        <v>0</v>
      </c>
      <c r="G169" s="14">
        <v>2200</v>
      </c>
      <c r="H169" s="14">
        <v>660</v>
      </c>
      <c r="I169" s="14">
        <v>0</v>
      </c>
      <c r="J169" s="88">
        <f t="shared" si="9"/>
        <v>1540</v>
      </c>
      <c r="K169" s="91"/>
    </row>
    <row r="170" spans="2:11" x14ac:dyDescent="0.45">
      <c r="B170" s="85">
        <f t="shared" si="10"/>
        <v>19</v>
      </c>
      <c r="C170" s="86">
        <v>46241</v>
      </c>
      <c r="D170" s="86" t="s">
        <v>573</v>
      </c>
      <c r="E170" s="11" t="s">
        <v>171</v>
      </c>
      <c r="F170" s="87">
        <v>0</v>
      </c>
      <c r="G170" s="14">
        <v>5900</v>
      </c>
      <c r="H170" s="14">
        <v>200</v>
      </c>
      <c r="I170" s="14">
        <v>0</v>
      </c>
      <c r="J170" s="88">
        <f t="shared" si="9"/>
        <v>5700</v>
      </c>
      <c r="K170" s="91"/>
    </row>
    <row r="171" spans="2:11" x14ac:dyDescent="0.45">
      <c r="B171" s="85">
        <f t="shared" si="10"/>
        <v>20</v>
      </c>
      <c r="C171" s="86">
        <v>46241</v>
      </c>
      <c r="D171" s="86" t="s">
        <v>574</v>
      </c>
      <c r="E171" s="11" t="s">
        <v>172</v>
      </c>
      <c r="F171" s="87">
        <v>0</v>
      </c>
      <c r="G171" s="14">
        <v>1900</v>
      </c>
      <c r="H171" s="14">
        <v>570</v>
      </c>
      <c r="I171" s="14">
        <v>0</v>
      </c>
      <c r="J171" s="88">
        <f t="shared" si="9"/>
        <v>1330</v>
      </c>
      <c r="K171" s="91"/>
    </row>
    <row r="172" spans="2:11" x14ac:dyDescent="0.45">
      <c r="B172" s="85">
        <f t="shared" si="10"/>
        <v>21</v>
      </c>
      <c r="C172" s="86">
        <v>46241</v>
      </c>
      <c r="D172" s="86" t="s">
        <v>575</v>
      </c>
      <c r="E172" s="11" t="s">
        <v>173</v>
      </c>
      <c r="F172" s="87">
        <v>0</v>
      </c>
      <c r="G172" s="14">
        <v>2000</v>
      </c>
      <c r="H172" s="14">
        <v>300</v>
      </c>
      <c r="I172" s="14">
        <v>0</v>
      </c>
      <c r="J172" s="88">
        <f t="shared" si="9"/>
        <v>1700</v>
      </c>
      <c r="K172" s="91"/>
    </row>
    <row r="173" spans="2:11" x14ac:dyDescent="0.45">
      <c r="B173" s="85">
        <f t="shared" si="10"/>
        <v>22</v>
      </c>
      <c r="C173" s="86">
        <v>46241</v>
      </c>
      <c r="D173" s="86" t="s">
        <v>576</v>
      </c>
      <c r="E173" s="11" t="s">
        <v>174</v>
      </c>
      <c r="F173" s="87">
        <v>0</v>
      </c>
      <c r="G173" s="14">
        <v>1700</v>
      </c>
      <c r="H173" s="14">
        <v>200</v>
      </c>
      <c r="I173" s="14">
        <v>0</v>
      </c>
      <c r="J173" s="88">
        <f t="shared" si="9"/>
        <v>1500</v>
      </c>
      <c r="K173" s="91"/>
    </row>
    <row r="174" spans="2:11" x14ac:dyDescent="0.45">
      <c r="B174" s="85">
        <f t="shared" si="10"/>
        <v>23</v>
      </c>
      <c r="C174" s="86">
        <v>46241</v>
      </c>
      <c r="D174" s="86" t="s">
        <v>577</v>
      </c>
      <c r="E174" s="11" t="s">
        <v>175</v>
      </c>
      <c r="F174" s="87">
        <v>0</v>
      </c>
      <c r="G174" s="14">
        <v>1900</v>
      </c>
      <c r="H174" s="14">
        <v>0</v>
      </c>
      <c r="I174" s="14">
        <v>0</v>
      </c>
      <c r="J174" s="88">
        <f t="shared" si="9"/>
        <v>1900</v>
      </c>
      <c r="K174" s="91"/>
    </row>
    <row r="175" spans="2:11" x14ac:dyDescent="0.45">
      <c r="B175" s="85">
        <f t="shared" si="10"/>
        <v>24</v>
      </c>
      <c r="C175" s="86">
        <v>46241</v>
      </c>
      <c r="D175" s="86" t="s">
        <v>578</v>
      </c>
      <c r="E175" s="11" t="s">
        <v>176</v>
      </c>
      <c r="F175" s="87">
        <v>0</v>
      </c>
      <c r="G175" s="14">
        <v>1800</v>
      </c>
      <c r="H175" s="14">
        <v>200</v>
      </c>
      <c r="I175" s="14">
        <v>0</v>
      </c>
      <c r="J175" s="88">
        <f t="shared" si="9"/>
        <v>1600</v>
      </c>
      <c r="K175" s="91"/>
    </row>
    <row r="176" spans="2:11" x14ac:dyDescent="0.45">
      <c r="B176" s="85">
        <f t="shared" si="10"/>
        <v>25</v>
      </c>
      <c r="C176" s="86">
        <v>46241</v>
      </c>
      <c r="D176" s="86" t="s">
        <v>579</v>
      </c>
      <c r="E176" s="11" t="s">
        <v>176</v>
      </c>
      <c r="F176" s="87">
        <v>0</v>
      </c>
      <c r="G176" s="14">
        <v>1800</v>
      </c>
      <c r="H176" s="14">
        <v>200</v>
      </c>
      <c r="I176" s="14">
        <v>0</v>
      </c>
      <c r="J176" s="88">
        <f t="shared" si="9"/>
        <v>1600</v>
      </c>
      <c r="K176" s="91"/>
    </row>
    <row r="177" spans="2:11" x14ac:dyDescent="0.45">
      <c r="B177" s="85">
        <f t="shared" si="10"/>
        <v>26</v>
      </c>
      <c r="C177" s="86">
        <v>46241</v>
      </c>
      <c r="D177" s="86" t="s">
        <v>580</v>
      </c>
      <c r="E177" s="11" t="s">
        <v>177</v>
      </c>
      <c r="F177" s="87">
        <v>0</v>
      </c>
      <c r="G177" s="14">
        <v>1900</v>
      </c>
      <c r="H177" s="14">
        <v>100</v>
      </c>
      <c r="I177" s="14">
        <v>0</v>
      </c>
      <c r="J177" s="88">
        <f t="shared" si="9"/>
        <v>1800</v>
      </c>
      <c r="K177" s="91"/>
    </row>
    <row r="178" spans="2:11" x14ac:dyDescent="0.45">
      <c r="B178" s="85">
        <f t="shared" si="10"/>
        <v>27</v>
      </c>
      <c r="C178" s="86">
        <v>46241</v>
      </c>
      <c r="D178" s="86" t="s">
        <v>581</v>
      </c>
      <c r="E178" s="11" t="s">
        <v>178</v>
      </c>
      <c r="F178" s="87">
        <v>0</v>
      </c>
      <c r="G178" s="14">
        <v>4900</v>
      </c>
      <c r="H178" s="14">
        <v>400</v>
      </c>
      <c r="I178" s="14">
        <v>0</v>
      </c>
      <c r="J178" s="88">
        <f t="shared" si="9"/>
        <v>4500</v>
      </c>
      <c r="K178" s="91"/>
    </row>
    <row r="179" spans="2:11" x14ac:dyDescent="0.45">
      <c r="B179" s="85">
        <f t="shared" si="10"/>
        <v>28</v>
      </c>
      <c r="C179" s="86">
        <v>46241</v>
      </c>
      <c r="D179" s="86" t="s">
        <v>582</v>
      </c>
      <c r="E179" s="11" t="s">
        <v>179</v>
      </c>
      <c r="F179" s="87">
        <v>0</v>
      </c>
      <c r="G179" s="14">
        <v>1040</v>
      </c>
      <c r="H179" s="14">
        <v>0</v>
      </c>
      <c r="I179" s="14">
        <v>0</v>
      </c>
      <c r="J179" s="88">
        <f t="shared" si="9"/>
        <v>1040</v>
      </c>
      <c r="K179" s="91"/>
    </row>
    <row r="180" spans="2:11" x14ac:dyDescent="0.45">
      <c r="B180" s="85">
        <f t="shared" si="10"/>
        <v>29</v>
      </c>
      <c r="C180" s="86">
        <v>46241</v>
      </c>
      <c r="D180" s="86" t="s">
        <v>583</v>
      </c>
      <c r="E180" s="11" t="s">
        <v>180</v>
      </c>
      <c r="F180" s="87">
        <v>0</v>
      </c>
      <c r="G180" s="14">
        <v>200</v>
      </c>
      <c r="H180" s="14">
        <v>0</v>
      </c>
      <c r="I180" s="14">
        <v>0</v>
      </c>
      <c r="J180" s="88">
        <f t="shared" si="9"/>
        <v>200</v>
      </c>
      <c r="K180" s="91"/>
    </row>
    <row r="181" spans="2:11" x14ac:dyDescent="0.45">
      <c r="B181" s="85">
        <f t="shared" si="10"/>
        <v>30</v>
      </c>
      <c r="C181" s="86">
        <v>46241</v>
      </c>
      <c r="D181" s="86" t="s">
        <v>584</v>
      </c>
      <c r="E181" s="11" t="s">
        <v>89</v>
      </c>
      <c r="F181" s="87">
        <v>0</v>
      </c>
      <c r="G181" s="14">
        <v>220</v>
      </c>
      <c r="H181" s="14">
        <v>0</v>
      </c>
      <c r="I181" s="14">
        <v>0</v>
      </c>
      <c r="J181" s="88">
        <f t="shared" si="9"/>
        <v>220</v>
      </c>
      <c r="K181" s="91"/>
    </row>
    <row r="182" spans="2:11" x14ac:dyDescent="0.45">
      <c r="B182" s="85">
        <v>1</v>
      </c>
      <c r="C182" s="86">
        <v>46242</v>
      </c>
      <c r="D182" s="86" t="s">
        <v>585</v>
      </c>
      <c r="E182" s="11" t="s">
        <v>182</v>
      </c>
      <c r="F182" s="87">
        <v>0</v>
      </c>
      <c r="G182" s="14">
        <v>1700</v>
      </c>
      <c r="H182" s="14">
        <v>200</v>
      </c>
      <c r="I182" s="14">
        <v>0</v>
      </c>
      <c r="J182" s="88">
        <f>+G182-H182</f>
        <v>1500</v>
      </c>
      <c r="K182" s="89"/>
    </row>
    <row r="183" spans="2:11" x14ac:dyDescent="0.45">
      <c r="B183" s="85">
        <f>+B182+1</f>
        <v>2</v>
      </c>
      <c r="C183" s="86">
        <v>46242</v>
      </c>
      <c r="D183" s="86" t="s">
        <v>586</v>
      </c>
      <c r="E183" s="11" t="s">
        <v>183</v>
      </c>
      <c r="F183" s="87">
        <v>0</v>
      </c>
      <c r="G183" s="14">
        <v>4900</v>
      </c>
      <c r="H183" s="14">
        <v>1470</v>
      </c>
      <c r="I183" s="14">
        <v>0</v>
      </c>
      <c r="J183" s="88">
        <f t="shared" ref="J183:J187" si="11">+G183-H183</f>
        <v>3430</v>
      </c>
      <c r="K183" s="90"/>
    </row>
    <row r="184" spans="2:11" x14ac:dyDescent="0.45">
      <c r="B184" s="85">
        <f t="shared" ref="B184:B187" si="12">+B183+1</f>
        <v>3</v>
      </c>
      <c r="C184" s="86">
        <v>46242</v>
      </c>
      <c r="D184" s="86" t="s">
        <v>587</v>
      </c>
      <c r="E184" s="11" t="s">
        <v>184</v>
      </c>
      <c r="F184" s="87">
        <v>0</v>
      </c>
      <c r="G184" s="14">
        <v>440</v>
      </c>
      <c r="H184" s="14">
        <v>0</v>
      </c>
      <c r="I184" s="14">
        <v>0</v>
      </c>
      <c r="J184" s="88">
        <f t="shared" si="11"/>
        <v>440</v>
      </c>
      <c r="K184" s="90"/>
    </row>
    <row r="185" spans="2:11" x14ac:dyDescent="0.45">
      <c r="B185" s="85">
        <f t="shared" si="12"/>
        <v>4</v>
      </c>
      <c r="C185" s="86">
        <v>46242</v>
      </c>
      <c r="D185" s="86" t="s">
        <v>588</v>
      </c>
      <c r="E185" s="11" t="s">
        <v>185</v>
      </c>
      <c r="F185" s="87">
        <v>0</v>
      </c>
      <c r="G185" s="14">
        <v>1900</v>
      </c>
      <c r="H185" s="14">
        <v>0</v>
      </c>
      <c r="I185" s="14">
        <v>0</v>
      </c>
      <c r="J185" s="88">
        <f t="shared" si="11"/>
        <v>1900</v>
      </c>
      <c r="K185" s="91"/>
    </row>
    <row r="186" spans="2:11" x14ac:dyDescent="0.45">
      <c r="B186" s="85">
        <f t="shared" si="12"/>
        <v>5</v>
      </c>
      <c r="C186" s="86">
        <v>46242</v>
      </c>
      <c r="D186" s="86" t="s">
        <v>589</v>
      </c>
      <c r="E186" s="11" t="s">
        <v>186</v>
      </c>
      <c r="F186" s="87">
        <v>0</v>
      </c>
      <c r="G186" s="14">
        <v>1800</v>
      </c>
      <c r="H186" s="14">
        <v>540</v>
      </c>
      <c r="I186" s="14">
        <v>0</v>
      </c>
      <c r="J186" s="88">
        <f t="shared" si="11"/>
        <v>1260</v>
      </c>
      <c r="K186" s="89"/>
    </row>
    <row r="187" spans="2:11" x14ac:dyDescent="0.45">
      <c r="B187" s="85">
        <f t="shared" si="12"/>
        <v>6</v>
      </c>
      <c r="C187" s="86">
        <v>46242</v>
      </c>
      <c r="D187" s="86" t="s">
        <v>590</v>
      </c>
      <c r="E187" s="11" t="s">
        <v>187</v>
      </c>
      <c r="F187" s="87">
        <v>0</v>
      </c>
      <c r="G187" s="14">
        <v>1800</v>
      </c>
      <c r="H187" s="14">
        <v>300</v>
      </c>
      <c r="I187" s="14">
        <v>0</v>
      </c>
      <c r="J187" s="88">
        <f t="shared" si="11"/>
        <v>1500</v>
      </c>
      <c r="K187" s="91"/>
    </row>
    <row r="188" spans="2:11" x14ac:dyDescent="0.45">
      <c r="B188" s="85">
        <v>1</v>
      </c>
      <c r="C188" s="86">
        <v>46244</v>
      </c>
      <c r="D188" s="86" t="s">
        <v>591</v>
      </c>
      <c r="E188" s="11" t="s">
        <v>189</v>
      </c>
      <c r="F188" s="87">
        <v>0</v>
      </c>
      <c r="G188" s="14">
        <f>3500*4</f>
        <v>14000</v>
      </c>
      <c r="H188" s="14">
        <v>2000</v>
      </c>
      <c r="I188" s="14">
        <v>0</v>
      </c>
      <c r="J188" s="88">
        <f>+G188-H188</f>
        <v>12000</v>
      </c>
      <c r="K188" s="89"/>
    </row>
    <row r="189" spans="2:11" x14ac:dyDescent="0.45">
      <c r="B189" s="85">
        <f>+B188+1</f>
        <v>2</v>
      </c>
      <c r="C189" s="86">
        <v>46244</v>
      </c>
      <c r="D189" s="86" t="s">
        <v>592</v>
      </c>
      <c r="E189" s="11" t="s">
        <v>122</v>
      </c>
      <c r="F189" s="87">
        <v>0</v>
      </c>
      <c r="G189" s="14">
        <v>1700</v>
      </c>
      <c r="H189" s="14">
        <v>200</v>
      </c>
      <c r="I189" s="14">
        <v>0</v>
      </c>
      <c r="J189" s="88">
        <f t="shared" ref="J189:J220" si="13">+G189-H189</f>
        <v>1500</v>
      </c>
      <c r="K189" s="90"/>
    </row>
    <row r="190" spans="2:11" x14ac:dyDescent="0.45">
      <c r="B190" s="85">
        <f t="shared" ref="B190:B220" si="14">+B189+1</f>
        <v>3</v>
      </c>
      <c r="C190" s="86">
        <v>46244</v>
      </c>
      <c r="D190" s="86" t="s">
        <v>593</v>
      </c>
      <c r="E190" s="11" t="s">
        <v>149</v>
      </c>
      <c r="F190" s="87">
        <v>0</v>
      </c>
      <c r="G190" s="14">
        <v>1900</v>
      </c>
      <c r="H190" s="14">
        <v>200</v>
      </c>
      <c r="I190" s="14">
        <v>0</v>
      </c>
      <c r="J190" s="88">
        <f t="shared" si="13"/>
        <v>1700</v>
      </c>
      <c r="K190" s="90"/>
    </row>
    <row r="191" spans="2:11" x14ac:dyDescent="0.45">
      <c r="B191" s="85">
        <f t="shared" si="14"/>
        <v>4</v>
      </c>
      <c r="C191" s="86">
        <v>46244</v>
      </c>
      <c r="D191" s="86" t="s">
        <v>594</v>
      </c>
      <c r="E191" s="11" t="s">
        <v>149</v>
      </c>
      <c r="F191" s="87">
        <v>0</v>
      </c>
      <c r="G191" s="14">
        <v>4900</v>
      </c>
      <c r="H191" s="14">
        <v>200</v>
      </c>
      <c r="I191" s="14">
        <v>0</v>
      </c>
      <c r="J191" s="88">
        <f t="shared" si="13"/>
        <v>4700</v>
      </c>
      <c r="K191" s="91"/>
    </row>
    <row r="192" spans="2:11" x14ac:dyDescent="0.45">
      <c r="B192" s="85">
        <f t="shared" si="14"/>
        <v>5</v>
      </c>
      <c r="C192" s="86">
        <v>46244</v>
      </c>
      <c r="D192" s="86" t="s">
        <v>595</v>
      </c>
      <c r="E192" s="11" t="s">
        <v>149</v>
      </c>
      <c r="F192" s="87">
        <v>0</v>
      </c>
      <c r="G192" s="14">
        <v>25500</v>
      </c>
      <c r="H192" s="14">
        <v>1500</v>
      </c>
      <c r="I192" s="14">
        <v>0</v>
      </c>
      <c r="J192" s="88">
        <f t="shared" si="13"/>
        <v>24000</v>
      </c>
      <c r="K192" s="89"/>
    </row>
    <row r="193" spans="2:11" x14ac:dyDescent="0.45">
      <c r="B193" s="85">
        <f t="shared" si="14"/>
        <v>6</v>
      </c>
      <c r="C193" s="86">
        <v>46244</v>
      </c>
      <c r="D193" s="86" t="s">
        <v>596</v>
      </c>
      <c r="E193" s="11" t="s">
        <v>190</v>
      </c>
      <c r="F193" s="87">
        <v>0</v>
      </c>
      <c r="G193" s="14">
        <v>12700</v>
      </c>
      <c r="H193" s="14">
        <v>900</v>
      </c>
      <c r="I193" s="14">
        <v>0</v>
      </c>
      <c r="J193" s="88">
        <f t="shared" si="13"/>
        <v>11800</v>
      </c>
      <c r="K193" s="91"/>
    </row>
    <row r="194" spans="2:11" x14ac:dyDescent="0.45">
      <c r="B194" s="85">
        <f t="shared" si="14"/>
        <v>7</v>
      </c>
      <c r="C194" s="86">
        <v>46244</v>
      </c>
      <c r="D194" s="86" t="s">
        <v>597</v>
      </c>
      <c r="E194" s="11" t="s">
        <v>191</v>
      </c>
      <c r="F194" s="87">
        <v>0</v>
      </c>
      <c r="G194" s="14">
        <v>3000</v>
      </c>
      <c r="H194" s="14">
        <v>1740</v>
      </c>
      <c r="I194" s="14">
        <v>0</v>
      </c>
      <c r="J194" s="88">
        <f t="shared" si="13"/>
        <v>1260</v>
      </c>
      <c r="K194" s="91"/>
    </row>
    <row r="195" spans="2:11" x14ac:dyDescent="0.45">
      <c r="B195" s="85">
        <f t="shared" si="14"/>
        <v>8</v>
      </c>
      <c r="C195" s="86">
        <v>46244</v>
      </c>
      <c r="D195" s="86" t="s">
        <v>598</v>
      </c>
      <c r="E195" s="11" t="s">
        <v>192</v>
      </c>
      <c r="F195" s="87">
        <v>0</v>
      </c>
      <c r="G195" s="14">
        <v>1700</v>
      </c>
      <c r="H195" s="14">
        <v>200</v>
      </c>
      <c r="I195" s="14">
        <v>0</v>
      </c>
      <c r="J195" s="88">
        <f t="shared" si="13"/>
        <v>1500</v>
      </c>
      <c r="K195" s="91"/>
    </row>
    <row r="196" spans="2:11" x14ac:dyDescent="0.45">
      <c r="B196" s="85">
        <f t="shared" si="14"/>
        <v>9</v>
      </c>
      <c r="C196" s="86">
        <v>46244</v>
      </c>
      <c r="D196" s="86" t="s">
        <v>599</v>
      </c>
      <c r="E196" s="11" t="s">
        <v>193</v>
      </c>
      <c r="F196" s="87">
        <v>0</v>
      </c>
      <c r="G196" s="14">
        <v>1900</v>
      </c>
      <c r="H196" s="14">
        <v>400</v>
      </c>
      <c r="I196" s="14">
        <v>0</v>
      </c>
      <c r="J196" s="88">
        <f t="shared" si="13"/>
        <v>1500</v>
      </c>
      <c r="K196" s="91"/>
    </row>
    <row r="197" spans="2:11" x14ac:dyDescent="0.45">
      <c r="B197" s="85">
        <f t="shared" si="14"/>
        <v>10</v>
      </c>
      <c r="C197" s="86">
        <v>46244</v>
      </c>
      <c r="D197" s="86" t="s">
        <v>600</v>
      </c>
      <c r="E197" s="11" t="s">
        <v>145</v>
      </c>
      <c r="F197" s="87">
        <v>0</v>
      </c>
      <c r="G197" s="14">
        <v>2240</v>
      </c>
      <c r="H197" s="14">
        <v>400</v>
      </c>
      <c r="I197" s="14">
        <v>0</v>
      </c>
      <c r="J197" s="88">
        <f t="shared" si="13"/>
        <v>1840</v>
      </c>
      <c r="K197" s="91"/>
    </row>
    <row r="198" spans="2:11" x14ac:dyDescent="0.45">
      <c r="B198" s="85">
        <f t="shared" si="14"/>
        <v>11</v>
      </c>
      <c r="C198" s="86">
        <v>46244</v>
      </c>
      <c r="D198" s="86" t="s">
        <v>601</v>
      </c>
      <c r="E198" s="11" t="s">
        <v>194</v>
      </c>
      <c r="F198" s="87">
        <v>0</v>
      </c>
      <c r="G198" s="14">
        <v>3000</v>
      </c>
      <c r="H198" s="14">
        <v>500</v>
      </c>
      <c r="I198" s="14">
        <v>0</v>
      </c>
      <c r="J198" s="88">
        <f t="shared" si="13"/>
        <v>2500</v>
      </c>
      <c r="K198" s="89"/>
    </row>
    <row r="199" spans="2:11" x14ac:dyDescent="0.45">
      <c r="B199" s="85">
        <f t="shared" si="14"/>
        <v>12</v>
      </c>
      <c r="C199" s="86">
        <v>46244</v>
      </c>
      <c r="D199" s="86" t="s">
        <v>602</v>
      </c>
      <c r="E199" s="11" t="s">
        <v>195</v>
      </c>
      <c r="F199" s="87">
        <v>0</v>
      </c>
      <c r="G199" s="14">
        <v>1900</v>
      </c>
      <c r="H199" s="14">
        <v>300</v>
      </c>
      <c r="I199" s="14">
        <v>0</v>
      </c>
      <c r="J199" s="88">
        <f t="shared" si="13"/>
        <v>1600</v>
      </c>
      <c r="K199" s="91"/>
    </row>
    <row r="200" spans="2:11" x14ac:dyDescent="0.45">
      <c r="B200" s="85">
        <f t="shared" si="14"/>
        <v>13</v>
      </c>
      <c r="C200" s="86">
        <v>46244</v>
      </c>
      <c r="D200" s="86" t="s">
        <v>603</v>
      </c>
      <c r="E200" s="11" t="s">
        <v>196</v>
      </c>
      <c r="F200" s="87">
        <v>0</v>
      </c>
      <c r="G200" s="14">
        <v>4900</v>
      </c>
      <c r="H200" s="14">
        <v>400</v>
      </c>
      <c r="I200" s="14">
        <v>0</v>
      </c>
      <c r="J200" s="88">
        <f t="shared" si="13"/>
        <v>4500</v>
      </c>
      <c r="K200" s="91"/>
    </row>
    <row r="201" spans="2:11" x14ac:dyDescent="0.45">
      <c r="B201" s="85">
        <f t="shared" si="14"/>
        <v>14</v>
      </c>
      <c r="C201" s="86">
        <v>46244</v>
      </c>
      <c r="D201" s="86" t="s">
        <v>604</v>
      </c>
      <c r="E201" s="11" t="s">
        <v>197</v>
      </c>
      <c r="F201" s="87">
        <v>0</v>
      </c>
      <c r="G201" s="14">
        <v>7400</v>
      </c>
      <c r="H201" s="14">
        <v>0</v>
      </c>
      <c r="I201" s="14">
        <v>0</v>
      </c>
      <c r="J201" s="88">
        <f t="shared" si="13"/>
        <v>7400</v>
      </c>
      <c r="K201" s="91"/>
    </row>
    <row r="202" spans="2:11" x14ac:dyDescent="0.45">
      <c r="B202" s="85">
        <f t="shared" si="14"/>
        <v>15</v>
      </c>
      <c r="C202" s="86">
        <v>46244</v>
      </c>
      <c r="D202" s="86" t="s">
        <v>605</v>
      </c>
      <c r="E202" s="11" t="s">
        <v>198</v>
      </c>
      <c r="F202" s="87">
        <v>0</v>
      </c>
      <c r="G202" s="14">
        <v>4500</v>
      </c>
      <c r="H202" s="14">
        <v>0</v>
      </c>
      <c r="I202" s="14">
        <v>0</v>
      </c>
      <c r="J202" s="88">
        <f t="shared" si="13"/>
        <v>4500</v>
      </c>
      <c r="K202" s="91"/>
    </row>
    <row r="203" spans="2:11" x14ac:dyDescent="0.45">
      <c r="B203" s="85">
        <f t="shared" si="14"/>
        <v>16</v>
      </c>
      <c r="C203" s="86">
        <v>46244</v>
      </c>
      <c r="D203" s="86" t="s">
        <v>606</v>
      </c>
      <c r="E203" s="11" t="s">
        <v>199</v>
      </c>
      <c r="F203" s="87">
        <v>0</v>
      </c>
      <c r="G203" s="14">
        <v>1800</v>
      </c>
      <c r="H203" s="14">
        <v>540</v>
      </c>
      <c r="I203" s="14">
        <v>0</v>
      </c>
      <c r="J203" s="88">
        <f t="shared" si="13"/>
        <v>1260</v>
      </c>
      <c r="K203" s="91"/>
    </row>
    <row r="204" spans="2:11" x14ac:dyDescent="0.45">
      <c r="B204" s="85">
        <f t="shared" si="14"/>
        <v>17</v>
      </c>
      <c r="C204" s="86">
        <v>46244</v>
      </c>
      <c r="D204" s="86" t="s">
        <v>607</v>
      </c>
      <c r="E204" s="11" t="s">
        <v>89</v>
      </c>
      <c r="F204" s="87">
        <v>0</v>
      </c>
      <c r="G204" s="14">
        <v>13400</v>
      </c>
      <c r="H204" s="14">
        <v>1800</v>
      </c>
      <c r="I204" s="14">
        <v>0</v>
      </c>
      <c r="J204" s="88">
        <f t="shared" si="13"/>
        <v>11600</v>
      </c>
      <c r="K204" s="91"/>
    </row>
    <row r="205" spans="2:11" x14ac:dyDescent="0.45">
      <c r="B205" s="85">
        <f t="shared" si="14"/>
        <v>18</v>
      </c>
      <c r="C205" s="86">
        <v>46244</v>
      </c>
      <c r="D205" s="86" t="s">
        <v>608</v>
      </c>
      <c r="E205" s="11" t="s">
        <v>200</v>
      </c>
      <c r="F205" s="87">
        <v>0</v>
      </c>
      <c r="G205" s="14">
        <v>2200</v>
      </c>
      <c r="H205" s="14">
        <v>0</v>
      </c>
      <c r="I205" s="14">
        <v>0</v>
      </c>
      <c r="J205" s="88">
        <f t="shared" si="13"/>
        <v>2200</v>
      </c>
      <c r="K205" s="91"/>
    </row>
    <row r="206" spans="2:11" x14ac:dyDescent="0.45">
      <c r="B206" s="85">
        <f t="shared" si="14"/>
        <v>19</v>
      </c>
      <c r="C206" s="86">
        <v>46244</v>
      </c>
      <c r="D206" s="86" t="s">
        <v>609</v>
      </c>
      <c r="E206" s="11" t="s">
        <v>201</v>
      </c>
      <c r="F206" s="87">
        <v>0</v>
      </c>
      <c r="G206" s="14">
        <f>3500*4</f>
        <v>14000</v>
      </c>
      <c r="H206" s="14">
        <v>4200</v>
      </c>
      <c r="I206" s="14">
        <v>0</v>
      </c>
      <c r="J206" s="88">
        <f t="shared" si="13"/>
        <v>9800</v>
      </c>
      <c r="K206" s="91"/>
    </row>
    <row r="207" spans="2:11" x14ac:dyDescent="0.45">
      <c r="B207" s="85">
        <f t="shared" si="14"/>
        <v>20</v>
      </c>
      <c r="C207" s="86">
        <v>46244</v>
      </c>
      <c r="D207" s="86" t="s">
        <v>610</v>
      </c>
      <c r="E207" s="11" t="s">
        <v>14</v>
      </c>
      <c r="F207" s="87">
        <v>0</v>
      </c>
      <c r="G207" s="14">
        <v>1300</v>
      </c>
      <c r="H207" s="14">
        <v>0</v>
      </c>
      <c r="I207" s="14">
        <v>0</v>
      </c>
      <c r="J207" s="88">
        <f t="shared" si="13"/>
        <v>1300</v>
      </c>
      <c r="K207" s="91"/>
    </row>
    <row r="208" spans="2:11" x14ac:dyDescent="0.45">
      <c r="B208" s="85">
        <f t="shared" si="14"/>
        <v>21</v>
      </c>
      <c r="C208" s="86">
        <v>46244</v>
      </c>
      <c r="D208" s="86" t="s">
        <v>611</v>
      </c>
      <c r="E208" s="11" t="s">
        <v>75</v>
      </c>
      <c r="F208" s="87">
        <v>0</v>
      </c>
      <c r="G208" s="14">
        <v>12220</v>
      </c>
      <c r="H208" s="14">
        <v>3575</v>
      </c>
      <c r="I208" s="14">
        <v>0</v>
      </c>
      <c r="J208" s="88">
        <f t="shared" si="13"/>
        <v>8645</v>
      </c>
      <c r="K208" s="91"/>
    </row>
    <row r="209" spans="2:11" x14ac:dyDescent="0.45">
      <c r="B209" s="85">
        <f t="shared" si="14"/>
        <v>22</v>
      </c>
      <c r="C209" s="86">
        <v>46244</v>
      </c>
      <c r="D209" s="86" t="s">
        <v>612</v>
      </c>
      <c r="E209" s="11" t="s">
        <v>202</v>
      </c>
      <c r="F209" s="87">
        <v>0</v>
      </c>
      <c r="G209" s="14">
        <v>4900</v>
      </c>
      <c r="H209" s="14">
        <v>400</v>
      </c>
      <c r="I209" s="14">
        <v>0</v>
      </c>
      <c r="J209" s="88">
        <f t="shared" si="13"/>
        <v>4500</v>
      </c>
      <c r="K209" s="91"/>
    </row>
    <row r="210" spans="2:11" x14ac:dyDescent="0.45">
      <c r="B210" s="85">
        <f t="shared" si="14"/>
        <v>23</v>
      </c>
      <c r="C210" s="86">
        <v>46244</v>
      </c>
      <c r="D210" s="86" t="s">
        <v>613</v>
      </c>
      <c r="E210" s="11" t="s">
        <v>61</v>
      </c>
      <c r="F210" s="87">
        <v>0</v>
      </c>
      <c r="G210" s="14">
        <v>13900</v>
      </c>
      <c r="H210" s="14">
        <v>1300</v>
      </c>
      <c r="I210" s="14">
        <v>0</v>
      </c>
      <c r="J210" s="88">
        <f t="shared" si="13"/>
        <v>12600</v>
      </c>
      <c r="K210" s="91"/>
    </row>
    <row r="211" spans="2:11" x14ac:dyDescent="0.45">
      <c r="B211" s="85">
        <f t="shared" si="14"/>
        <v>24</v>
      </c>
      <c r="C211" s="86">
        <v>46244</v>
      </c>
      <c r="D211" s="86" t="s">
        <v>614</v>
      </c>
      <c r="E211" s="11" t="s">
        <v>203</v>
      </c>
      <c r="F211" s="87">
        <v>0</v>
      </c>
      <c r="G211" s="14">
        <v>1800</v>
      </c>
      <c r="H211" s="14">
        <v>400</v>
      </c>
      <c r="I211" s="14">
        <v>0</v>
      </c>
      <c r="J211" s="88">
        <f t="shared" si="13"/>
        <v>1400</v>
      </c>
      <c r="K211" s="91"/>
    </row>
    <row r="212" spans="2:11" x14ac:dyDescent="0.45">
      <c r="B212" s="85">
        <f t="shared" si="14"/>
        <v>25</v>
      </c>
      <c r="C212" s="86">
        <v>46244</v>
      </c>
      <c r="D212" s="86" t="s">
        <v>615</v>
      </c>
      <c r="E212" s="11" t="s">
        <v>204</v>
      </c>
      <c r="F212" s="87">
        <v>0</v>
      </c>
      <c r="G212" s="14">
        <v>300</v>
      </c>
      <c r="H212" s="14">
        <v>0</v>
      </c>
      <c r="I212" s="14">
        <v>0</v>
      </c>
      <c r="J212" s="88">
        <f t="shared" si="13"/>
        <v>300</v>
      </c>
      <c r="K212" s="91"/>
    </row>
    <row r="213" spans="2:11" x14ac:dyDescent="0.45">
      <c r="B213" s="85">
        <f t="shared" si="14"/>
        <v>26</v>
      </c>
      <c r="C213" s="86">
        <v>46244</v>
      </c>
      <c r="D213" s="86" t="s">
        <v>616</v>
      </c>
      <c r="E213" s="11" t="s">
        <v>205</v>
      </c>
      <c r="F213" s="87">
        <v>0</v>
      </c>
      <c r="G213" s="14">
        <f>3500*6</f>
        <v>21000</v>
      </c>
      <c r="H213" s="14">
        <v>1200</v>
      </c>
      <c r="I213" s="14">
        <v>0</v>
      </c>
      <c r="J213" s="88">
        <f t="shared" si="13"/>
        <v>19800</v>
      </c>
      <c r="K213" s="91"/>
    </row>
    <row r="214" spans="2:11" x14ac:dyDescent="0.45">
      <c r="B214" s="85">
        <f t="shared" si="14"/>
        <v>27</v>
      </c>
      <c r="C214" s="86">
        <v>46244</v>
      </c>
      <c r="D214" s="86" t="s">
        <v>617</v>
      </c>
      <c r="E214" s="11" t="s">
        <v>48</v>
      </c>
      <c r="F214" s="87">
        <v>0</v>
      </c>
      <c r="G214" s="14">
        <v>220</v>
      </c>
      <c r="H214" s="14">
        <v>0</v>
      </c>
      <c r="I214" s="14">
        <v>0</v>
      </c>
      <c r="J214" s="88">
        <f t="shared" si="13"/>
        <v>220</v>
      </c>
      <c r="K214" s="91"/>
    </row>
    <row r="215" spans="2:11" x14ac:dyDescent="0.45">
      <c r="B215" s="85">
        <f t="shared" si="14"/>
        <v>28</v>
      </c>
      <c r="C215" s="86">
        <v>46244</v>
      </c>
      <c r="D215" s="86" t="s">
        <v>618</v>
      </c>
      <c r="E215" s="11" t="s">
        <v>206</v>
      </c>
      <c r="F215" s="87">
        <v>0</v>
      </c>
      <c r="G215" s="14">
        <v>1800</v>
      </c>
      <c r="H215" s="14">
        <v>400</v>
      </c>
      <c r="I215" s="14">
        <v>0</v>
      </c>
      <c r="J215" s="88">
        <f t="shared" si="13"/>
        <v>1400</v>
      </c>
      <c r="K215" s="91"/>
    </row>
    <row r="216" spans="2:11" x14ac:dyDescent="0.45">
      <c r="B216" s="85">
        <f t="shared" si="14"/>
        <v>29</v>
      </c>
      <c r="C216" s="86">
        <v>46244</v>
      </c>
      <c r="D216" s="86" t="s">
        <v>619</v>
      </c>
      <c r="E216" s="11" t="s">
        <v>207</v>
      </c>
      <c r="F216" s="87">
        <v>0</v>
      </c>
      <c r="G216" s="14">
        <v>1700</v>
      </c>
      <c r="H216" s="14">
        <v>1700</v>
      </c>
      <c r="I216" s="14">
        <v>0</v>
      </c>
      <c r="J216" s="88">
        <f t="shared" si="13"/>
        <v>0</v>
      </c>
      <c r="K216" s="91"/>
    </row>
    <row r="217" spans="2:11" x14ac:dyDescent="0.45">
      <c r="B217" s="85">
        <f t="shared" si="14"/>
        <v>30</v>
      </c>
      <c r="C217" s="86">
        <v>46244</v>
      </c>
      <c r="D217" s="86" t="s">
        <v>620</v>
      </c>
      <c r="E217" s="11" t="s">
        <v>63</v>
      </c>
      <c r="F217" s="87">
        <v>0</v>
      </c>
      <c r="G217" s="14">
        <v>10000</v>
      </c>
      <c r="H217" s="14">
        <v>2700</v>
      </c>
      <c r="I217" s="14">
        <v>0</v>
      </c>
      <c r="J217" s="88">
        <f t="shared" si="13"/>
        <v>7300</v>
      </c>
      <c r="K217" s="91"/>
    </row>
    <row r="218" spans="2:11" x14ac:dyDescent="0.45">
      <c r="B218" s="85">
        <f t="shared" si="14"/>
        <v>31</v>
      </c>
      <c r="C218" s="86">
        <v>46244</v>
      </c>
      <c r="D218" s="86" t="s">
        <v>621</v>
      </c>
      <c r="E218" s="11" t="s">
        <v>50</v>
      </c>
      <c r="F218" s="87">
        <v>0</v>
      </c>
      <c r="G218" s="14">
        <v>220</v>
      </c>
      <c r="H218" s="14">
        <v>0</v>
      </c>
      <c r="I218" s="14">
        <v>0</v>
      </c>
      <c r="J218" s="88">
        <f t="shared" si="13"/>
        <v>220</v>
      </c>
      <c r="K218" s="91"/>
    </row>
    <row r="219" spans="2:11" x14ac:dyDescent="0.45">
      <c r="B219" s="85">
        <f t="shared" si="14"/>
        <v>32</v>
      </c>
      <c r="C219" s="86">
        <v>46244</v>
      </c>
      <c r="D219" s="86" t="s">
        <v>622</v>
      </c>
      <c r="E219" s="11" t="s">
        <v>130</v>
      </c>
      <c r="F219" s="87">
        <v>0</v>
      </c>
      <c r="G219" s="14">
        <v>1900</v>
      </c>
      <c r="H219" s="14">
        <v>900</v>
      </c>
      <c r="I219" s="14">
        <v>0</v>
      </c>
      <c r="J219" s="88">
        <f t="shared" si="13"/>
        <v>1000</v>
      </c>
      <c r="K219" s="91"/>
    </row>
    <row r="220" spans="2:11" x14ac:dyDescent="0.45">
      <c r="B220" s="85">
        <f t="shared" si="14"/>
        <v>33</v>
      </c>
      <c r="C220" s="86">
        <v>46244</v>
      </c>
      <c r="D220" s="86" t="s">
        <v>623</v>
      </c>
      <c r="E220" s="11" t="s">
        <v>166</v>
      </c>
      <c r="F220" s="87">
        <v>0</v>
      </c>
      <c r="G220" s="14">
        <v>1900</v>
      </c>
      <c r="H220" s="14">
        <v>500</v>
      </c>
      <c r="I220" s="14">
        <v>0</v>
      </c>
      <c r="J220" s="88">
        <f t="shared" si="13"/>
        <v>1400</v>
      </c>
      <c r="K220" s="91"/>
    </row>
    <row r="221" spans="2:11" x14ac:dyDescent="0.45">
      <c r="B221" s="85">
        <v>1</v>
      </c>
      <c r="C221" s="86">
        <v>46245</v>
      </c>
      <c r="D221" s="86" t="s">
        <v>624</v>
      </c>
      <c r="E221" s="11" t="s">
        <v>209</v>
      </c>
      <c r="F221" s="87">
        <v>0</v>
      </c>
      <c r="G221" s="14">
        <v>1900</v>
      </c>
      <c r="H221" s="14">
        <v>200</v>
      </c>
      <c r="I221" s="14">
        <v>0</v>
      </c>
      <c r="J221" s="88">
        <f>+G221-H221</f>
        <v>1700</v>
      </c>
      <c r="K221" s="89"/>
    </row>
    <row r="222" spans="2:11" x14ac:dyDescent="0.45">
      <c r="B222" s="85">
        <f>+B221+1</f>
        <v>2</v>
      </c>
      <c r="C222" s="86">
        <v>46245</v>
      </c>
      <c r="D222" s="86" t="s">
        <v>625</v>
      </c>
      <c r="E222" s="11" t="s">
        <v>106</v>
      </c>
      <c r="F222" s="87">
        <v>0</v>
      </c>
      <c r="G222" s="14">
        <v>2680</v>
      </c>
      <c r="H222" s="14">
        <v>300</v>
      </c>
      <c r="I222" s="14">
        <v>0</v>
      </c>
      <c r="J222" s="88">
        <f t="shared" ref="J222:J252" si="15">+G222-H222</f>
        <v>2380</v>
      </c>
      <c r="K222" s="90"/>
    </row>
    <row r="223" spans="2:11" x14ac:dyDescent="0.45">
      <c r="B223" s="85">
        <f t="shared" ref="B223:B252" si="16">+B222+1</f>
        <v>3</v>
      </c>
      <c r="C223" s="86">
        <v>46245</v>
      </c>
      <c r="D223" s="86" t="s">
        <v>626</v>
      </c>
      <c r="E223" s="11" t="s">
        <v>210</v>
      </c>
      <c r="F223" s="87">
        <v>0</v>
      </c>
      <c r="G223" s="14">
        <v>220</v>
      </c>
      <c r="H223" s="14">
        <v>0</v>
      </c>
      <c r="I223" s="14">
        <v>0</v>
      </c>
      <c r="J223" s="88">
        <f t="shared" si="15"/>
        <v>220</v>
      </c>
      <c r="K223" s="90"/>
    </row>
    <row r="224" spans="2:11" x14ac:dyDescent="0.45">
      <c r="B224" s="85">
        <f t="shared" si="16"/>
        <v>4</v>
      </c>
      <c r="C224" s="86">
        <v>46245</v>
      </c>
      <c r="D224" s="86" t="s">
        <v>627</v>
      </c>
      <c r="E224" s="11" t="s">
        <v>211</v>
      </c>
      <c r="F224" s="87">
        <v>0</v>
      </c>
      <c r="G224" s="14">
        <v>100</v>
      </c>
      <c r="H224" s="14">
        <v>0</v>
      </c>
      <c r="I224" s="14">
        <v>0</v>
      </c>
      <c r="J224" s="88">
        <f t="shared" si="15"/>
        <v>100</v>
      </c>
      <c r="K224" s="91"/>
    </row>
    <row r="225" spans="2:11" x14ac:dyDescent="0.45">
      <c r="B225" s="85">
        <f t="shared" si="16"/>
        <v>5</v>
      </c>
      <c r="C225" s="86">
        <v>46245</v>
      </c>
      <c r="D225" s="86" t="s">
        <v>628</v>
      </c>
      <c r="E225" s="11" t="s">
        <v>212</v>
      </c>
      <c r="F225" s="87">
        <v>0</v>
      </c>
      <c r="G225" s="14">
        <v>1900</v>
      </c>
      <c r="H225" s="14">
        <v>200</v>
      </c>
      <c r="I225" s="14">
        <v>0</v>
      </c>
      <c r="J225" s="88">
        <f t="shared" si="15"/>
        <v>1700</v>
      </c>
      <c r="K225" s="89"/>
    </row>
    <row r="226" spans="2:11" x14ac:dyDescent="0.45">
      <c r="B226" s="85">
        <f t="shared" si="16"/>
        <v>6</v>
      </c>
      <c r="C226" s="86">
        <v>46245</v>
      </c>
      <c r="D226" s="86" t="s">
        <v>629</v>
      </c>
      <c r="E226" s="11" t="s">
        <v>213</v>
      </c>
      <c r="F226" s="87">
        <v>0</v>
      </c>
      <c r="G226" s="14">
        <v>2500</v>
      </c>
      <c r="H226" s="14">
        <v>0</v>
      </c>
      <c r="I226" s="14">
        <v>0</v>
      </c>
      <c r="J226" s="88">
        <f t="shared" si="15"/>
        <v>2500</v>
      </c>
      <c r="K226" s="91"/>
    </row>
    <row r="227" spans="2:11" x14ac:dyDescent="0.45">
      <c r="B227" s="85">
        <f t="shared" si="16"/>
        <v>7</v>
      </c>
      <c r="C227" s="86">
        <v>46245</v>
      </c>
      <c r="D227" s="86" t="s">
        <v>630</v>
      </c>
      <c r="E227" s="11" t="s">
        <v>214</v>
      </c>
      <c r="F227" s="87">
        <v>0</v>
      </c>
      <c r="G227" s="14">
        <v>1700</v>
      </c>
      <c r="H227" s="14">
        <v>510</v>
      </c>
      <c r="I227" s="14">
        <v>0</v>
      </c>
      <c r="J227" s="88">
        <f t="shared" si="15"/>
        <v>1190</v>
      </c>
      <c r="K227" s="91"/>
    </row>
    <row r="228" spans="2:11" x14ac:dyDescent="0.45">
      <c r="B228" s="85">
        <f t="shared" si="16"/>
        <v>8</v>
      </c>
      <c r="C228" s="86">
        <v>46245</v>
      </c>
      <c r="D228" s="86" t="s">
        <v>631</v>
      </c>
      <c r="E228" s="11" t="s">
        <v>215</v>
      </c>
      <c r="F228" s="87">
        <v>0</v>
      </c>
      <c r="G228" s="14">
        <v>1800</v>
      </c>
      <c r="H228" s="14">
        <v>1800</v>
      </c>
      <c r="I228" s="14">
        <v>0</v>
      </c>
      <c r="J228" s="88">
        <f t="shared" si="15"/>
        <v>0</v>
      </c>
      <c r="K228" s="91"/>
    </row>
    <row r="229" spans="2:11" x14ac:dyDescent="0.45">
      <c r="B229" s="85">
        <f t="shared" si="16"/>
        <v>9</v>
      </c>
      <c r="C229" s="86">
        <v>46245</v>
      </c>
      <c r="D229" s="86" t="s">
        <v>632</v>
      </c>
      <c r="E229" s="11" t="s">
        <v>216</v>
      </c>
      <c r="F229" s="87">
        <v>0</v>
      </c>
      <c r="G229" s="14">
        <v>2800</v>
      </c>
      <c r="H229" s="14">
        <v>0</v>
      </c>
      <c r="I229" s="14">
        <v>0</v>
      </c>
      <c r="J229" s="88">
        <f t="shared" si="15"/>
        <v>2800</v>
      </c>
      <c r="K229" s="91"/>
    </row>
    <row r="230" spans="2:11" x14ac:dyDescent="0.45">
      <c r="B230" s="85">
        <f t="shared" si="16"/>
        <v>10</v>
      </c>
      <c r="C230" s="86">
        <v>46245</v>
      </c>
      <c r="D230" s="86" t="s">
        <v>633</v>
      </c>
      <c r="E230" s="11" t="s">
        <v>217</v>
      </c>
      <c r="F230" s="87">
        <v>0</v>
      </c>
      <c r="G230" s="14">
        <v>4800</v>
      </c>
      <c r="H230" s="14">
        <v>0</v>
      </c>
      <c r="I230" s="14">
        <v>0</v>
      </c>
      <c r="J230" s="88">
        <f t="shared" si="15"/>
        <v>4800</v>
      </c>
      <c r="K230" s="91"/>
    </row>
    <row r="231" spans="2:11" x14ac:dyDescent="0.45">
      <c r="B231" s="85">
        <f t="shared" si="16"/>
        <v>11</v>
      </c>
      <c r="C231" s="86">
        <v>46245</v>
      </c>
      <c r="D231" s="86" t="s">
        <v>634</v>
      </c>
      <c r="E231" s="11" t="s">
        <v>218</v>
      </c>
      <c r="F231" s="87">
        <v>0</v>
      </c>
      <c r="G231" s="14">
        <v>2020</v>
      </c>
      <c r="H231" s="14">
        <v>300</v>
      </c>
      <c r="I231" s="14">
        <v>0</v>
      </c>
      <c r="J231" s="88">
        <f t="shared" si="15"/>
        <v>1720</v>
      </c>
      <c r="K231" s="89"/>
    </row>
    <row r="232" spans="2:11" x14ac:dyDescent="0.45">
      <c r="B232" s="85">
        <f t="shared" si="16"/>
        <v>12</v>
      </c>
      <c r="C232" s="86">
        <v>46245</v>
      </c>
      <c r="D232" s="86" t="s">
        <v>635</v>
      </c>
      <c r="E232" s="11" t="s">
        <v>219</v>
      </c>
      <c r="F232" s="87">
        <v>0</v>
      </c>
      <c r="G232" s="14">
        <v>4500</v>
      </c>
      <c r="H232" s="14">
        <v>0</v>
      </c>
      <c r="I232" s="14">
        <v>0</v>
      </c>
      <c r="J232" s="88">
        <f t="shared" si="15"/>
        <v>4500</v>
      </c>
      <c r="K232" s="91"/>
    </row>
    <row r="233" spans="2:11" x14ac:dyDescent="0.45">
      <c r="B233" s="85">
        <f t="shared" si="16"/>
        <v>13</v>
      </c>
      <c r="C233" s="86">
        <v>46245</v>
      </c>
      <c r="D233" s="86" t="s">
        <v>636</v>
      </c>
      <c r="E233" s="11" t="s">
        <v>75</v>
      </c>
      <c r="F233" s="87">
        <v>0</v>
      </c>
      <c r="G233" s="14">
        <v>2200</v>
      </c>
      <c r="H233" s="14">
        <v>660</v>
      </c>
      <c r="I233" s="14">
        <v>0</v>
      </c>
      <c r="J233" s="88">
        <f t="shared" si="15"/>
        <v>1540</v>
      </c>
      <c r="K233" s="91"/>
    </row>
    <row r="234" spans="2:11" x14ac:dyDescent="0.45">
      <c r="B234" s="85">
        <f t="shared" si="16"/>
        <v>14</v>
      </c>
      <c r="C234" s="86">
        <v>46245</v>
      </c>
      <c r="D234" s="86" t="s">
        <v>637</v>
      </c>
      <c r="E234" s="11" t="s">
        <v>166</v>
      </c>
      <c r="F234" s="87">
        <v>0</v>
      </c>
      <c r="G234" s="14">
        <v>1900</v>
      </c>
      <c r="H234" s="14">
        <v>570</v>
      </c>
      <c r="I234" s="14">
        <v>0</v>
      </c>
      <c r="J234" s="88">
        <f t="shared" si="15"/>
        <v>1330</v>
      </c>
      <c r="K234" s="91"/>
    </row>
    <row r="235" spans="2:11" x14ac:dyDescent="0.45">
      <c r="B235" s="85">
        <f t="shared" si="16"/>
        <v>15</v>
      </c>
      <c r="C235" s="86">
        <v>46245</v>
      </c>
      <c r="D235" s="86" t="s">
        <v>638</v>
      </c>
      <c r="E235" s="11" t="s">
        <v>220</v>
      </c>
      <c r="F235" s="87">
        <v>0</v>
      </c>
      <c r="G235" s="14">
        <v>1900</v>
      </c>
      <c r="H235" s="14">
        <v>200</v>
      </c>
      <c r="I235" s="14">
        <v>0</v>
      </c>
      <c r="J235" s="88">
        <f t="shared" si="15"/>
        <v>1700</v>
      </c>
      <c r="K235" s="91"/>
    </row>
    <row r="236" spans="2:11" x14ac:dyDescent="0.45">
      <c r="B236" s="85">
        <f t="shared" si="16"/>
        <v>16</v>
      </c>
      <c r="C236" s="86">
        <v>46245</v>
      </c>
      <c r="D236" s="86" t="s">
        <v>639</v>
      </c>
      <c r="E236" s="11" t="s">
        <v>221</v>
      </c>
      <c r="F236" s="87">
        <v>0</v>
      </c>
      <c r="G236" s="14">
        <v>18720</v>
      </c>
      <c r="H236" s="14">
        <v>2100</v>
      </c>
      <c r="I236" s="14">
        <v>0</v>
      </c>
      <c r="J236" s="88">
        <f t="shared" si="15"/>
        <v>16620</v>
      </c>
      <c r="K236" s="91"/>
    </row>
    <row r="237" spans="2:11" x14ac:dyDescent="0.45">
      <c r="B237" s="85">
        <f t="shared" si="16"/>
        <v>17</v>
      </c>
      <c r="C237" s="86">
        <v>46245</v>
      </c>
      <c r="D237" s="86" t="s">
        <v>640</v>
      </c>
      <c r="E237" s="11" t="s">
        <v>222</v>
      </c>
      <c r="F237" s="87">
        <v>0</v>
      </c>
      <c r="G237" s="14">
        <v>2300</v>
      </c>
      <c r="H237" s="14">
        <v>0</v>
      </c>
      <c r="I237" s="14">
        <v>0</v>
      </c>
      <c r="J237" s="88">
        <f t="shared" si="15"/>
        <v>2300</v>
      </c>
      <c r="K237" s="91"/>
    </row>
    <row r="238" spans="2:11" x14ac:dyDescent="0.45">
      <c r="B238" s="85">
        <f t="shared" si="16"/>
        <v>18</v>
      </c>
      <c r="C238" s="86">
        <v>46245</v>
      </c>
      <c r="D238" s="86" t="s">
        <v>641</v>
      </c>
      <c r="E238" s="11" t="s">
        <v>223</v>
      </c>
      <c r="F238" s="87">
        <v>0</v>
      </c>
      <c r="G238" s="14">
        <v>1900</v>
      </c>
      <c r="H238" s="14">
        <v>570</v>
      </c>
      <c r="I238" s="14">
        <v>0</v>
      </c>
      <c r="J238" s="88">
        <f t="shared" si="15"/>
        <v>1330</v>
      </c>
      <c r="K238" s="91"/>
    </row>
    <row r="239" spans="2:11" x14ac:dyDescent="0.45">
      <c r="B239" s="85">
        <f t="shared" si="16"/>
        <v>19</v>
      </c>
      <c r="C239" s="86">
        <v>46245</v>
      </c>
      <c r="D239" s="86" t="s">
        <v>642</v>
      </c>
      <c r="E239" s="11" t="s">
        <v>224</v>
      </c>
      <c r="F239" s="87">
        <v>0</v>
      </c>
      <c r="G239" s="14">
        <v>2000</v>
      </c>
      <c r="H239" s="14">
        <v>300</v>
      </c>
      <c r="I239" s="14">
        <v>0</v>
      </c>
      <c r="J239" s="88">
        <f t="shared" si="15"/>
        <v>1700</v>
      </c>
      <c r="K239" s="91"/>
    </row>
    <row r="240" spans="2:11" x14ac:dyDescent="0.45">
      <c r="B240" s="85">
        <f t="shared" si="16"/>
        <v>20</v>
      </c>
      <c r="C240" s="86">
        <v>46245</v>
      </c>
      <c r="D240" s="86" t="s">
        <v>643</v>
      </c>
      <c r="E240" s="11" t="s">
        <v>225</v>
      </c>
      <c r="F240" s="87">
        <v>0</v>
      </c>
      <c r="G240" s="14">
        <v>1800</v>
      </c>
      <c r="H240" s="14">
        <v>540</v>
      </c>
      <c r="I240" s="14">
        <v>0</v>
      </c>
      <c r="J240" s="88">
        <f t="shared" si="15"/>
        <v>1260</v>
      </c>
      <c r="K240" s="91"/>
    </row>
    <row r="241" spans="2:11" x14ac:dyDescent="0.45">
      <c r="B241" s="85">
        <f t="shared" si="16"/>
        <v>21</v>
      </c>
      <c r="C241" s="86">
        <v>46245</v>
      </c>
      <c r="D241" s="86" t="s">
        <v>644</v>
      </c>
      <c r="E241" s="11" t="s">
        <v>226</v>
      </c>
      <c r="F241" s="87">
        <v>0</v>
      </c>
      <c r="G241" s="14">
        <v>1900</v>
      </c>
      <c r="H241" s="14">
        <v>300</v>
      </c>
      <c r="I241" s="14">
        <v>0</v>
      </c>
      <c r="J241" s="88">
        <f t="shared" si="15"/>
        <v>1600</v>
      </c>
      <c r="K241" s="91"/>
    </row>
    <row r="242" spans="2:11" x14ac:dyDescent="0.45">
      <c r="B242" s="85">
        <f t="shared" si="16"/>
        <v>22</v>
      </c>
      <c r="C242" s="86">
        <v>46245</v>
      </c>
      <c r="D242" s="86" t="s">
        <v>645</v>
      </c>
      <c r="E242" s="11" t="s">
        <v>227</v>
      </c>
      <c r="F242" s="87">
        <v>0</v>
      </c>
      <c r="G242" s="14">
        <f>3500*4</f>
        <v>14000</v>
      </c>
      <c r="H242" s="14">
        <v>800</v>
      </c>
      <c r="I242" s="14">
        <v>0</v>
      </c>
      <c r="J242" s="88">
        <f t="shared" si="15"/>
        <v>13200</v>
      </c>
      <c r="K242" s="91"/>
    </row>
    <row r="243" spans="2:11" x14ac:dyDescent="0.45">
      <c r="B243" s="85">
        <f t="shared" si="16"/>
        <v>23</v>
      </c>
      <c r="C243" s="86">
        <v>46245</v>
      </c>
      <c r="D243" s="86" t="s">
        <v>646</v>
      </c>
      <c r="E243" s="11" t="s">
        <v>228</v>
      </c>
      <c r="F243" s="87">
        <v>0</v>
      </c>
      <c r="G243" s="14">
        <v>2700</v>
      </c>
      <c r="H243" s="14">
        <v>810</v>
      </c>
      <c r="I243" s="14">
        <v>0</v>
      </c>
      <c r="J243" s="88">
        <f t="shared" si="15"/>
        <v>1890</v>
      </c>
      <c r="K243" s="91"/>
    </row>
    <row r="244" spans="2:11" x14ac:dyDescent="0.45">
      <c r="B244" s="85">
        <f t="shared" si="16"/>
        <v>24</v>
      </c>
      <c r="C244" s="86">
        <v>46245</v>
      </c>
      <c r="D244" s="86" t="s">
        <v>647</v>
      </c>
      <c r="E244" s="11" t="s">
        <v>104</v>
      </c>
      <c r="F244" s="87">
        <v>0</v>
      </c>
      <c r="G244" s="14">
        <v>2440</v>
      </c>
      <c r="H244" s="14">
        <v>0</v>
      </c>
      <c r="I244" s="14">
        <v>0</v>
      </c>
      <c r="J244" s="88">
        <f t="shared" si="15"/>
        <v>2440</v>
      </c>
      <c r="K244" s="91"/>
    </row>
    <row r="245" spans="2:11" x14ac:dyDescent="0.45">
      <c r="B245" s="85">
        <f t="shared" si="16"/>
        <v>25</v>
      </c>
      <c r="C245" s="86">
        <v>46245</v>
      </c>
      <c r="D245" s="86" t="s">
        <v>648</v>
      </c>
      <c r="E245" s="11" t="s">
        <v>229</v>
      </c>
      <c r="F245" s="87">
        <v>0</v>
      </c>
      <c r="G245" s="14">
        <v>440</v>
      </c>
      <c r="H245" s="14">
        <v>0</v>
      </c>
      <c r="I245" s="14">
        <v>0</v>
      </c>
      <c r="J245" s="88">
        <f t="shared" si="15"/>
        <v>440</v>
      </c>
      <c r="K245" s="91"/>
    </row>
    <row r="246" spans="2:11" x14ac:dyDescent="0.45">
      <c r="B246" s="85">
        <f t="shared" si="16"/>
        <v>26</v>
      </c>
      <c r="C246" s="86">
        <v>46245</v>
      </c>
      <c r="D246" s="86" t="s">
        <v>649</v>
      </c>
      <c r="E246" s="11" t="s">
        <v>230</v>
      </c>
      <c r="F246" s="87">
        <v>0</v>
      </c>
      <c r="G246" s="14">
        <v>1800</v>
      </c>
      <c r="H246" s="14">
        <v>0</v>
      </c>
      <c r="I246" s="14">
        <v>0</v>
      </c>
      <c r="J246" s="88">
        <f t="shared" si="15"/>
        <v>1800</v>
      </c>
      <c r="K246" s="91"/>
    </row>
    <row r="247" spans="2:11" x14ac:dyDescent="0.45">
      <c r="B247" s="85">
        <f t="shared" si="16"/>
        <v>27</v>
      </c>
      <c r="C247" s="86">
        <v>46245</v>
      </c>
      <c r="D247" s="86" t="s">
        <v>650</v>
      </c>
      <c r="E247" s="11" t="s">
        <v>231</v>
      </c>
      <c r="F247" s="87">
        <v>0</v>
      </c>
      <c r="G247" s="14">
        <v>1800</v>
      </c>
      <c r="H247" s="14">
        <v>300</v>
      </c>
      <c r="I247" s="14">
        <v>0</v>
      </c>
      <c r="J247" s="88">
        <f t="shared" si="15"/>
        <v>1500</v>
      </c>
      <c r="K247" s="91"/>
    </row>
    <row r="248" spans="2:11" x14ac:dyDescent="0.45">
      <c r="B248" s="85">
        <f t="shared" si="16"/>
        <v>28</v>
      </c>
      <c r="C248" s="86">
        <v>46245</v>
      </c>
      <c r="D248" s="86" t="s">
        <v>651</v>
      </c>
      <c r="E248" s="11" t="s">
        <v>232</v>
      </c>
      <c r="F248" s="87">
        <v>0</v>
      </c>
      <c r="G248" s="14">
        <v>100</v>
      </c>
      <c r="H248" s="14">
        <v>0</v>
      </c>
      <c r="I248" s="14">
        <v>0</v>
      </c>
      <c r="J248" s="88">
        <f t="shared" si="15"/>
        <v>100</v>
      </c>
      <c r="K248" s="91"/>
    </row>
    <row r="249" spans="2:11" x14ac:dyDescent="0.45">
      <c r="B249" s="85">
        <f t="shared" si="16"/>
        <v>29</v>
      </c>
      <c r="C249" s="86">
        <v>46245</v>
      </c>
      <c r="D249" s="86" t="s">
        <v>652</v>
      </c>
      <c r="E249" s="11" t="s">
        <v>233</v>
      </c>
      <c r="F249" s="87">
        <v>0</v>
      </c>
      <c r="G249" s="14">
        <v>5200</v>
      </c>
      <c r="H249" s="14">
        <v>200</v>
      </c>
      <c r="I249" s="14">
        <v>0</v>
      </c>
      <c r="J249" s="88">
        <f t="shared" si="15"/>
        <v>5000</v>
      </c>
      <c r="K249" s="91"/>
    </row>
    <row r="250" spans="2:11" x14ac:dyDescent="0.45">
      <c r="B250" s="85">
        <f t="shared" si="16"/>
        <v>30</v>
      </c>
      <c r="C250" s="86">
        <v>46245</v>
      </c>
      <c r="D250" s="86" t="s">
        <v>653</v>
      </c>
      <c r="E250" s="11" t="s">
        <v>14</v>
      </c>
      <c r="F250" s="87">
        <v>0</v>
      </c>
      <c r="G250" s="14">
        <v>640</v>
      </c>
      <c r="H250" s="14">
        <v>0</v>
      </c>
      <c r="I250" s="14">
        <v>0</v>
      </c>
      <c r="J250" s="88">
        <f t="shared" si="15"/>
        <v>640</v>
      </c>
      <c r="K250" s="91"/>
    </row>
    <row r="251" spans="2:11" x14ac:dyDescent="0.45">
      <c r="B251" s="85">
        <f t="shared" si="16"/>
        <v>31</v>
      </c>
      <c r="C251" s="86">
        <v>46245</v>
      </c>
      <c r="D251" s="86" t="s">
        <v>654</v>
      </c>
      <c r="E251" s="11" t="s">
        <v>234</v>
      </c>
      <c r="F251" s="87">
        <v>0</v>
      </c>
      <c r="G251" s="14">
        <v>220</v>
      </c>
      <c r="H251" s="14">
        <v>0</v>
      </c>
      <c r="I251" s="14">
        <v>0</v>
      </c>
      <c r="J251" s="88">
        <f t="shared" si="15"/>
        <v>220</v>
      </c>
      <c r="K251" s="91"/>
    </row>
    <row r="252" spans="2:11" x14ac:dyDescent="0.45">
      <c r="B252" s="85">
        <f t="shared" si="16"/>
        <v>32</v>
      </c>
      <c r="C252" s="86">
        <v>46245</v>
      </c>
      <c r="D252" s="86" t="s">
        <v>655</v>
      </c>
      <c r="E252" s="11" t="s">
        <v>235</v>
      </c>
      <c r="F252" s="87">
        <v>0</v>
      </c>
      <c r="G252" s="14">
        <v>1900</v>
      </c>
      <c r="H252" s="14">
        <v>570</v>
      </c>
      <c r="I252" s="14">
        <v>0</v>
      </c>
      <c r="J252" s="88">
        <f t="shared" si="15"/>
        <v>1330</v>
      </c>
      <c r="K252" s="91"/>
    </row>
    <row r="253" spans="2:11" x14ac:dyDescent="0.45">
      <c r="B253" s="85">
        <v>1</v>
      </c>
      <c r="C253" s="86">
        <v>46246</v>
      </c>
      <c r="D253" s="86" t="s">
        <v>656</v>
      </c>
      <c r="E253" s="11" t="s">
        <v>122</v>
      </c>
      <c r="F253" s="87">
        <v>0</v>
      </c>
      <c r="G253" s="14">
        <v>4500</v>
      </c>
      <c r="H253" s="14">
        <v>0</v>
      </c>
      <c r="I253" s="14">
        <v>0</v>
      </c>
      <c r="J253" s="88">
        <f>+G253-H253</f>
        <v>4500</v>
      </c>
      <c r="K253" s="89"/>
    </row>
    <row r="254" spans="2:11" x14ac:dyDescent="0.45">
      <c r="B254" s="85">
        <f>+B253+1</f>
        <v>2</v>
      </c>
      <c r="C254" s="86">
        <v>46246</v>
      </c>
      <c r="D254" s="86" t="s">
        <v>657</v>
      </c>
      <c r="E254" s="11" t="s">
        <v>237</v>
      </c>
      <c r="F254" s="87">
        <v>0</v>
      </c>
      <c r="G254" s="14">
        <v>2000</v>
      </c>
      <c r="H254" s="14">
        <v>1000</v>
      </c>
      <c r="I254" s="14">
        <v>0</v>
      </c>
      <c r="J254" s="88">
        <f t="shared" ref="J254:J271" si="17">+G254-H254</f>
        <v>1000</v>
      </c>
      <c r="K254" s="90"/>
    </row>
    <row r="255" spans="2:11" x14ac:dyDescent="0.45">
      <c r="B255" s="85">
        <f t="shared" ref="B255:B271" si="18">+B254+1</f>
        <v>3</v>
      </c>
      <c r="C255" s="86">
        <v>46246</v>
      </c>
      <c r="D255" s="86" t="s">
        <v>658</v>
      </c>
      <c r="E255" s="11" t="s">
        <v>238</v>
      </c>
      <c r="F255" s="87">
        <v>0</v>
      </c>
      <c r="G255" s="14">
        <v>5900</v>
      </c>
      <c r="H255" s="14">
        <v>1200</v>
      </c>
      <c r="I255" s="14">
        <v>0</v>
      </c>
      <c r="J255" s="88">
        <f t="shared" si="17"/>
        <v>4700</v>
      </c>
      <c r="K255" s="90"/>
    </row>
    <row r="256" spans="2:11" x14ac:dyDescent="0.45">
      <c r="B256" s="85">
        <f t="shared" si="18"/>
        <v>4</v>
      </c>
      <c r="C256" s="86">
        <v>46246</v>
      </c>
      <c r="D256" s="86" t="s">
        <v>659</v>
      </c>
      <c r="E256" s="11" t="s">
        <v>239</v>
      </c>
      <c r="F256" s="87">
        <v>0</v>
      </c>
      <c r="G256" s="14">
        <v>1700</v>
      </c>
      <c r="H256" s="14">
        <v>0</v>
      </c>
      <c r="I256" s="14">
        <v>0</v>
      </c>
      <c r="J256" s="88">
        <f t="shared" si="17"/>
        <v>1700</v>
      </c>
      <c r="K256" s="91"/>
    </row>
    <row r="257" spans="2:11" x14ac:dyDescent="0.45">
      <c r="B257" s="85">
        <f t="shared" si="18"/>
        <v>5</v>
      </c>
      <c r="C257" s="86">
        <v>46246</v>
      </c>
      <c r="D257" s="86" t="s">
        <v>660</v>
      </c>
      <c r="E257" s="11" t="s">
        <v>240</v>
      </c>
      <c r="F257" s="87">
        <v>0</v>
      </c>
      <c r="G257" s="14">
        <v>1900</v>
      </c>
      <c r="H257" s="14">
        <v>570</v>
      </c>
      <c r="I257" s="14">
        <v>0</v>
      </c>
      <c r="J257" s="88">
        <f t="shared" si="17"/>
        <v>1330</v>
      </c>
      <c r="K257" s="89"/>
    </row>
    <row r="258" spans="2:11" x14ac:dyDescent="0.45">
      <c r="B258" s="85">
        <f t="shared" si="18"/>
        <v>6</v>
      </c>
      <c r="C258" s="86">
        <v>46246</v>
      </c>
      <c r="D258" s="86" t="s">
        <v>661</v>
      </c>
      <c r="E258" s="11" t="s">
        <v>241</v>
      </c>
      <c r="F258" s="87">
        <v>0</v>
      </c>
      <c r="G258" s="14">
        <v>6600</v>
      </c>
      <c r="H258" s="14">
        <v>2700</v>
      </c>
      <c r="I258" s="14">
        <v>0</v>
      </c>
      <c r="J258" s="88">
        <f t="shared" si="17"/>
        <v>3900</v>
      </c>
      <c r="K258" s="91"/>
    </row>
    <row r="259" spans="2:11" x14ac:dyDescent="0.45">
      <c r="B259" s="85">
        <f t="shared" si="18"/>
        <v>7</v>
      </c>
      <c r="C259" s="86">
        <v>46246</v>
      </c>
      <c r="D259" s="86" t="s">
        <v>662</v>
      </c>
      <c r="E259" s="11" t="s">
        <v>242</v>
      </c>
      <c r="F259" s="87">
        <v>0</v>
      </c>
      <c r="G259" s="14">
        <v>4900</v>
      </c>
      <c r="H259" s="14">
        <v>1200</v>
      </c>
      <c r="I259" s="14">
        <v>0</v>
      </c>
      <c r="J259" s="88">
        <f t="shared" si="17"/>
        <v>3700</v>
      </c>
      <c r="K259" s="91"/>
    </row>
    <row r="260" spans="2:11" x14ac:dyDescent="0.45">
      <c r="B260" s="85">
        <f t="shared" si="18"/>
        <v>8</v>
      </c>
      <c r="C260" s="86">
        <v>46246</v>
      </c>
      <c r="D260" s="86" t="s">
        <v>663</v>
      </c>
      <c r="E260" s="11" t="s">
        <v>243</v>
      </c>
      <c r="F260" s="87">
        <v>0</v>
      </c>
      <c r="G260" s="14">
        <v>100</v>
      </c>
      <c r="H260" s="14">
        <v>0</v>
      </c>
      <c r="I260" s="14">
        <v>0</v>
      </c>
      <c r="J260" s="88">
        <f t="shared" si="17"/>
        <v>100</v>
      </c>
      <c r="K260" s="91"/>
    </row>
    <row r="261" spans="2:11" x14ac:dyDescent="0.45">
      <c r="B261" s="85">
        <f t="shared" si="18"/>
        <v>9</v>
      </c>
      <c r="C261" s="86">
        <v>46246</v>
      </c>
      <c r="D261" s="86" t="s">
        <v>664</v>
      </c>
      <c r="E261" s="11" t="s">
        <v>244</v>
      </c>
      <c r="F261" s="87">
        <v>0</v>
      </c>
      <c r="G261" s="14">
        <v>1900</v>
      </c>
      <c r="H261" s="14">
        <v>0</v>
      </c>
      <c r="I261" s="14">
        <v>0</v>
      </c>
      <c r="J261" s="88">
        <f t="shared" si="17"/>
        <v>1900</v>
      </c>
      <c r="K261" s="91"/>
    </row>
    <row r="262" spans="2:11" x14ac:dyDescent="0.45">
      <c r="B262" s="85">
        <f t="shared" si="18"/>
        <v>10</v>
      </c>
      <c r="C262" s="86">
        <v>46246</v>
      </c>
      <c r="D262" s="86" t="s">
        <v>665</v>
      </c>
      <c r="E262" s="11" t="s">
        <v>48</v>
      </c>
      <c r="F262" s="87">
        <v>0</v>
      </c>
      <c r="G262" s="14">
        <v>440</v>
      </c>
      <c r="H262" s="14">
        <v>0</v>
      </c>
      <c r="I262" s="14">
        <v>0</v>
      </c>
      <c r="J262" s="88">
        <f t="shared" si="17"/>
        <v>440</v>
      </c>
      <c r="K262" s="91"/>
    </row>
    <row r="263" spans="2:11" x14ac:dyDescent="0.45">
      <c r="B263" s="85">
        <f t="shared" si="18"/>
        <v>11</v>
      </c>
      <c r="C263" s="86">
        <v>46246</v>
      </c>
      <c r="D263" s="86" t="s">
        <v>666</v>
      </c>
      <c r="E263" s="11" t="s">
        <v>245</v>
      </c>
      <c r="F263" s="87">
        <v>0</v>
      </c>
      <c r="G263" s="14">
        <v>1800</v>
      </c>
      <c r="H263" s="14">
        <v>0</v>
      </c>
      <c r="I263" s="14">
        <v>0</v>
      </c>
      <c r="J263" s="88">
        <f t="shared" si="17"/>
        <v>1800</v>
      </c>
      <c r="K263" s="89"/>
    </row>
    <row r="264" spans="2:11" x14ac:dyDescent="0.45">
      <c r="B264" s="85">
        <f t="shared" si="18"/>
        <v>12</v>
      </c>
      <c r="C264" s="86">
        <v>46246</v>
      </c>
      <c r="D264" s="86" t="s">
        <v>667</v>
      </c>
      <c r="E264" s="11" t="s">
        <v>246</v>
      </c>
      <c r="F264" s="87">
        <v>0</v>
      </c>
      <c r="G264" s="14">
        <v>1800</v>
      </c>
      <c r="H264" s="14">
        <v>400</v>
      </c>
      <c r="I264" s="14">
        <v>0</v>
      </c>
      <c r="J264" s="88">
        <f t="shared" si="17"/>
        <v>1400</v>
      </c>
      <c r="K264" s="91"/>
    </row>
    <row r="265" spans="2:11" x14ac:dyDescent="0.45">
      <c r="B265" s="85">
        <f t="shared" si="18"/>
        <v>13</v>
      </c>
      <c r="C265" s="86">
        <v>46246</v>
      </c>
      <c r="D265" s="86" t="s">
        <v>668</v>
      </c>
      <c r="E265" s="11" t="s">
        <v>247</v>
      </c>
      <c r="F265" s="87">
        <v>0</v>
      </c>
      <c r="G265" s="14">
        <v>1900</v>
      </c>
      <c r="H265" s="14">
        <v>0</v>
      </c>
      <c r="I265" s="14">
        <v>0</v>
      </c>
      <c r="J265" s="88">
        <f t="shared" si="17"/>
        <v>1900</v>
      </c>
      <c r="K265" s="91"/>
    </row>
    <row r="266" spans="2:11" x14ac:dyDescent="0.45">
      <c r="B266" s="85">
        <f t="shared" si="18"/>
        <v>14</v>
      </c>
      <c r="C266" s="86">
        <v>46246</v>
      </c>
      <c r="D266" s="86" t="s">
        <v>669</v>
      </c>
      <c r="E266" s="11" t="s">
        <v>248</v>
      </c>
      <c r="F266" s="87">
        <v>0</v>
      </c>
      <c r="G266" s="14">
        <v>1800</v>
      </c>
      <c r="H266" s="14">
        <v>200</v>
      </c>
      <c r="I266" s="14">
        <v>0</v>
      </c>
      <c r="J266" s="88">
        <f t="shared" si="17"/>
        <v>1600</v>
      </c>
      <c r="K266" s="91"/>
    </row>
    <row r="267" spans="2:11" x14ac:dyDescent="0.45">
      <c r="B267" s="85">
        <f t="shared" si="18"/>
        <v>15</v>
      </c>
      <c r="C267" s="86">
        <v>46246</v>
      </c>
      <c r="D267" s="86" t="s">
        <v>670</v>
      </c>
      <c r="E267" s="11" t="s">
        <v>249</v>
      </c>
      <c r="F267" s="87">
        <v>0</v>
      </c>
      <c r="G267" s="14">
        <v>2500</v>
      </c>
      <c r="H267" s="14">
        <v>200</v>
      </c>
      <c r="I267" s="14">
        <v>0</v>
      </c>
      <c r="J267" s="88">
        <f t="shared" si="17"/>
        <v>2300</v>
      </c>
      <c r="K267" s="91"/>
    </row>
    <row r="268" spans="2:11" x14ac:dyDescent="0.45">
      <c r="B268" s="85">
        <f t="shared" si="18"/>
        <v>16</v>
      </c>
      <c r="C268" s="86">
        <v>46246</v>
      </c>
      <c r="D268" s="86" t="s">
        <v>671</v>
      </c>
      <c r="E268" s="11" t="s">
        <v>250</v>
      </c>
      <c r="F268" s="87">
        <v>0</v>
      </c>
      <c r="G268" s="14">
        <v>4900</v>
      </c>
      <c r="H268" s="14">
        <v>200</v>
      </c>
      <c r="I268" s="14">
        <v>0</v>
      </c>
      <c r="J268" s="88">
        <f t="shared" si="17"/>
        <v>4700</v>
      </c>
      <c r="K268" s="91"/>
    </row>
    <row r="269" spans="2:11" x14ac:dyDescent="0.45">
      <c r="B269" s="85">
        <f t="shared" si="18"/>
        <v>17</v>
      </c>
      <c r="C269" s="86">
        <v>46246</v>
      </c>
      <c r="D269" s="86" t="s">
        <v>672</v>
      </c>
      <c r="E269" s="11" t="s">
        <v>251</v>
      </c>
      <c r="F269" s="87">
        <v>0</v>
      </c>
      <c r="G269" s="14">
        <v>2800</v>
      </c>
      <c r="H269" s="14">
        <v>840</v>
      </c>
      <c r="I269" s="14">
        <v>0</v>
      </c>
      <c r="J269" s="88">
        <f t="shared" si="17"/>
        <v>1960</v>
      </c>
      <c r="K269" s="91"/>
    </row>
    <row r="270" spans="2:11" x14ac:dyDescent="0.45">
      <c r="B270" s="85">
        <f t="shared" si="18"/>
        <v>18</v>
      </c>
      <c r="C270" s="86">
        <v>46246</v>
      </c>
      <c r="D270" s="86" t="s">
        <v>673</v>
      </c>
      <c r="E270" s="11" t="s">
        <v>106</v>
      </c>
      <c r="F270" s="87">
        <v>0</v>
      </c>
      <c r="G270" s="14">
        <v>880</v>
      </c>
      <c r="H270" s="14">
        <v>0</v>
      </c>
      <c r="I270" s="14">
        <v>0</v>
      </c>
      <c r="J270" s="88">
        <f t="shared" si="17"/>
        <v>880</v>
      </c>
      <c r="K270" s="91"/>
    </row>
    <row r="271" spans="2:11" x14ac:dyDescent="0.45">
      <c r="B271" s="85">
        <f t="shared" si="18"/>
        <v>19</v>
      </c>
      <c r="C271" s="86">
        <v>46246</v>
      </c>
      <c r="D271" s="86" t="s">
        <v>674</v>
      </c>
      <c r="E271" s="11" t="s">
        <v>252</v>
      </c>
      <c r="F271" s="87">
        <v>0</v>
      </c>
      <c r="G271" s="14">
        <v>220</v>
      </c>
      <c r="H271" s="14">
        <v>0</v>
      </c>
      <c r="I271" s="14">
        <v>0</v>
      </c>
      <c r="J271" s="88">
        <f t="shared" si="17"/>
        <v>220</v>
      </c>
      <c r="K271" s="91"/>
    </row>
    <row r="272" spans="2:11" x14ac:dyDescent="0.45">
      <c r="B272" s="85">
        <v>1</v>
      </c>
      <c r="C272" s="86">
        <v>46247</v>
      </c>
      <c r="D272" s="86" t="s">
        <v>675</v>
      </c>
      <c r="E272" s="11" t="s">
        <v>50</v>
      </c>
      <c r="F272" s="87">
        <v>0</v>
      </c>
      <c r="G272" s="14">
        <v>2240</v>
      </c>
      <c r="H272" s="14">
        <v>300</v>
      </c>
      <c r="I272" s="14">
        <v>0</v>
      </c>
      <c r="J272" s="88">
        <f>+G272-H272</f>
        <v>1940</v>
      </c>
      <c r="K272" s="89"/>
    </row>
    <row r="273" spans="2:11" x14ac:dyDescent="0.45">
      <c r="B273" s="85">
        <f>+B272+1</f>
        <v>2</v>
      </c>
      <c r="C273" s="86">
        <v>46247</v>
      </c>
      <c r="D273" s="86" t="s">
        <v>676</v>
      </c>
      <c r="E273" s="11" t="s">
        <v>254</v>
      </c>
      <c r="F273" s="87">
        <v>0</v>
      </c>
      <c r="G273" s="14">
        <v>4900</v>
      </c>
      <c r="H273" s="14">
        <v>1000</v>
      </c>
      <c r="I273" s="14">
        <v>0</v>
      </c>
      <c r="J273" s="88">
        <f t="shared" ref="J273:J309" si="19">+G273-H273</f>
        <v>3900</v>
      </c>
      <c r="K273" s="90"/>
    </row>
    <row r="274" spans="2:11" x14ac:dyDescent="0.45">
      <c r="B274" s="85">
        <f t="shared" ref="B274:B309" si="20">+B273+1</f>
        <v>3</v>
      </c>
      <c r="C274" s="86">
        <v>46247</v>
      </c>
      <c r="D274" s="86" t="s">
        <v>677</v>
      </c>
      <c r="E274" s="11" t="s">
        <v>255</v>
      </c>
      <c r="F274" s="87">
        <v>0</v>
      </c>
      <c r="G274" s="14">
        <v>4900</v>
      </c>
      <c r="H274" s="14">
        <v>200</v>
      </c>
      <c r="I274" s="14">
        <v>0</v>
      </c>
      <c r="J274" s="88">
        <f t="shared" si="19"/>
        <v>4700</v>
      </c>
      <c r="K274" s="90"/>
    </row>
    <row r="275" spans="2:11" x14ac:dyDescent="0.45">
      <c r="B275" s="85">
        <f t="shared" si="20"/>
        <v>4</v>
      </c>
      <c r="C275" s="86">
        <v>46247</v>
      </c>
      <c r="D275" s="86" t="s">
        <v>678</v>
      </c>
      <c r="E275" s="11" t="s">
        <v>256</v>
      </c>
      <c r="F275" s="87">
        <v>0</v>
      </c>
      <c r="G275" s="14">
        <v>1700</v>
      </c>
      <c r="H275" s="14">
        <v>200</v>
      </c>
      <c r="I275" s="14">
        <v>0</v>
      </c>
      <c r="J275" s="88">
        <f t="shared" si="19"/>
        <v>1500</v>
      </c>
      <c r="K275" s="91"/>
    </row>
    <row r="276" spans="2:11" x14ac:dyDescent="0.45">
      <c r="B276" s="85">
        <f t="shared" si="20"/>
        <v>5</v>
      </c>
      <c r="C276" s="86">
        <v>46247</v>
      </c>
      <c r="D276" s="86" t="s">
        <v>679</v>
      </c>
      <c r="E276" s="11" t="s">
        <v>257</v>
      </c>
      <c r="F276" s="87">
        <v>0</v>
      </c>
      <c r="G276" s="14">
        <v>1700</v>
      </c>
      <c r="H276" s="14">
        <v>200</v>
      </c>
      <c r="I276" s="14">
        <v>0</v>
      </c>
      <c r="J276" s="88">
        <f t="shared" si="19"/>
        <v>1500</v>
      </c>
      <c r="K276" s="89"/>
    </row>
    <row r="277" spans="2:11" x14ac:dyDescent="0.45">
      <c r="B277" s="85">
        <f t="shared" si="20"/>
        <v>6</v>
      </c>
      <c r="C277" s="86">
        <v>46247</v>
      </c>
      <c r="D277" s="86" t="s">
        <v>680</v>
      </c>
      <c r="E277" s="11" t="s">
        <v>258</v>
      </c>
      <c r="F277" s="87">
        <v>0</v>
      </c>
      <c r="G277" s="14">
        <v>1700</v>
      </c>
      <c r="H277" s="14">
        <v>510</v>
      </c>
      <c r="I277" s="14">
        <v>0</v>
      </c>
      <c r="J277" s="88">
        <f t="shared" si="19"/>
        <v>1190</v>
      </c>
      <c r="K277" s="91"/>
    </row>
    <row r="278" spans="2:11" x14ac:dyDescent="0.45">
      <c r="B278" s="85">
        <f t="shared" si="20"/>
        <v>7</v>
      </c>
      <c r="C278" s="86">
        <v>46247</v>
      </c>
      <c r="D278" s="86" t="s">
        <v>681</v>
      </c>
      <c r="E278" s="11" t="s">
        <v>259</v>
      </c>
      <c r="F278" s="87">
        <v>0</v>
      </c>
      <c r="G278" s="14">
        <v>100</v>
      </c>
      <c r="H278" s="14">
        <v>0</v>
      </c>
      <c r="I278" s="14">
        <v>0</v>
      </c>
      <c r="J278" s="88">
        <f t="shared" si="19"/>
        <v>100</v>
      </c>
      <c r="K278" s="91"/>
    </row>
    <row r="279" spans="2:11" x14ac:dyDescent="0.45">
      <c r="B279" s="85">
        <f t="shared" si="20"/>
        <v>8</v>
      </c>
      <c r="C279" s="86">
        <v>46247</v>
      </c>
      <c r="D279" s="86" t="s">
        <v>682</v>
      </c>
      <c r="E279" s="11" t="s">
        <v>260</v>
      </c>
      <c r="F279" s="87">
        <v>0</v>
      </c>
      <c r="G279" s="14">
        <v>4900</v>
      </c>
      <c r="H279" s="14">
        <v>4900</v>
      </c>
      <c r="I279" s="14">
        <v>0</v>
      </c>
      <c r="J279" s="88">
        <f t="shared" si="19"/>
        <v>0</v>
      </c>
      <c r="K279" s="91"/>
    </row>
    <row r="280" spans="2:11" x14ac:dyDescent="0.45">
      <c r="B280" s="85">
        <f t="shared" si="20"/>
        <v>9</v>
      </c>
      <c r="C280" s="86">
        <v>46247</v>
      </c>
      <c r="D280" s="86" t="s">
        <v>683</v>
      </c>
      <c r="E280" s="11" t="s">
        <v>144</v>
      </c>
      <c r="F280" s="87">
        <v>0</v>
      </c>
      <c r="G280" s="14">
        <v>220</v>
      </c>
      <c r="H280" s="14">
        <v>0</v>
      </c>
      <c r="I280" s="14">
        <v>0</v>
      </c>
      <c r="J280" s="88">
        <f t="shared" si="19"/>
        <v>220</v>
      </c>
      <c r="K280" s="91"/>
    </row>
    <row r="281" spans="2:11" x14ac:dyDescent="0.45">
      <c r="B281" s="85">
        <f t="shared" si="20"/>
        <v>10</v>
      </c>
      <c r="C281" s="86">
        <v>46247</v>
      </c>
      <c r="D281" s="86" t="s">
        <v>684</v>
      </c>
      <c r="E281" s="11" t="s">
        <v>261</v>
      </c>
      <c r="F281" s="87">
        <v>0</v>
      </c>
      <c r="G281" s="14">
        <v>1700</v>
      </c>
      <c r="H281" s="14">
        <v>200</v>
      </c>
      <c r="I281" s="14">
        <v>0</v>
      </c>
      <c r="J281" s="88">
        <f t="shared" si="19"/>
        <v>1500</v>
      </c>
      <c r="K281" s="91"/>
    </row>
    <row r="282" spans="2:11" x14ac:dyDescent="0.45">
      <c r="B282" s="85">
        <f t="shared" si="20"/>
        <v>11</v>
      </c>
      <c r="C282" s="86">
        <v>46247</v>
      </c>
      <c r="D282" s="86" t="s">
        <v>685</v>
      </c>
      <c r="E282" s="11" t="s">
        <v>262</v>
      </c>
      <c r="F282" s="87">
        <v>0</v>
      </c>
      <c r="G282" s="14">
        <v>2000</v>
      </c>
      <c r="H282" s="14">
        <v>600</v>
      </c>
      <c r="I282" s="14">
        <v>0</v>
      </c>
      <c r="J282" s="88">
        <f t="shared" si="19"/>
        <v>1400</v>
      </c>
      <c r="K282" s="89"/>
    </row>
    <row r="283" spans="2:11" x14ac:dyDescent="0.45">
      <c r="B283" s="85">
        <f t="shared" si="20"/>
        <v>12</v>
      </c>
      <c r="C283" s="86">
        <v>46247</v>
      </c>
      <c r="D283" s="86" t="s">
        <v>686</v>
      </c>
      <c r="E283" s="11" t="s">
        <v>263</v>
      </c>
      <c r="F283" s="87">
        <v>0</v>
      </c>
      <c r="G283" s="14">
        <f>3500*7</f>
        <v>24500</v>
      </c>
      <c r="H283" s="14">
        <f>900*7</f>
        <v>6300</v>
      </c>
      <c r="I283" s="14">
        <v>0</v>
      </c>
      <c r="J283" s="88">
        <f t="shared" si="19"/>
        <v>18200</v>
      </c>
      <c r="K283" s="91"/>
    </row>
    <row r="284" spans="2:11" x14ac:dyDescent="0.45">
      <c r="B284" s="85">
        <f t="shared" si="20"/>
        <v>13</v>
      </c>
      <c r="C284" s="86">
        <v>46247</v>
      </c>
      <c r="D284" s="86" t="s">
        <v>687</v>
      </c>
      <c r="E284" s="11" t="s">
        <v>130</v>
      </c>
      <c r="F284" s="87">
        <v>0</v>
      </c>
      <c r="G284" s="14">
        <v>1900</v>
      </c>
      <c r="H284" s="14">
        <v>900</v>
      </c>
      <c r="I284" s="14">
        <v>0</v>
      </c>
      <c r="J284" s="88">
        <f t="shared" si="19"/>
        <v>1000</v>
      </c>
      <c r="K284" s="91"/>
    </row>
    <row r="285" spans="2:11" x14ac:dyDescent="0.45">
      <c r="B285" s="85">
        <f t="shared" si="20"/>
        <v>14</v>
      </c>
      <c r="C285" s="86">
        <v>46247</v>
      </c>
      <c r="D285" s="86" t="s">
        <v>688</v>
      </c>
      <c r="E285" s="11" t="s">
        <v>142</v>
      </c>
      <c r="F285" s="87">
        <v>0</v>
      </c>
      <c r="G285" s="14">
        <v>100</v>
      </c>
      <c r="H285" s="14">
        <v>0</v>
      </c>
      <c r="I285" s="14">
        <v>0</v>
      </c>
      <c r="J285" s="88">
        <f t="shared" si="19"/>
        <v>100</v>
      </c>
      <c r="K285" s="91"/>
    </row>
    <row r="286" spans="2:11" x14ac:dyDescent="0.45">
      <c r="B286" s="85">
        <f t="shared" si="20"/>
        <v>15</v>
      </c>
      <c r="C286" s="86">
        <v>46247</v>
      </c>
      <c r="D286" s="86" t="s">
        <v>689</v>
      </c>
      <c r="E286" s="11" t="s">
        <v>264</v>
      </c>
      <c r="F286" s="87">
        <v>0</v>
      </c>
      <c r="G286" s="14">
        <v>1900</v>
      </c>
      <c r="H286" s="14">
        <v>570</v>
      </c>
      <c r="I286" s="14">
        <v>0</v>
      </c>
      <c r="J286" s="88">
        <f t="shared" si="19"/>
        <v>1330</v>
      </c>
      <c r="K286" s="91"/>
    </row>
    <row r="287" spans="2:11" x14ac:dyDescent="0.45">
      <c r="B287" s="85">
        <f t="shared" si="20"/>
        <v>16</v>
      </c>
      <c r="C287" s="86">
        <v>46247</v>
      </c>
      <c r="D287" s="86" t="s">
        <v>690</v>
      </c>
      <c r="E287" s="11" t="s">
        <v>131</v>
      </c>
      <c r="F287" s="87">
        <v>0</v>
      </c>
      <c r="G287" s="14">
        <v>60760</v>
      </c>
      <c r="H287" s="14">
        <v>10000</v>
      </c>
      <c r="I287" s="14">
        <v>0</v>
      </c>
      <c r="J287" s="88">
        <f t="shared" si="19"/>
        <v>50760</v>
      </c>
      <c r="K287" s="91"/>
    </row>
    <row r="288" spans="2:11" x14ac:dyDescent="0.45">
      <c r="B288" s="85">
        <f t="shared" si="20"/>
        <v>17</v>
      </c>
      <c r="C288" s="86">
        <v>46247</v>
      </c>
      <c r="D288" s="86" t="s">
        <v>691</v>
      </c>
      <c r="E288" s="11" t="s">
        <v>110</v>
      </c>
      <c r="F288" s="87">
        <v>0</v>
      </c>
      <c r="G288" s="14">
        <v>880</v>
      </c>
      <c r="H288" s="14">
        <v>0</v>
      </c>
      <c r="I288" s="14">
        <v>0</v>
      </c>
      <c r="J288" s="88">
        <f t="shared" si="19"/>
        <v>880</v>
      </c>
      <c r="K288" s="91"/>
    </row>
    <row r="289" spans="2:11" x14ac:dyDescent="0.45">
      <c r="B289" s="85">
        <f t="shared" si="20"/>
        <v>18</v>
      </c>
      <c r="C289" s="86">
        <v>46247</v>
      </c>
      <c r="D289" s="86" t="s">
        <v>692</v>
      </c>
      <c r="E289" s="11" t="s">
        <v>18</v>
      </c>
      <c r="F289" s="87">
        <v>0</v>
      </c>
      <c r="G289" s="14">
        <v>880</v>
      </c>
      <c r="H289" s="14">
        <v>0</v>
      </c>
      <c r="I289" s="14">
        <v>0</v>
      </c>
      <c r="J289" s="88">
        <f t="shared" si="19"/>
        <v>880</v>
      </c>
      <c r="K289" s="91"/>
    </row>
    <row r="290" spans="2:11" x14ac:dyDescent="0.45">
      <c r="B290" s="85">
        <f t="shared" si="20"/>
        <v>19</v>
      </c>
      <c r="C290" s="86">
        <v>46247</v>
      </c>
      <c r="D290" s="86" t="s">
        <v>693</v>
      </c>
      <c r="E290" s="11" t="s">
        <v>265</v>
      </c>
      <c r="F290" s="87">
        <v>0</v>
      </c>
      <c r="G290" s="14">
        <v>1900</v>
      </c>
      <c r="H290" s="14">
        <v>0</v>
      </c>
      <c r="I290" s="14">
        <v>0</v>
      </c>
      <c r="J290" s="88">
        <f t="shared" si="19"/>
        <v>1900</v>
      </c>
      <c r="K290" s="91"/>
    </row>
    <row r="291" spans="2:11" x14ac:dyDescent="0.45">
      <c r="B291" s="85">
        <f t="shared" si="20"/>
        <v>20</v>
      </c>
      <c r="C291" s="86">
        <v>46247</v>
      </c>
      <c r="D291" s="86" t="s">
        <v>694</v>
      </c>
      <c r="E291" s="11" t="s">
        <v>266</v>
      </c>
      <c r="F291" s="87">
        <v>0</v>
      </c>
      <c r="G291" s="14">
        <v>1900</v>
      </c>
      <c r="H291" s="14">
        <v>570</v>
      </c>
      <c r="I291" s="14">
        <v>0</v>
      </c>
      <c r="J291" s="88">
        <f t="shared" si="19"/>
        <v>1330</v>
      </c>
      <c r="K291" s="91"/>
    </row>
    <row r="292" spans="2:11" x14ac:dyDescent="0.45">
      <c r="B292" s="85">
        <f t="shared" si="20"/>
        <v>21</v>
      </c>
      <c r="C292" s="86">
        <v>46247</v>
      </c>
      <c r="D292" s="86" t="s">
        <v>695</v>
      </c>
      <c r="E292" s="11" t="s">
        <v>267</v>
      </c>
      <c r="F292" s="87">
        <v>0</v>
      </c>
      <c r="G292" s="14">
        <v>1700</v>
      </c>
      <c r="H292" s="14">
        <v>0</v>
      </c>
      <c r="I292" s="14">
        <v>0</v>
      </c>
      <c r="J292" s="88">
        <f t="shared" si="19"/>
        <v>1700</v>
      </c>
      <c r="K292" s="91"/>
    </row>
    <row r="293" spans="2:11" x14ac:dyDescent="0.45">
      <c r="B293" s="85">
        <f t="shared" si="20"/>
        <v>22</v>
      </c>
      <c r="C293" s="86">
        <v>46247</v>
      </c>
      <c r="D293" s="86" t="s">
        <v>696</v>
      </c>
      <c r="E293" s="11" t="s">
        <v>268</v>
      </c>
      <c r="F293" s="87">
        <v>0</v>
      </c>
      <c r="G293" s="14">
        <v>4900</v>
      </c>
      <c r="H293" s="14">
        <v>1960</v>
      </c>
      <c r="I293" s="14">
        <v>0</v>
      </c>
      <c r="J293" s="88">
        <f t="shared" si="19"/>
        <v>2940</v>
      </c>
      <c r="K293" s="91"/>
    </row>
    <row r="294" spans="2:11" x14ac:dyDescent="0.45">
      <c r="B294" s="85">
        <f t="shared" si="20"/>
        <v>23</v>
      </c>
      <c r="C294" s="86">
        <v>46247</v>
      </c>
      <c r="D294" s="86" t="s">
        <v>697</v>
      </c>
      <c r="E294" s="11" t="s">
        <v>269</v>
      </c>
      <c r="F294" s="87">
        <v>0</v>
      </c>
      <c r="G294" s="14">
        <v>3600</v>
      </c>
      <c r="H294" s="14">
        <v>1600</v>
      </c>
      <c r="I294" s="14">
        <v>0</v>
      </c>
      <c r="J294" s="88">
        <f t="shared" si="19"/>
        <v>2000</v>
      </c>
      <c r="K294" s="91"/>
    </row>
    <row r="295" spans="2:11" x14ac:dyDescent="0.45">
      <c r="B295" s="85">
        <f t="shared" si="20"/>
        <v>24</v>
      </c>
      <c r="C295" s="86">
        <v>46247</v>
      </c>
      <c r="D295" s="86" t="s">
        <v>698</v>
      </c>
      <c r="E295" s="11" t="s">
        <v>130</v>
      </c>
      <c r="F295" s="87">
        <v>0</v>
      </c>
      <c r="G295" s="14">
        <v>1900</v>
      </c>
      <c r="H295" s="14">
        <v>570</v>
      </c>
      <c r="I295" s="14">
        <v>0</v>
      </c>
      <c r="J295" s="88">
        <f t="shared" si="19"/>
        <v>1330</v>
      </c>
      <c r="K295" s="91"/>
    </row>
    <row r="296" spans="2:11" x14ac:dyDescent="0.45">
      <c r="B296" s="85">
        <f t="shared" si="20"/>
        <v>25</v>
      </c>
      <c r="C296" s="86">
        <v>46247</v>
      </c>
      <c r="D296" s="86" t="s">
        <v>699</v>
      </c>
      <c r="E296" s="11" t="s">
        <v>270</v>
      </c>
      <c r="F296" s="87">
        <v>0</v>
      </c>
      <c r="G296" s="14">
        <v>4900</v>
      </c>
      <c r="H296" s="14">
        <v>1470</v>
      </c>
      <c r="I296" s="14">
        <v>0</v>
      </c>
      <c r="J296" s="88">
        <f t="shared" si="19"/>
        <v>3430</v>
      </c>
      <c r="K296" s="91"/>
    </row>
    <row r="297" spans="2:11" x14ac:dyDescent="0.45">
      <c r="B297" s="85">
        <f t="shared" si="20"/>
        <v>26</v>
      </c>
      <c r="C297" s="86">
        <v>46247</v>
      </c>
      <c r="D297" s="86" t="s">
        <v>700</v>
      </c>
      <c r="E297" s="11" t="s">
        <v>271</v>
      </c>
      <c r="F297" s="87">
        <v>0</v>
      </c>
      <c r="G297" s="14">
        <v>5500</v>
      </c>
      <c r="H297" s="14">
        <v>2500</v>
      </c>
      <c r="I297" s="14">
        <v>0</v>
      </c>
      <c r="J297" s="88">
        <f t="shared" si="19"/>
        <v>3000</v>
      </c>
      <c r="K297" s="91"/>
    </row>
    <row r="298" spans="2:11" x14ac:dyDescent="0.45">
      <c r="B298" s="85">
        <f t="shared" si="20"/>
        <v>27</v>
      </c>
      <c r="C298" s="86">
        <v>46247</v>
      </c>
      <c r="D298" s="86" t="s">
        <v>701</v>
      </c>
      <c r="E298" s="11" t="s">
        <v>101</v>
      </c>
      <c r="F298" s="87">
        <v>0</v>
      </c>
      <c r="G298" s="14">
        <v>1800</v>
      </c>
      <c r="H298" s="14">
        <v>300</v>
      </c>
      <c r="I298" s="14">
        <v>0</v>
      </c>
      <c r="J298" s="88">
        <f t="shared" si="19"/>
        <v>1500</v>
      </c>
      <c r="K298" s="91"/>
    </row>
    <row r="299" spans="2:11" x14ac:dyDescent="0.45">
      <c r="B299" s="85">
        <f t="shared" si="20"/>
        <v>28</v>
      </c>
      <c r="C299" s="86">
        <v>46247</v>
      </c>
      <c r="D299" s="86" t="s">
        <v>702</v>
      </c>
      <c r="E299" s="11" t="s">
        <v>272</v>
      </c>
      <c r="F299" s="87">
        <v>30000</v>
      </c>
      <c r="G299" s="14">
        <v>0</v>
      </c>
      <c r="H299" s="14">
        <v>0</v>
      </c>
      <c r="I299" s="14">
        <v>4500</v>
      </c>
      <c r="J299" s="88">
        <f>+F299+I299</f>
        <v>34500</v>
      </c>
      <c r="K299" s="91"/>
    </row>
    <row r="300" spans="2:11" x14ac:dyDescent="0.45">
      <c r="B300" s="85">
        <f t="shared" si="20"/>
        <v>29</v>
      </c>
      <c r="C300" s="86">
        <v>46247</v>
      </c>
      <c r="D300" s="86" t="s">
        <v>703</v>
      </c>
      <c r="E300" s="11" t="s">
        <v>273</v>
      </c>
      <c r="F300" s="87">
        <v>0</v>
      </c>
      <c r="G300" s="14">
        <v>440</v>
      </c>
      <c r="H300" s="14">
        <v>0</v>
      </c>
      <c r="I300" s="14">
        <v>0</v>
      </c>
      <c r="J300" s="88">
        <f t="shared" si="19"/>
        <v>440</v>
      </c>
      <c r="K300" s="93">
        <f>599*27</f>
        <v>16173</v>
      </c>
    </row>
    <row r="301" spans="2:11" x14ac:dyDescent="0.45">
      <c r="B301" s="85">
        <f t="shared" si="20"/>
        <v>30</v>
      </c>
      <c r="C301" s="86">
        <v>46247</v>
      </c>
      <c r="D301" s="86" t="s">
        <v>704</v>
      </c>
      <c r="E301" s="11" t="s">
        <v>273</v>
      </c>
      <c r="F301" s="87">
        <v>0</v>
      </c>
      <c r="G301" s="14">
        <v>220</v>
      </c>
      <c r="H301" s="14">
        <v>0</v>
      </c>
      <c r="I301" s="14">
        <v>0</v>
      </c>
      <c r="J301" s="88">
        <f t="shared" si="19"/>
        <v>220</v>
      </c>
      <c r="K301" s="91"/>
    </row>
    <row r="302" spans="2:11" x14ac:dyDescent="0.45">
      <c r="B302" s="85">
        <f t="shared" si="20"/>
        <v>31</v>
      </c>
      <c r="C302" s="86">
        <v>46247</v>
      </c>
      <c r="D302" s="86" t="s">
        <v>705</v>
      </c>
      <c r="E302" s="11" t="s">
        <v>273</v>
      </c>
      <c r="F302" s="87">
        <v>0</v>
      </c>
      <c r="G302" s="14">
        <v>2020</v>
      </c>
      <c r="H302" s="14">
        <v>400</v>
      </c>
      <c r="I302" s="14">
        <v>0</v>
      </c>
      <c r="J302" s="88">
        <f t="shared" si="19"/>
        <v>1620</v>
      </c>
      <c r="K302" s="91"/>
    </row>
    <row r="303" spans="2:11" x14ac:dyDescent="0.45">
      <c r="B303" s="85">
        <f t="shared" si="20"/>
        <v>32</v>
      </c>
      <c r="C303" s="86">
        <v>46247</v>
      </c>
      <c r="D303" s="86" t="s">
        <v>706</v>
      </c>
      <c r="E303" s="11" t="s">
        <v>273</v>
      </c>
      <c r="F303" s="87">
        <v>0</v>
      </c>
      <c r="G303" s="14">
        <v>660</v>
      </c>
      <c r="H303" s="14">
        <v>0</v>
      </c>
      <c r="I303" s="14">
        <v>0</v>
      </c>
      <c r="J303" s="88">
        <f t="shared" si="19"/>
        <v>660</v>
      </c>
      <c r="K303" s="91"/>
    </row>
    <row r="304" spans="2:11" x14ac:dyDescent="0.45">
      <c r="B304" s="85">
        <f t="shared" si="20"/>
        <v>33</v>
      </c>
      <c r="C304" s="86">
        <v>46247</v>
      </c>
      <c r="D304" s="86" t="s">
        <v>707</v>
      </c>
      <c r="E304" s="11" t="s">
        <v>273</v>
      </c>
      <c r="F304" s="87">
        <v>0</v>
      </c>
      <c r="G304" s="14">
        <v>2020</v>
      </c>
      <c r="H304" s="14">
        <v>400</v>
      </c>
      <c r="I304" s="14">
        <v>0</v>
      </c>
      <c r="J304" s="88">
        <f t="shared" si="19"/>
        <v>1620</v>
      </c>
      <c r="K304" s="91"/>
    </row>
    <row r="305" spans="2:11" x14ac:dyDescent="0.45">
      <c r="B305" s="85">
        <f t="shared" si="20"/>
        <v>34</v>
      </c>
      <c r="C305" s="86">
        <v>46247</v>
      </c>
      <c r="D305" s="86" t="s">
        <v>708</v>
      </c>
      <c r="E305" s="11" t="s">
        <v>273</v>
      </c>
      <c r="F305" s="87">
        <v>0</v>
      </c>
      <c r="G305" s="14">
        <v>440</v>
      </c>
      <c r="H305" s="14">
        <v>0</v>
      </c>
      <c r="I305" s="14">
        <v>0</v>
      </c>
      <c r="J305" s="88">
        <f t="shared" si="19"/>
        <v>440</v>
      </c>
      <c r="K305" s="91"/>
    </row>
    <row r="306" spans="2:11" x14ac:dyDescent="0.45">
      <c r="B306" s="85">
        <f t="shared" si="20"/>
        <v>35</v>
      </c>
      <c r="C306" s="86">
        <v>46247</v>
      </c>
      <c r="D306" s="86" t="s">
        <v>709</v>
      </c>
      <c r="E306" s="11" t="s">
        <v>273</v>
      </c>
      <c r="F306" s="87">
        <v>0</v>
      </c>
      <c r="G306" s="14">
        <v>220</v>
      </c>
      <c r="H306" s="14">
        <v>0</v>
      </c>
      <c r="I306" s="14">
        <v>0</v>
      </c>
      <c r="J306" s="88">
        <f t="shared" si="19"/>
        <v>220</v>
      </c>
      <c r="K306" s="91"/>
    </row>
    <row r="307" spans="2:11" x14ac:dyDescent="0.45">
      <c r="B307" s="85">
        <f t="shared" si="20"/>
        <v>36</v>
      </c>
      <c r="C307" s="86">
        <v>46247</v>
      </c>
      <c r="D307" s="86" t="s">
        <v>710</v>
      </c>
      <c r="E307" s="11" t="s">
        <v>273</v>
      </c>
      <c r="F307" s="87">
        <v>0</v>
      </c>
      <c r="G307" s="14">
        <v>2240</v>
      </c>
      <c r="H307" s="14">
        <v>400</v>
      </c>
      <c r="I307" s="14">
        <v>0</v>
      </c>
      <c r="J307" s="88">
        <f t="shared" si="19"/>
        <v>1840</v>
      </c>
      <c r="K307" s="91"/>
    </row>
    <row r="308" spans="2:11" x14ac:dyDescent="0.45">
      <c r="B308" s="85">
        <f t="shared" si="20"/>
        <v>37</v>
      </c>
      <c r="C308" s="86">
        <v>46247</v>
      </c>
      <c r="D308" s="86" t="s">
        <v>711</v>
      </c>
      <c r="E308" s="11" t="s">
        <v>273</v>
      </c>
      <c r="F308" s="87">
        <v>0</v>
      </c>
      <c r="G308" s="14">
        <v>220</v>
      </c>
      <c r="H308" s="14">
        <v>0</v>
      </c>
      <c r="I308" s="14">
        <v>0</v>
      </c>
      <c r="J308" s="88">
        <f t="shared" si="19"/>
        <v>220</v>
      </c>
      <c r="K308" s="91"/>
    </row>
    <row r="309" spans="2:11" x14ac:dyDescent="0.45">
      <c r="B309" s="85">
        <f t="shared" si="20"/>
        <v>38</v>
      </c>
      <c r="C309" s="86">
        <v>46247</v>
      </c>
      <c r="D309" s="86" t="s">
        <v>712</v>
      </c>
      <c r="E309" s="11" t="s">
        <v>273</v>
      </c>
      <c r="F309" s="87">
        <v>0</v>
      </c>
      <c r="G309" s="14">
        <v>880</v>
      </c>
      <c r="H309" s="14">
        <v>0</v>
      </c>
      <c r="I309" s="14">
        <v>0</v>
      </c>
      <c r="J309" s="88">
        <f t="shared" si="19"/>
        <v>880</v>
      </c>
      <c r="K309" s="91"/>
    </row>
    <row r="310" spans="2:11" x14ac:dyDescent="0.45">
      <c r="B310" s="85">
        <v>1</v>
      </c>
      <c r="C310" s="86">
        <v>46248</v>
      </c>
      <c r="D310" s="86" t="s">
        <v>713</v>
      </c>
      <c r="E310" s="11" t="s">
        <v>275</v>
      </c>
      <c r="F310" s="87">
        <v>0</v>
      </c>
      <c r="G310" s="14">
        <v>3000</v>
      </c>
      <c r="H310" s="14">
        <v>700</v>
      </c>
      <c r="I310" s="14">
        <v>0</v>
      </c>
      <c r="J310" s="88">
        <f>+G310-H310</f>
        <v>2300</v>
      </c>
      <c r="K310" s="89"/>
    </row>
    <row r="311" spans="2:11" x14ac:dyDescent="0.45">
      <c r="B311" s="85">
        <f>+B310+1</f>
        <v>2</v>
      </c>
      <c r="C311" s="86">
        <v>46248</v>
      </c>
      <c r="D311" s="86" t="s">
        <v>714</v>
      </c>
      <c r="E311" s="11" t="s">
        <v>276</v>
      </c>
      <c r="F311" s="87">
        <v>0</v>
      </c>
      <c r="G311" s="14">
        <f>3500*6</f>
        <v>21000</v>
      </c>
      <c r="H311" s="14">
        <v>3000</v>
      </c>
      <c r="I311" s="14">
        <v>0</v>
      </c>
      <c r="J311" s="88">
        <f t="shared" ref="J311:J330" si="21">+G311-H311</f>
        <v>18000</v>
      </c>
      <c r="K311" s="90"/>
    </row>
    <row r="312" spans="2:11" x14ac:dyDescent="0.45">
      <c r="B312" s="85">
        <f t="shared" ref="B312:B330" si="22">+B311+1</f>
        <v>3</v>
      </c>
      <c r="C312" s="86">
        <v>46248</v>
      </c>
      <c r="D312" s="86" t="s">
        <v>715</v>
      </c>
      <c r="E312" s="11" t="s">
        <v>277</v>
      </c>
      <c r="F312" s="87">
        <v>0</v>
      </c>
      <c r="G312" s="14">
        <v>1900</v>
      </c>
      <c r="H312" s="14">
        <v>200</v>
      </c>
      <c r="I312" s="14">
        <v>0</v>
      </c>
      <c r="J312" s="88">
        <f t="shared" si="21"/>
        <v>1700</v>
      </c>
      <c r="K312" s="90"/>
    </row>
    <row r="313" spans="2:11" x14ac:dyDescent="0.45">
      <c r="B313" s="85">
        <f t="shared" si="22"/>
        <v>4</v>
      </c>
      <c r="C313" s="86">
        <v>46248</v>
      </c>
      <c r="D313" s="86" t="s">
        <v>716</v>
      </c>
      <c r="E313" s="11" t="s">
        <v>278</v>
      </c>
      <c r="F313" s="87">
        <v>0</v>
      </c>
      <c r="G313" s="14">
        <v>4900</v>
      </c>
      <c r="H313" s="14">
        <v>1400</v>
      </c>
      <c r="I313" s="14">
        <v>0</v>
      </c>
      <c r="J313" s="88">
        <f t="shared" si="21"/>
        <v>3500</v>
      </c>
      <c r="K313" s="91"/>
    </row>
    <row r="314" spans="2:11" x14ac:dyDescent="0.45">
      <c r="B314" s="85">
        <f t="shared" si="22"/>
        <v>5</v>
      </c>
      <c r="C314" s="86">
        <v>46248</v>
      </c>
      <c r="D314" s="86" t="s">
        <v>717</v>
      </c>
      <c r="E314" s="11" t="s">
        <v>279</v>
      </c>
      <c r="F314" s="87">
        <v>0</v>
      </c>
      <c r="G314" s="14">
        <v>2500</v>
      </c>
      <c r="H314" s="14">
        <v>500</v>
      </c>
      <c r="I314" s="14">
        <v>0</v>
      </c>
      <c r="J314" s="88">
        <f t="shared" si="21"/>
        <v>2000</v>
      </c>
      <c r="K314" s="89"/>
    </row>
    <row r="315" spans="2:11" x14ac:dyDescent="0.45">
      <c r="B315" s="85">
        <f t="shared" si="22"/>
        <v>6</v>
      </c>
      <c r="C315" s="86">
        <v>46248</v>
      </c>
      <c r="D315" s="86" t="s">
        <v>718</v>
      </c>
      <c r="E315" s="11" t="s">
        <v>280</v>
      </c>
      <c r="F315" s="87">
        <v>0</v>
      </c>
      <c r="G315" s="14">
        <v>1800</v>
      </c>
      <c r="H315" s="14">
        <v>540</v>
      </c>
      <c r="I315" s="14">
        <v>0</v>
      </c>
      <c r="J315" s="88">
        <f t="shared" si="21"/>
        <v>1260</v>
      </c>
      <c r="K315" s="91"/>
    </row>
    <row r="316" spans="2:11" x14ac:dyDescent="0.45">
      <c r="B316" s="85">
        <f t="shared" si="22"/>
        <v>7</v>
      </c>
      <c r="C316" s="86">
        <v>46248</v>
      </c>
      <c r="D316" s="86" t="s">
        <v>719</v>
      </c>
      <c r="E316" s="11" t="s">
        <v>281</v>
      </c>
      <c r="F316" s="87">
        <v>0</v>
      </c>
      <c r="G316" s="14">
        <v>4900</v>
      </c>
      <c r="H316" s="14">
        <v>200</v>
      </c>
      <c r="I316" s="14">
        <v>0</v>
      </c>
      <c r="J316" s="88">
        <f t="shared" si="21"/>
        <v>4700</v>
      </c>
      <c r="K316" s="91"/>
    </row>
    <row r="317" spans="2:11" x14ac:dyDescent="0.45">
      <c r="B317" s="85">
        <f t="shared" si="22"/>
        <v>8</v>
      </c>
      <c r="C317" s="86">
        <v>46248</v>
      </c>
      <c r="D317" s="86" t="s">
        <v>720</v>
      </c>
      <c r="E317" s="11" t="s">
        <v>282</v>
      </c>
      <c r="F317" s="87">
        <v>0</v>
      </c>
      <c r="G317" s="14">
        <v>1700</v>
      </c>
      <c r="H317" s="14">
        <v>200</v>
      </c>
      <c r="I317" s="14">
        <v>0</v>
      </c>
      <c r="J317" s="88">
        <f t="shared" si="21"/>
        <v>1500</v>
      </c>
      <c r="K317" s="91"/>
    </row>
    <row r="318" spans="2:11" x14ac:dyDescent="0.45">
      <c r="B318" s="85">
        <f t="shared" si="22"/>
        <v>9</v>
      </c>
      <c r="C318" s="86">
        <v>46248</v>
      </c>
      <c r="D318" s="86" t="s">
        <v>721</v>
      </c>
      <c r="E318" s="11" t="s">
        <v>283</v>
      </c>
      <c r="F318" s="87">
        <v>0</v>
      </c>
      <c r="G318" s="14">
        <v>1900</v>
      </c>
      <c r="H318" s="14">
        <v>0</v>
      </c>
      <c r="I318" s="14">
        <v>0</v>
      </c>
      <c r="J318" s="88">
        <f t="shared" si="21"/>
        <v>1900</v>
      </c>
      <c r="K318" s="91"/>
    </row>
    <row r="319" spans="2:11" x14ac:dyDescent="0.45">
      <c r="B319" s="85">
        <f t="shared" si="22"/>
        <v>10</v>
      </c>
      <c r="C319" s="86">
        <v>46248</v>
      </c>
      <c r="D319" s="86" t="s">
        <v>722</v>
      </c>
      <c r="E319" s="11" t="s">
        <v>284</v>
      </c>
      <c r="F319" s="87">
        <v>0</v>
      </c>
      <c r="G319" s="14">
        <v>100</v>
      </c>
      <c r="H319" s="14">
        <v>20</v>
      </c>
      <c r="I319" s="14">
        <v>0</v>
      </c>
      <c r="J319" s="88">
        <f t="shared" si="21"/>
        <v>80</v>
      </c>
      <c r="K319" s="91"/>
    </row>
    <row r="320" spans="2:11" x14ac:dyDescent="0.45">
      <c r="B320" s="85">
        <f t="shared" si="22"/>
        <v>11</v>
      </c>
      <c r="C320" s="86">
        <v>46248</v>
      </c>
      <c r="D320" s="86" t="s">
        <v>723</v>
      </c>
      <c r="E320" s="11" t="s">
        <v>285</v>
      </c>
      <c r="F320" s="87">
        <v>0</v>
      </c>
      <c r="G320" s="14">
        <v>1800</v>
      </c>
      <c r="H320" s="14">
        <v>540</v>
      </c>
      <c r="I320" s="14">
        <v>0</v>
      </c>
      <c r="J320" s="88">
        <f t="shared" si="21"/>
        <v>1260</v>
      </c>
      <c r="K320" s="89"/>
    </row>
    <row r="321" spans="2:11" x14ac:dyDescent="0.45">
      <c r="B321" s="85">
        <f t="shared" si="22"/>
        <v>12</v>
      </c>
      <c r="C321" s="86">
        <v>46248</v>
      </c>
      <c r="D321" s="86" t="s">
        <v>724</v>
      </c>
      <c r="E321" s="11" t="s">
        <v>286</v>
      </c>
      <c r="F321" s="87">
        <v>0</v>
      </c>
      <c r="G321" s="14">
        <v>1700</v>
      </c>
      <c r="H321" s="14">
        <v>510</v>
      </c>
      <c r="I321" s="14">
        <v>0</v>
      </c>
      <c r="J321" s="88">
        <f t="shared" si="21"/>
        <v>1190</v>
      </c>
      <c r="K321" s="91"/>
    </row>
    <row r="322" spans="2:11" x14ac:dyDescent="0.45">
      <c r="B322" s="85">
        <f t="shared" si="22"/>
        <v>13</v>
      </c>
      <c r="C322" s="86">
        <v>46248</v>
      </c>
      <c r="D322" s="86" t="s">
        <v>725</v>
      </c>
      <c r="E322" s="11" t="s">
        <v>287</v>
      </c>
      <c r="F322" s="87">
        <v>0</v>
      </c>
      <c r="G322" s="14">
        <v>220</v>
      </c>
      <c r="H322" s="14">
        <v>0</v>
      </c>
      <c r="I322" s="14">
        <v>0</v>
      </c>
      <c r="J322" s="88">
        <f t="shared" si="21"/>
        <v>220</v>
      </c>
      <c r="K322" s="91"/>
    </row>
    <row r="323" spans="2:11" x14ac:dyDescent="0.45">
      <c r="B323" s="85">
        <f t="shared" si="22"/>
        <v>14</v>
      </c>
      <c r="C323" s="86">
        <v>46248</v>
      </c>
      <c r="D323" s="86" t="s">
        <v>726</v>
      </c>
      <c r="E323" s="11" t="s">
        <v>288</v>
      </c>
      <c r="F323" s="87">
        <v>0</v>
      </c>
      <c r="G323" s="14">
        <v>1700</v>
      </c>
      <c r="H323" s="14">
        <v>200</v>
      </c>
      <c r="I323" s="14">
        <v>0</v>
      </c>
      <c r="J323" s="88">
        <f t="shared" si="21"/>
        <v>1500</v>
      </c>
      <c r="K323" s="91"/>
    </row>
    <row r="324" spans="2:11" x14ac:dyDescent="0.45">
      <c r="B324" s="85">
        <f t="shared" si="22"/>
        <v>15</v>
      </c>
      <c r="C324" s="86">
        <v>46248</v>
      </c>
      <c r="D324" s="86" t="s">
        <v>727</v>
      </c>
      <c r="E324" s="11" t="s">
        <v>212</v>
      </c>
      <c r="F324" s="87">
        <v>0</v>
      </c>
      <c r="G324" s="14">
        <v>1900</v>
      </c>
      <c r="H324" s="14">
        <v>200</v>
      </c>
      <c r="I324" s="14">
        <v>0</v>
      </c>
      <c r="J324" s="88">
        <f t="shared" si="21"/>
        <v>1700</v>
      </c>
      <c r="K324" s="91"/>
    </row>
    <row r="325" spans="2:11" x14ac:dyDescent="0.45">
      <c r="B325" s="85">
        <f t="shared" si="22"/>
        <v>16</v>
      </c>
      <c r="C325" s="86">
        <v>46248</v>
      </c>
      <c r="D325" s="86" t="s">
        <v>728</v>
      </c>
      <c r="E325" s="11" t="s">
        <v>289</v>
      </c>
      <c r="F325" s="87">
        <v>0</v>
      </c>
      <c r="G325" s="14">
        <v>1700</v>
      </c>
      <c r="H325" s="14">
        <v>0</v>
      </c>
      <c r="I325" s="14">
        <v>0</v>
      </c>
      <c r="J325" s="88">
        <f t="shared" si="21"/>
        <v>1700</v>
      </c>
      <c r="K325" s="91"/>
    </row>
    <row r="326" spans="2:11" x14ac:dyDescent="0.45">
      <c r="B326" s="85">
        <f t="shared" si="22"/>
        <v>17</v>
      </c>
      <c r="C326" s="86">
        <v>46248</v>
      </c>
      <c r="D326" s="86" t="s">
        <v>729</v>
      </c>
      <c r="E326" s="11" t="s">
        <v>18</v>
      </c>
      <c r="F326" s="87">
        <v>0</v>
      </c>
      <c r="G326" s="14">
        <v>880</v>
      </c>
      <c r="H326" s="14">
        <v>0</v>
      </c>
      <c r="I326" s="14">
        <v>0</v>
      </c>
      <c r="J326" s="88">
        <f t="shared" si="21"/>
        <v>880</v>
      </c>
      <c r="K326" s="91"/>
    </row>
    <row r="327" spans="2:11" x14ac:dyDescent="0.45">
      <c r="B327" s="85">
        <f t="shared" si="22"/>
        <v>18</v>
      </c>
      <c r="C327" s="86">
        <v>46248</v>
      </c>
      <c r="D327" s="86" t="s">
        <v>730</v>
      </c>
      <c r="E327" s="11" t="s">
        <v>290</v>
      </c>
      <c r="F327" s="87">
        <v>0</v>
      </c>
      <c r="G327" s="14">
        <v>220</v>
      </c>
      <c r="H327" s="14">
        <v>0</v>
      </c>
      <c r="I327" s="14">
        <v>0</v>
      </c>
      <c r="J327" s="88">
        <f t="shared" si="21"/>
        <v>220</v>
      </c>
      <c r="K327" s="91"/>
    </row>
    <row r="328" spans="2:11" x14ac:dyDescent="0.45">
      <c r="B328" s="85">
        <f t="shared" si="22"/>
        <v>19</v>
      </c>
      <c r="C328" s="86">
        <v>46248</v>
      </c>
      <c r="D328" s="86" t="s">
        <v>731</v>
      </c>
      <c r="E328" s="11" t="s">
        <v>110</v>
      </c>
      <c r="F328" s="87">
        <v>0</v>
      </c>
      <c r="G328" s="14">
        <v>880</v>
      </c>
      <c r="H328" s="14">
        <v>0</v>
      </c>
      <c r="I328" s="14">
        <v>0</v>
      </c>
      <c r="J328" s="88">
        <f t="shared" si="21"/>
        <v>880</v>
      </c>
      <c r="K328" s="91"/>
    </row>
    <row r="329" spans="2:11" x14ac:dyDescent="0.45">
      <c r="B329" s="85">
        <f t="shared" si="22"/>
        <v>20</v>
      </c>
      <c r="C329" s="86">
        <v>46248</v>
      </c>
      <c r="D329" s="86" t="s">
        <v>732</v>
      </c>
      <c r="E329" s="11" t="s">
        <v>179</v>
      </c>
      <c r="F329" s="87">
        <v>0</v>
      </c>
      <c r="G329" s="14">
        <v>1580</v>
      </c>
      <c r="H329" s="14">
        <v>0</v>
      </c>
      <c r="I329" s="14">
        <v>0</v>
      </c>
      <c r="J329" s="88">
        <f t="shared" si="21"/>
        <v>1580</v>
      </c>
      <c r="K329" s="91"/>
    </row>
    <row r="330" spans="2:11" x14ac:dyDescent="0.45">
      <c r="B330" s="85">
        <f t="shared" si="22"/>
        <v>21</v>
      </c>
      <c r="C330" s="86">
        <v>46248</v>
      </c>
      <c r="D330" s="86" t="s">
        <v>733</v>
      </c>
      <c r="E330" s="96" t="s">
        <v>201</v>
      </c>
      <c r="F330" s="87">
        <v>0</v>
      </c>
      <c r="G330" s="14">
        <v>4900</v>
      </c>
      <c r="H330" s="14">
        <v>3200</v>
      </c>
      <c r="I330" s="14">
        <v>0</v>
      </c>
      <c r="J330" s="88">
        <f t="shared" si="21"/>
        <v>1700</v>
      </c>
      <c r="K330" s="91"/>
    </row>
    <row r="331" spans="2:11" x14ac:dyDescent="0.45">
      <c r="B331" s="85">
        <v>1</v>
      </c>
      <c r="C331" s="86">
        <v>46249</v>
      </c>
      <c r="D331" s="86" t="s">
        <v>734</v>
      </c>
      <c r="E331" s="11" t="s">
        <v>75</v>
      </c>
      <c r="F331" s="87">
        <v>0</v>
      </c>
      <c r="G331" s="14">
        <v>18540</v>
      </c>
      <c r="H331" s="14">
        <v>5660</v>
      </c>
      <c r="I331" s="14">
        <v>0</v>
      </c>
      <c r="J331" s="88">
        <f>+G331-H331</f>
        <v>12880</v>
      </c>
      <c r="K331" s="89"/>
    </row>
    <row r="332" spans="2:11" x14ac:dyDescent="0.45">
      <c r="B332" s="85">
        <f>+B331+1</f>
        <v>2</v>
      </c>
      <c r="C332" s="86">
        <v>46249</v>
      </c>
      <c r="D332" s="86" t="s">
        <v>735</v>
      </c>
      <c r="E332" s="11" t="s">
        <v>292</v>
      </c>
      <c r="F332" s="87">
        <v>0</v>
      </c>
      <c r="G332" s="14">
        <v>1700</v>
      </c>
      <c r="H332" s="14">
        <v>0</v>
      </c>
      <c r="I332" s="14">
        <v>0</v>
      </c>
      <c r="J332" s="88">
        <f t="shared" ref="J332:J338" si="23">+G332-H332</f>
        <v>1700</v>
      </c>
      <c r="K332" s="90"/>
    </row>
    <row r="333" spans="2:11" x14ac:dyDescent="0.45">
      <c r="B333" s="85">
        <f t="shared" ref="B333:B338" si="24">+B332+1</f>
        <v>3</v>
      </c>
      <c r="C333" s="86">
        <v>46249</v>
      </c>
      <c r="D333" s="86" t="s">
        <v>736</v>
      </c>
      <c r="E333" s="11" t="s">
        <v>293</v>
      </c>
      <c r="F333" s="87">
        <v>0</v>
      </c>
      <c r="G333" s="14">
        <v>1800</v>
      </c>
      <c r="H333" s="14">
        <v>200</v>
      </c>
      <c r="I333" s="14">
        <v>0</v>
      </c>
      <c r="J333" s="88">
        <f t="shared" si="23"/>
        <v>1600</v>
      </c>
      <c r="K333" s="90"/>
    </row>
    <row r="334" spans="2:11" x14ac:dyDescent="0.45">
      <c r="B334" s="85">
        <f t="shared" si="24"/>
        <v>4</v>
      </c>
      <c r="C334" s="86">
        <v>46249</v>
      </c>
      <c r="D334" s="86" t="s">
        <v>737</v>
      </c>
      <c r="E334" s="11" t="s">
        <v>294</v>
      </c>
      <c r="F334" s="87">
        <v>0</v>
      </c>
      <c r="G334" s="14">
        <v>5900</v>
      </c>
      <c r="H334" s="14">
        <v>400</v>
      </c>
      <c r="I334" s="14">
        <v>0</v>
      </c>
      <c r="J334" s="88">
        <f t="shared" si="23"/>
        <v>5500</v>
      </c>
      <c r="K334" s="91"/>
    </row>
    <row r="335" spans="2:11" x14ac:dyDescent="0.45">
      <c r="B335" s="85">
        <f t="shared" si="24"/>
        <v>5</v>
      </c>
      <c r="C335" s="86">
        <v>46249</v>
      </c>
      <c r="D335" s="86" t="s">
        <v>738</v>
      </c>
      <c r="E335" s="11" t="s">
        <v>75</v>
      </c>
      <c r="F335" s="87">
        <v>0</v>
      </c>
      <c r="G335" s="14">
        <v>12220</v>
      </c>
      <c r="H335" s="14">
        <v>3645</v>
      </c>
      <c r="I335" s="14">
        <v>0</v>
      </c>
      <c r="J335" s="88">
        <f t="shared" si="23"/>
        <v>8575</v>
      </c>
      <c r="K335" s="89"/>
    </row>
    <row r="336" spans="2:11" x14ac:dyDescent="0.45">
      <c r="B336" s="85">
        <f t="shared" si="24"/>
        <v>6</v>
      </c>
      <c r="C336" s="86">
        <v>46249</v>
      </c>
      <c r="D336" s="86" t="s">
        <v>739</v>
      </c>
      <c r="E336" s="11" t="s">
        <v>295</v>
      </c>
      <c r="F336" s="87">
        <v>0</v>
      </c>
      <c r="G336" s="14">
        <v>2000</v>
      </c>
      <c r="H336" s="14">
        <v>200</v>
      </c>
      <c r="I336" s="14">
        <v>0</v>
      </c>
      <c r="J336" s="88">
        <f t="shared" si="23"/>
        <v>1800</v>
      </c>
      <c r="K336" s="91"/>
    </row>
    <row r="337" spans="2:11" x14ac:dyDescent="0.45">
      <c r="B337" s="85">
        <f t="shared" si="24"/>
        <v>7</v>
      </c>
      <c r="C337" s="86">
        <v>46249</v>
      </c>
      <c r="D337" s="86" t="s">
        <v>740</v>
      </c>
      <c r="E337" s="11" t="s">
        <v>296</v>
      </c>
      <c r="F337" s="87">
        <v>0</v>
      </c>
      <c r="G337" s="14">
        <v>2800</v>
      </c>
      <c r="H337" s="14">
        <v>0</v>
      </c>
      <c r="I337" s="14">
        <v>0</v>
      </c>
      <c r="J337" s="88">
        <f t="shared" si="23"/>
        <v>2800</v>
      </c>
      <c r="K337" s="91"/>
    </row>
    <row r="338" spans="2:11" x14ac:dyDescent="0.45">
      <c r="B338" s="85">
        <f t="shared" si="24"/>
        <v>8</v>
      </c>
      <c r="C338" s="86">
        <v>46249</v>
      </c>
      <c r="D338" s="86" t="s">
        <v>741</v>
      </c>
      <c r="E338" s="11" t="s">
        <v>297</v>
      </c>
      <c r="F338" s="87">
        <v>0</v>
      </c>
      <c r="G338" s="14">
        <v>6500</v>
      </c>
      <c r="H338" s="14">
        <v>0</v>
      </c>
      <c r="I338" s="14">
        <v>0</v>
      </c>
      <c r="J338" s="88">
        <f t="shared" si="23"/>
        <v>6500</v>
      </c>
      <c r="K338" s="91"/>
    </row>
    <row r="339" spans="2:11" x14ac:dyDescent="0.45">
      <c r="B339" s="85">
        <v>1</v>
      </c>
      <c r="C339" s="86">
        <v>46251</v>
      </c>
      <c r="D339" s="86" t="s">
        <v>742</v>
      </c>
      <c r="E339" s="11" t="s">
        <v>299</v>
      </c>
      <c r="F339" s="87">
        <v>0</v>
      </c>
      <c r="G339" s="14">
        <v>2300</v>
      </c>
      <c r="H339" s="14">
        <v>300</v>
      </c>
      <c r="I339" s="14">
        <v>0</v>
      </c>
      <c r="J339" s="88">
        <f>+G339-H339</f>
        <v>2000</v>
      </c>
      <c r="K339" s="89"/>
    </row>
    <row r="340" spans="2:11" x14ac:dyDescent="0.45">
      <c r="B340" s="85">
        <f>+B339+1</f>
        <v>2</v>
      </c>
      <c r="C340" s="86">
        <v>46251</v>
      </c>
      <c r="D340" s="86" t="s">
        <v>743</v>
      </c>
      <c r="E340" s="11" t="s">
        <v>300</v>
      </c>
      <c r="F340" s="87">
        <v>0</v>
      </c>
      <c r="G340" s="14">
        <v>4900</v>
      </c>
      <c r="H340" s="14">
        <v>0</v>
      </c>
      <c r="I340" s="14">
        <v>0</v>
      </c>
      <c r="J340" s="88">
        <f t="shared" ref="J340:J363" si="25">+G340-H340</f>
        <v>4900</v>
      </c>
      <c r="K340" s="90"/>
    </row>
    <row r="341" spans="2:11" x14ac:dyDescent="0.45">
      <c r="B341" s="85">
        <f t="shared" ref="B341:B363" si="26">+B340+1</f>
        <v>3</v>
      </c>
      <c r="C341" s="86">
        <v>46251</v>
      </c>
      <c r="D341" s="86" t="s">
        <v>744</v>
      </c>
      <c r="E341" s="11" t="s">
        <v>301</v>
      </c>
      <c r="F341" s="87">
        <v>0</v>
      </c>
      <c r="G341" s="14">
        <v>1700</v>
      </c>
      <c r="H341" s="14">
        <v>0</v>
      </c>
      <c r="I341" s="14">
        <v>0</v>
      </c>
      <c r="J341" s="88">
        <f t="shared" si="25"/>
        <v>1700</v>
      </c>
      <c r="K341" s="90"/>
    </row>
    <row r="342" spans="2:11" x14ac:dyDescent="0.45">
      <c r="B342" s="85">
        <f t="shared" si="26"/>
        <v>4</v>
      </c>
      <c r="C342" s="86">
        <v>46251</v>
      </c>
      <c r="D342" s="86" t="s">
        <v>745</v>
      </c>
      <c r="E342" s="11" t="s">
        <v>302</v>
      </c>
      <c r="F342" s="87">
        <v>0</v>
      </c>
      <c r="G342" s="14">
        <v>3200</v>
      </c>
      <c r="H342" s="14">
        <v>300</v>
      </c>
      <c r="I342" s="14">
        <v>0</v>
      </c>
      <c r="J342" s="88">
        <f t="shared" si="25"/>
        <v>2900</v>
      </c>
      <c r="K342" s="91"/>
    </row>
    <row r="343" spans="2:11" x14ac:dyDescent="0.45">
      <c r="B343" s="85">
        <f t="shared" si="26"/>
        <v>5</v>
      </c>
      <c r="C343" s="86">
        <v>46251</v>
      </c>
      <c r="D343" s="86" t="s">
        <v>746</v>
      </c>
      <c r="E343" s="11" t="s">
        <v>204</v>
      </c>
      <c r="F343" s="87">
        <v>0</v>
      </c>
      <c r="G343" s="14">
        <v>100</v>
      </c>
      <c r="H343" s="14">
        <v>0</v>
      </c>
      <c r="I343" s="14">
        <v>0</v>
      </c>
      <c r="J343" s="88">
        <f t="shared" si="25"/>
        <v>100</v>
      </c>
      <c r="K343" s="89"/>
    </row>
    <row r="344" spans="2:11" x14ac:dyDescent="0.45">
      <c r="B344" s="85">
        <f t="shared" si="26"/>
        <v>6</v>
      </c>
      <c r="C344" s="86">
        <v>46251</v>
      </c>
      <c r="D344" s="86" t="s">
        <v>747</v>
      </c>
      <c r="E344" s="11" t="s">
        <v>137</v>
      </c>
      <c r="F344" s="87">
        <v>0</v>
      </c>
      <c r="G344" s="14">
        <v>220</v>
      </c>
      <c r="H344" s="14">
        <v>0</v>
      </c>
      <c r="I344" s="14">
        <v>0</v>
      </c>
      <c r="J344" s="88">
        <f t="shared" si="25"/>
        <v>220</v>
      </c>
      <c r="K344" s="91"/>
    </row>
    <row r="345" spans="2:11" x14ac:dyDescent="0.45">
      <c r="B345" s="85">
        <f t="shared" si="26"/>
        <v>7</v>
      </c>
      <c r="C345" s="86">
        <v>46251</v>
      </c>
      <c r="D345" s="86" t="s">
        <v>748</v>
      </c>
      <c r="E345" s="11" t="s">
        <v>166</v>
      </c>
      <c r="F345" s="87">
        <v>0</v>
      </c>
      <c r="G345" s="14">
        <v>1900</v>
      </c>
      <c r="H345" s="14">
        <v>570</v>
      </c>
      <c r="I345" s="14">
        <v>0</v>
      </c>
      <c r="J345" s="88">
        <f t="shared" si="25"/>
        <v>1330</v>
      </c>
      <c r="K345" s="91"/>
    </row>
    <row r="346" spans="2:11" x14ac:dyDescent="0.45">
      <c r="B346" s="85">
        <f t="shared" si="26"/>
        <v>8</v>
      </c>
      <c r="C346" s="86">
        <v>46251</v>
      </c>
      <c r="D346" s="86" t="s">
        <v>749</v>
      </c>
      <c r="E346" s="11" t="s">
        <v>303</v>
      </c>
      <c r="F346" s="87">
        <v>0</v>
      </c>
      <c r="G346" s="14">
        <v>1700</v>
      </c>
      <c r="H346" s="14">
        <v>510</v>
      </c>
      <c r="I346" s="14">
        <v>0</v>
      </c>
      <c r="J346" s="88">
        <f t="shared" si="25"/>
        <v>1190</v>
      </c>
      <c r="K346" s="91"/>
    </row>
    <row r="347" spans="2:11" x14ac:dyDescent="0.45">
      <c r="B347" s="85">
        <f t="shared" si="26"/>
        <v>9</v>
      </c>
      <c r="C347" s="86">
        <v>46251</v>
      </c>
      <c r="D347" s="86" t="s">
        <v>750</v>
      </c>
      <c r="E347" s="11" t="s">
        <v>304</v>
      </c>
      <c r="F347" s="87">
        <v>0</v>
      </c>
      <c r="G347" s="14">
        <v>1900</v>
      </c>
      <c r="H347" s="14">
        <v>570</v>
      </c>
      <c r="I347" s="14">
        <v>0</v>
      </c>
      <c r="J347" s="88">
        <f t="shared" si="25"/>
        <v>1330</v>
      </c>
      <c r="K347" s="91"/>
    </row>
    <row r="348" spans="2:11" x14ac:dyDescent="0.45">
      <c r="B348" s="85">
        <f t="shared" si="26"/>
        <v>10</v>
      </c>
      <c r="C348" s="86">
        <v>46251</v>
      </c>
      <c r="D348" s="86" t="s">
        <v>751</v>
      </c>
      <c r="E348" s="11" t="s">
        <v>130</v>
      </c>
      <c r="F348" s="87">
        <v>0</v>
      </c>
      <c r="G348" s="14">
        <v>1900</v>
      </c>
      <c r="H348" s="14">
        <v>200</v>
      </c>
      <c r="I348" s="14">
        <v>0</v>
      </c>
      <c r="J348" s="88">
        <f t="shared" si="25"/>
        <v>1700</v>
      </c>
      <c r="K348" s="91"/>
    </row>
    <row r="349" spans="2:11" x14ac:dyDescent="0.45">
      <c r="B349" s="85">
        <f t="shared" si="26"/>
        <v>11</v>
      </c>
      <c r="C349" s="86">
        <v>46251</v>
      </c>
      <c r="D349" s="86" t="s">
        <v>752</v>
      </c>
      <c r="E349" s="11" t="s">
        <v>130</v>
      </c>
      <c r="F349" s="87">
        <v>0</v>
      </c>
      <c r="G349" s="14">
        <v>1900</v>
      </c>
      <c r="H349" s="14">
        <v>570</v>
      </c>
      <c r="I349" s="14">
        <v>0</v>
      </c>
      <c r="J349" s="88">
        <f t="shared" si="25"/>
        <v>1330</v>
      </c>
      <c r="K349" s="89"/>
    </row>
    <row r="350" spans="2:11" x14ac:dyDescent="0.45">
      <c r="B350" s="85">
        <f t="shared" si="26"/>
        <v>12</v>
      </c>
      <c r="C350" s="86">
        <v>46251</v>
      </c>
      <c r="D350" s="86" t="s">
        <v>753</v>
      </c>
      <c r="E350" s="11" t="s">
        <v>305</v>
      </c>
      <c r="F350" s="87">
        <v>0</v>
      </c>
      <c r="G350" s="14">
        <v>220</v>
      </c>
      <c r="H350" s="14">
        <v>0</v>
      </c>
      <c r="I350" s="14">
        <v>0</v>
      </c>
      <c r="J350" s="88">
        <f t="shared" si="25"/>
        <v>220</v>
      </c>
      <c r="K350" s="91"/>
    </row>
    <row r="351" spans="2:11" x14ac:dyDescent="0.45">
      <c r="B351" s="85">
        <f t="shared" si="26"/>
        <v>13</v>
      </c>
      <c r="C351" s="86">
        <v>46251</v>
      </c>
      <c r="D351" s="86" t="s">
        <v>754</v>
      </c>
      <c r="E351" s="11" t="s">
        <v>130</v>
      </c>
      <c r="F351" s="87">
        <v>0</v>
      </c>
      <c r="G351" s="14">
        <v>1900</v>
      </c>
      <c r="H351" s="14">
        <v>200</v>
      </c>
      <c r="I351" s="14">
        <v>0</v>
      </c>
      <c r="J351" s="88">
        <f t="shared" si="25"/>
        <v>1700</v>
      </c>
      <c r="K351" s="91"/>
    </row>
    <row r="352" spans="2:11" x14ac:dyDescent="0.45">
      <c r="B352" s="85">
        <f t="shared" si="26"/>
        <v>14</v>
      </c>
      <c r="C352" s="86">
        <v>46251</v>
      </c>
      <c r="D352" s="86" t="s">
        <v>755</v>
      </c>
      <c r="E352" s="11" t="s">
        <v>305</v>
      </c>
      <c r="F352" s="87">
        <v>0</v>
      </c>
      <c r="G352" s="14">
        <v>220</v>
      </c>
      <c r="H352" s="14">
        <v>0</v>
      </c>
      <c r="I352" s="14">
        <v>0</v>
      </c>
      <c r="J352" s="88">
        <f t="shared" si="25"/>
        <v>220</v>
      </c>
      <c r="K352" s="91"/>
    </row>
    <row r="353" spans="2:11" x14ac:dyDescent="0.45">
      <c r="B353" s="85">
        <f t="shared" si="26"/>
        <v>15</v>
      </c>
      <c r="C353" s="86">
        <v>46251</v>
      </c>
      <c r="D353" s="86" t="s">
        <v>756</v>
      </c>
      <c r="E353" s="11" t="s">
        <v>130</v>
      </c>
      <c r="F353" s="87">
        <v>0</v>
      </c>
      <c r="G353" s="14">
        <v>1900</v>
      </c>
      <c r="H353" s="14">
        <v>570</v>
      </c>
      <c r="I353" s="14">
        <v>0</v>
      </c>
      <c r="J353" s="88">
        <f t="shared" si="25"/>
        <v>1330</v>
      </c>
      <c r="K353" s="91"/>
    </row>
    <row r="354" spans="2:11" x14ac:dyDescent="0.45">
      <c r="B354" s="85">
        <f t="shared" si="26"/>
        <v>16</v>
      </c>
      <c r="C354" s="86">
        <v>46251</v>
      </c>
      <c r="D354" s="86" t="s">
        <v>757</v>
      </c>
      <c r="E354" s="11" t="s">
        <v>109</v>
      </c>
      <c r="F354" s="87">
        <v>0</v>
      </c>
      <c r="G354" s="14">
        <v>440</v>
      </c>
      <c r="H354" s="14">
        <v>0</v>
      </c>
      <c r="I354" s="14">
        <v>0</v>
      </c>
      <c r="J354" s="88">
        <f t="shared" si="25"/>
        <v>440</v>
      </c>
      <c r="K354" s="91"/>
    </row>
    <row r="355" spans="2:11" x14ac:dyDescent="0.45">
      <c r="B355" s="85">
        <f t="shared" si="26"/>
        <v>17</v>
      </c>
      <c r="C355" s="86">
        <v>46251</v>
      </c>
      <c r="D355" s="86" t="s">
        <v>758</v>
      </c>
      <c r="E355" s="11" t="s">
        <v>48</v>
      </c>
      <c r="F355" s="87">
        <v>0</v>
      </c>
      <c r="G355" s="14">
        <v>440</v>
      </c>
      <c r="H355" s="14">
        <v>0</v>
      </c>
      <c r="I355" s="14">
        <v>0</v>
      </c>
      <c r="J355" s="88">
        <f t="shared" si="25"/>
        <v>440</v>
      </c>
      <c r="K355" s="91"/>
    </row>
    <row r="356" spans="2:11" x14ac:dyDescent="0.45">
      <c r="B356" s="85">
        <f t="shared" si="26"/>
        <v>18</v>
      </c>
      <c r="C356" s="86">
        <v>46251</v>
      </c>
      <c r="D356" s="86" t="s">
        <v>759</v>
      </c>
      <c r="E356" s="11" t="s">
        <v>130</v>
      </c>
      <c r="F356" s="87">
        <v>0</v>
      </c>
      <c r="G356" s="14">
        <v>1900</v>
      </c>
      <c r="H356" s="14">
        <v>570</v>
      </c>
      <c r="I356" s="14">
        <v>0</v>
      </c>
      <c r="J356" s="88">
        <f t="shared" si="25"/>
        <v>1330</v>
      </c>
      <c r="K356" s="91"/>
    </row>
    <row r="357" spans="2:11" x14ac:dyDescent="0.45">
      <c r="B357" s="85">
        <f t="shared" si="26"/>
        <v>19</v>
      </c>
      <c r="C357" s="86">
        <v>46251</v>
      </c>
      <c r="D357" s="86" t="s">
        <v>760</v>
      </c>
      <c r="E357" s="11" t="s">
        <v>306</v>
      </c>
      <c r="F357" s="87">
        <v>0</v>
      </c>
      <c r="G357" s="14">
        <v>1600</v>
      </c>
      <c r="H357" s="14">
        <v>0</v>
      </c>
      <c r="I357" s="14">
        <v>0</v>
      </c>
      <c r="J357" s="88">
        <f t="shared" si="25"/>
        <v>1600</v>
      </c>
      <c r="K357" s="91"/>
    </row>
    <row r="358" spans="2:11" x14ac:dyDescent="0.45">
      <c r="B358" s="85">
        <f t="shared" si="26"/>
        <v>20</v>
      </c>
      <c r="C358" s="86">
        <v>46251</v>
      </c>
      <c r="D358" s="86" t="s">
        <v>761</v>
      </c>
      <c r="E358" s="11" t="s">
        <v>307</v>
      </c>
      <c r="F358" s="87">
        <v>0</v>
      </c>
      <c r="G358" s="14">
        <f>1800+1540</f>
        <v>3340</v>
      </c>
      <c r="H358" s="14">
        <v>540</v>
      </c>
      <c r="I358" s="14">
        <v>0</v>
      </c>
      <c r="J358" s="88">
        <f t="shared" si="25"/>
        <v>2800</v>
      </c>
      <c r="K358" s="91"/>
    </row>
    <row r="359" spans="2:11" x14ac:dyDescent="0.45">
      <c r="B359" s="85">
        <f t="shared" si="26"/>
        <v>21</v>
      </c>
      <c r="C359" s="86">
        <v>46251</v>
      </c>
      <c r="D359" s="86" t="s">
        <v>762</v>
      </c>
      <c r="E359" s="11" t="s">
        <v>308</v>
      </c>
      <c r="F359" s="87">
        <v>0</v>
      </c>
      <c r="G359" s="14">
        <v>1900</v>
      </c>
      <c r="H359" s="14">
        <v>570</v>
      </c>
      <c r="I359" s="14">
        <v>0</v>
      </c>
      <c r="J359" s="88">
        <f t="shared" si="25"/>
        <v>1330</v>
      </c>
      <c r="K359" s="91"/>
    </row>
    <row r="360" spans="2:11" x14ac:dyDescent="0.45">
      <c r="B360" s="85">
        <f t="shared" si="26"/>
        <v>22</v>
      </c>
      <c r="C360" s="86">
        <v>46251</v>
      </c>
      <c r="D360" s="86" t="s">
        <v>763</v>
      </c>
      <c r="E360" s="11" t="s">
        <v>309</v>
      </c>
      <c r="F360" s="87">
        <v>0</v>
      </c>
      <c r="G360" s="14">
        <f>14000+10000</f>
        <v>24000</v>
      </c>
      <c r="H360" s="14">
        <f>1050*4</f>
        <v>4200</v>
      </c>
      <c r="I360" s="14">
        <v>0</v>
      </c>
      <c r="J360" s="88">
        <f t="shared" si="25"/>
        <v>19800</v>
      </c>
      <c r="K360" s="91"/>
    </row>
    <row r="361" spans="2:11" x14ac:dyDescent="0.45">
      <c r="B361" s="85">
        <f t="shared" si="26"/>
        <v>23</v>
      </c>
      <c r="C361" s="86">
        <v>46251</v>
      </c>
      <c r="D361" s="86" t="s">
        <v>764</v>
      </c>
      <c r="E361" s="11" t="s">
        <v>310</v>
      </c>
      <c r="F361" s="87">
        <v>0</v>
      </c>
      <c r="G361" s="14">
        <v>1080</v>
      </c>
      <c r="H361" s="14">
        <v>0</v>
      </c>
      <c r="I361" s="14">
        <v>0</v>
      </c>
      <c r="J361" s="88">
        <f t="shared" si="25"/>
        <v>1080</v>
      </c>
      <c r="K361" s="91"/>
    </row>
    <row r="362" spans="2:11" x14ac:dyDescent="0.45">
      <c r="B362" s="85">
        <f t="shared" si="26"/>
        <v>24</v>
      </c>
      <c r="C362" s="86">
        <v>46251</v>
      </c>
      <c r="D362" s="86" t="s">
        <v>765</v>
      </c>
      <c r="E362" s="11" t="s">
        <v>311</v>
      </c>
      <c r="F362" s="87">
        <v>0</v>
      </c>
      <c r="G362" s="14">
        <v>2800</v>
      </c>
      <c r="H362" s="14">
        <v>0</v>
      </c>
      <c r="I362" s="14">
        <v>0</v>
      </c>
      <c r="J362" s="88">
        <f t="shared" si="25"/>
        <v>2800</v>
      </c>
      <c r="K362" s="91"/>
    </row>
    <row r="363" spans="2:11" x14ac:dyDescent="0.45">
      <c r="B363" s="85">
        <f t="shared" si="26"/>
        <v>25</v>
      </c>
      <c r="C363" s="86">
        <v>46251</v>
      </c>
      <c r="D363" s="86" t="s">
        <v>766</v>
      </c>
      <c r="E363" s="11" t="s">
        <v>312</v>
      </c>
      <c r="F363" s="87">
        <v>0</v>
      </c>
      <c r="G363" s="14">
        <v>4900</v>
      </c>
      <c r="H363" s="14">
        <v>1470</v>
      </c>
      <c r="I363" s="14">
        <v>0</v>
      </c>
      <c r="J363" s="88">
        <f t="shared" si="25"/>
        <v>3430</v>
      </c>
      <c r="K363" s="91"/>
    </row>
    <row r="364" spans="2:11" x14ac:dyDescent="0.45">
      <c r="B364" s="85">
        <v>1</v>
      </c>
      <c r="C364" s="86">
        <v>46252</v>
      </c>
      <c r="D364" s="86" t="s">
        <v>767</v>
      </c>
      <c r="E364" s="11" t="s">
        <v>314</v>
      </c>
      <c r="F364" s="87">
        <v>0</v>
      </c>
      <c r="G364" s="14">
        <v>1800</v>
      </c>
      <c r="H364" s="14">
        <v>540</v>
      </c>
      <c r="I364" s="14">
        <v>0</v>
      </c>
      <c r="J364" s="88">
        <f>+G364-H364</f>
        <v>1260</v>
      </c>
      <c r="K364" s="89"/>
    </row>
    <row r="365" spans="2:11" x14ac:dyDescent="0.45">
      <c r="B365" s="85">
        <f>+B364+1</f>
        <v>2</v>
      </c>
      <c r="C365" s="86">
        <v>46252</v>
      </c>
      <c r="D365" s="86" t="s">
        <v>768</v>
      </c>
      <c r="E365" s="11" t="s">
        <v>314</v>
      </c>
      <c r="F365" s="87">
        <v>0</v>
      </c>
      <c r="G365" s="14">
        <v>220</v>
      </c>
      <c r="H365" s="14">
        <v>0</v>
      </c>
      <c r="I365" s="14">
        <v>0</v>
      </c>
      <c r="J365" s="88">
        <f t="shared" ref="J365:J388" si="27">+G365-H365</f>
        <v>220</v>
      </c>
      <c r="K365" s="90"/>
    </row>
    <row r="366" spans="2:11" x14ac:dyDescent="0.45">
      <c r="B366" s="85">
        <f t="shared" ref="B366:B388" si="28">+B365+1</f>
        <v>3</v>
      </c>
      <c r="C366" s="86">
        <v>46252</v>
      </c>
      <c r="D366" s="86" t="s">
        <v>769</v>
      </c>
      <c r="E366" s="11" t="s">
        <v>315</v>
      </c>
      <c r="F366" s="87">
        <v>0</v>
      </c>
      <c r="G366" s="14">
        <v>4900</v>
      </c>
      <c r="H366" s="14">
        <v>1470</v>
      </c>
      <c r="I366" s="14">
        <v>0</v>
      </c>
      <c r="J366" s="88">
        <f t="shared" si="27"/>
        <v>3430</v>
      </c>
      <c r="K366" s="90"/>
    </row>
    <row r="367" spans="2:11" x14ac:dyDescent="0.45">
      <c r="B367" s="85">
        <f t="shared" si="28"/>
        <v>4</v>
      </c>
      <c r="C367" s="86">
        <v>46252</v>
      </c>
      <c r="D367" s="86" t="s">
        <v>770</v>
      </c>
      <c r="E367" s="11" t="s">
        <v>316</v>
      </c>
      <c r="F367" s="87">
        <v>0</v>
      </c>
      <c r="G367" s="14">
        <v>1900</v>
      </c>
      <c r="H367" s="14">
        <v>0</v>
      </c>
      <c r="I367" s="14">
        <v>0</v>
      </c>
      <c r="J367" s="88">
        <f t="shared" si="27"/>
        <v>1900</v>
      </c>
      <c r="K367" s="91"/>
    </row>
    <row r="368" spans="2:11" x14ac:dyDescent="0.45">
      <c r="B368" s="85">
        <f t="shared" si="28"/>
        <v>5</v>
      </c>
      <c r="C368" s="86">
        <v>46252</v>
      </c>
      <c r="D368" s="86" t="s">
        <v>771</v>
      </c>
      <c r="E368" s="11" t="s">
        <v>317</v>
      </c>
      <c r="F368" s="87">
        <v>0</v>
      </c>
      <c r="G368" s="14">
        <f>2500+1330</f>
        <v>3830</v>
      </c>
      <c r="H368" s="14">
        <v>750</v>
      </c>
      <c r="I368" s="14">
        <v>0</v>
      </c>
      <c r="J368" s="88">
        <f t="shared" si="27"/>
        <v>3080</v>
      </c>
      <c r="K368" s="89"/>
    </row>
    <row r="369" spans="2:11" x14ac:dyDescent="0.45">
      <c r="B369" s="85">
        <f t="shared" si="28"/>
        <v>6</v>
      </c>
      <c r="C369" s="86">
        <v>46252</v>
      </c>
      <c r="D369" s="86" t="s">
        <v>772</v>
      </c>
      <c r="E369" s="11" t="s">
        <v>318</v>
      </c>
      <c r="F369" s="87">
        <v>0</v>
      </c>
      <c r="G369" s="14">
        <v>2200</v>
      </c>
      <c r="H369" s="14">
        <v>660</v>
      </c>
      <c r="I369" s="14">
        <v>0</v>
      </c>
      <c r="J369" s="88">
        <f t="shared" si="27"/>
        <v>1540</v>
      </c>
      <c r="K369" s="91"/>
    </row>
    <row r="370" spans="2:11" x14ac:dyDescent="0.45">
      <c r="B370" s="85">
        <f t="shared" si="28"/>
        <v>7</v>
      </c>
      <c r="C370" s="86">
        <v>46252</v>
      </c>
      <c r="D370" s="86" t="s">
        <v>773</v>
      </c>
      <c r="E370" s="11" t="s">
        <v>319</v>
      </c>
      <c r="F370" s="87">
        <v>0</v>
      </c>
      <c r="G370" s="14">
        <v>1900</v>
      </c>
      <c r="H370" s="14">
        <v>0</v>
      </c>
      <c r="I370" s="14">
        <v>0</v>
      </c>
      <c r="J370" s="88">
        <f t="shared" si="27"/>
        <v>1900</v>
      </c>
      <c r="K370" s="91"/>
    </row>
    <row r="371" spans="2:11" x14ac:dyDescent="0.45">
      <c r="B371" s="85">
        <f t="shared" si="28"/>
        <v>8</v>
      </c>
      <c r="C371" s="86">
        <v>46252</v>
      </c>
      <c r="D371" s="86" t="s">
        <v>774</v>
      </c>
      <c r="E371" s="11" t="s">
        <v>320</v>
      </c>
      <c r="F371" s="87">
        <v>0</v>
      </c>
      <c r="G371" s="14">
        <v>2500</v>
      </c>
      <c r="H371" s="14">
        <v>0</v>
      </c>
      <c r="I371" s="14">
        <v>0</v>
      </c>
      <c r="J371" s="88">
        <f t="shared" si="27"/>
        <v>2500</v>
      </c>
      <c r="K371" s="91"/>
    </row>
    <row r="372" spans="2:11" x14ac:dyDescent="0.45">
      <c r="B372" s="85">
        <f t="shared" si="28"/>
        <v>9</v>
      </c>
      <c r="C372" s="86">
        <v>46252</v>
      </c>
      <c r="D372" s="86" t="s">
        <v>775</v>
      </c>
      <c r="E372" s="11" t="s">
        <v>321</v>
      </c>
      <c r="F372" s="87">
        <v>0</v>
      </c>
      <c r="G372" s="14">
        <v>1900</v>
      </c>
      <c r="H372" s="14">
        <v>570</v>
      </c>
      <c r="I372" s="14">
        <v>0</v>
      </c>
      <c r="J372" s="88">
        <f t="shared" si="27"/>
        <v>1330</v>
      </c>
      <c r="K372" s="91"/>
    </row>
    <row r="373" spans="2:11" x14ac:dyDescent="0.45">
      <c r="B373" s="85">
        <f t="shared" si="28"/>
        <v>10</v>
      </c>
      <c r="C373" s="86">
        <v>46252</v>
      </c>
      <c r="D373" s="86" t="s">
        <v>776</v>
      </c>
      <c r="E373" s="11" t="s">
        <v>322</v>
      </c>
      <c r="F373" s="87">
        <v>0</v>
      </c>
      <c r="G373" s="14">
        <f>3500*8</f>
        <v>28000</v>
      </c>
      <c r="H373" s="14">
        <f>1500*8</f>
        <v>12000</v>
      </c>
      <c r="I373" s="14">
        <v>0</v>
      </c>
      <c r="J373" s="88">
        <f t="shared" si="27"/>
        <v>16000</v>
      </c>
      <c r="K373" s="91"/>
    </row>
    <row r="374" spans="2:11" x14ac:dyDescent="0.45">
      <c r="B374" s="85">
        <f t="shared" si="28"/>
        <v>11</v>
      </c>
      <c r="C374" s="86">
        <v>46252</v>
      </c>
      <c r="D374" s="86" t="s">
        <v>777</v>
      </c>
      <c r="E374" s="11" t="s">
        <v>323</v>
      </c>
      <c r="F374" s="87">
        <v>0</v>
      </c>
      <c r="G374" s="14">
        <f>3500*3</f>
        <v>10500</v>
      </c>
      <c r="H374" s="14">
        <f>1050*3</f>
        <v>3150</v>
      </c>
      <c r="I374" s="14">
        <v>0</v>
      </c>
      <c r="J374" s="88">
        <f t="shared" si="27"/>
        <v>7350</v>
      </c>
      <c r="K374" s="89"/>
    </row>
    <row r="375" spans="2:11" x14ac:dyDescent="0.45">
      <c r="B375" s="85">
        <f t="shared" si="28"/>
        <v>12</v>
      </c>
      <c r="C375" s="86">
        <v>46252</v>
      </c>
      <c r="D375" s="86" t="s">
        <v>778</v>
      </c>
      <c r="E375" s="11" t="s">
        <v>324</v>
      </c>
      <c r="F375" s="87">
        <v>0</v>
      </c>
      <c r="G375" s="14">
        <v>10500</v>
      </c>
      <c r="H375" s="14">
        <v>3150</v>
      </c>
      <c r="I375" s="14">
        <v>0</v>
      </c>
      <c r="J375" s="88">
        <f t="shared" si="27"/>
        <v>7350</v>
      </c>
      <c r="K375" s="91"/>
    </row>
    <row r="376" spans="2:11" x14ac:dyDescent="0.45">
      <c r="B376" s="85">
        <f t="shared" si="28"/>
        <v>13</v>
      </c>
      <c r="C376" s="86">
        <v>46252</v>
      </c>
      <c r="D376" s="86" t="s">
        <v>779</v>
      </c>
      <c r="E376" s="11" t="s">
        <v>325</v>
      </c>
      <c r="F376" s="87">
        <v>0</v>
      </c>
      <c r="G376" s="14">
        <v>5900</v>
      </c>
      <c r="H376" s="14">
        <v>1000</v>
      </c>
      <c r="I376" s="14">
        <v>0</v>
      </c>
      <c r="J376" s="88">
        <f t="shared" si="27"/>
        <v>4900</v>
      </c>
      <c r="K376" s="91"/>
    </row>
    <row r="377" spans="2:11" x14ac:dyDescent="0.45">
      <c r="B377" s="85">
        <f t="shared" si="28"/>
        <v>14</v>
      </c>
      <c r="C377" s="86">
        <v>46252</v>
      </c>
      <c r="D377" s="86" t="s">
        <v>780</v>
      </c>
      <c r="E377" s="11" t="s">
        <v>326</v>
      </c>
      <c r="F377" s="87">
        <v>0</v>
      </c>
      <c r="G377" s="14">
        <v>1700</v>
      </c>
      <c r="H377" s="14">
        <v>0</v>
      </c>
      <c r="I377" s="14">
        <v>0</v>
      </c>
      <c r="J377" s="88">
        <f t="shared" si="27"/>
        <v>1700</v>
      </c>
      <c r="K377" s="91"/>
    </row>
    <row r="378" spans="2:11" x14ac:dyDescent="0.45">
      <c r="B378" s="85">
        <f t="shared" si="28"/>
        <v>15</v>
      </c>
      <c r="C378" s="86">
        <v>46252</v>
      </c>
      <c r="D378" s="86" t="s">
        <v>781</v>
      </c>
      <c r="E378" s="11" t="s">
        <v>327</v>
      </c>
      <c r="F378" s="87">
        <v>0</v>
      </c>
      <c r="G378" s="14">
        <f>3500*7</f>
        <v>24500</v>
      </c>
      <c r="H378" s="14">
        <f>1050*7</f>
        <v>7350</v>
      </c>
      <c r="I378" s="14">
        <v>0</v>
      </c>
      <c r="J378" s="88">
        <f t="shared" si="27"/>
        <v>17150</v>
      </c>
      <c r="K378" s="91"/>
    </row>
    <row r="379" spans="2:11" x14ac:dyDescent="0.45">
      <c r="B379" s="85">
        <f t="shared" si="28"/>
        <v>16</v>
      </c>
      <c r="C379" s="86">
        <v>46252</v>
      </c>
      <c r="D379" s="86" t="s">
        <v>782</v>
      </c>
      <c r="E379" s="11" t="s">
        <v>328</v>
      </c>
      <c r="F379" s="87">
        <v>0</v>
      </c>
      <c r="G379" s="14">
        <v>1800</v>
      </c>
      <c r="H379" s="14">
        <v>300</v>
      </c>
      <c r="I379" s="14">
        <v>0</v>
      </c>
      <c r="J379" s="88">
        <f t="shared" si="27"/>
        <v>1500</v>
      </c>
      <c r="K379" s="91"/>
    </row>
    <row r="380" spans="2:11" x14ac:dyDescent="0.45">
      <c r="B380" s="85">
        <f t="shared" si="28"/>
        <v>17</v>
      </c>
      <c r="C380" s="86">
        <v>46252</v>
      </c>
      <c r="D380" s="86" t="s">
        <v>783</v>
      </c>
      <c r="E380" s="11" t="s">
        <v>122</v>
      </c>
      <c r="F380" s="87">
        <v>0</v>
      </c>
      <c r="G380" s="14">
        <v>1700</v>
      </c>
      <c r="H380" s="14">
        <v>200</v>
      </c>
      <c r="I380" s="14">
        <v>0</v>
      </c>
      <c r="J380" s="88">
        <f t="shared" si="27"/>
        <v>1500</v>
      </c>
      <c r="K380" s="91"/>
    </row>
    <row r="381" spans="2:11" x14ac:dyDescent="0.45">
      <c r="B381" s="85">
        <f t="shared" si="28"/>
        <v>18</v>
      </c>
      <c r="C381" s="86">
        <v>46252</v>
      </c>
      <c r="D381" s="86" t="s">
        <v>784</v>
      </c>
      <c r="E381" s="11" t="s">
        <v>329</v>
      </c>
      <c r="F381" s="87">
        <v>0</v>
      </c>
      <c r="G381" s="14">
        <v>1700</v>
      </c>
      <c r="H381" s="14">
        <v>0</v>
      </c>
      <c r="I381" s="14">
        <v>0</v>
      </c>
      <c r="J381" s="88">
        <f t="shared" si="27"/>
        <v>1700</v>
      </c>
      <c r="K381" s="91"/>
    </row>
    <row r="382" spans="2:11" x14ac:dyDescent="0.45">
      <c r="B382" s="85">
        <f t="shared" si="28"/>
        <v>19</v>
      </c>
      <c r="C382" s="86">
        <v>46252</v>
      </c>
      <c r="D382" s="86" t="s">
        <v>785</v>
      </c>
      <c r="E382" s="11" t="s">
        <v>330</v>
      </c>
      <c r="F382" s="87">
        <v>0</v>
      </c>
      <c r="G382" s="14">
        <f>3200+1760</f>
        <v>4960</v>
      </c>
      <c r="H382" s="14">
        <v>640</v>
      </c>
      <c r="I382" s="14">
        <v>0</v>
      </c>
      <c r="J382" s="88">
        <f t="shared" si="27"/>
        <v>4320</v>
      </c>
      <c r="K382" s="91"/>
    </row>
    <row r="383" spans="2:11" x14ac:dyDescent="0.45">
      <c r="B383" s="85">
        <f t="shared" si="28"/>
        <v>20</v>
      </c>
      <c r="C383" s="86">
        <v>46252</v>
      </c>
      <c r="D383" s="86" t="s">
        <v>786</v>
      </c>
      <c r="E383" s="11" t="s">
        <v>331</v>
      </c>
      <c r="F383" s="87">
        <v>0</v>
      </c>
      <c r="G383" s="14">
        <v>1900</v>
      </c>
      <c r="H383" s="14">
        <v>570</v>
      </c>
      <c r="I383" s="14">
        <v>0</v>
      </c>
      <c r="J383" s="88">
        <f t="shared" si="27"/>
        <v>1330</v>
      </c>
      <c r="K383" s="91"/>
    </row>
    <row r="384" spans="2:11" x14ac:dyDescent="0.45">
      <c r="B384" s="85">
        <f t="shared" si="28"/>
        <v>21</v>
      </c>
      <c r="C384" s="86">
        <v>46252</v>
      </c>
      <c r="D384" s="86" t="s">
        <v>787</v>
      </c>
      <c r="E384" s="11" t="s">
        <v>144</v>
      </c>
      <c r="F384" s="87">
        <v>0</v>
      </c>
      <c r="G384" s="14">
        <v>220</v>
      </c>
      <c r="H384" s="14">
        <v>0</v>
      </c>
      <c r="I384" s="14">
        <v>0</v>
      </c>
      <c r="J384" s="88">
        <f t="shared" si="27"/>
        <v>220</v>
      </c>
      <c r="K384" s="91"/>
    </row>
    <row r="385" spans="2:11" x14ac:dyDescent="0.45">
      <c r="B385" s="85">
        <f t="shared" si="28"/>
        <v>22</v>
      </c>
      <c r="C385" s="86">
        <v>46252</v>
      </c>
      <c r="D385" s="86" t="s">
        <v>788</v>
      </c>
      <c r="E385" s="11" t="s">
        <v>332</v>
      </c>
      <c r="F385" s="87">
        <v>0</v>
      </c>
      <c r="G385" s="14">
        <v>1800</v>
      </c>
      <c r="H385" s="14">
        <v>400</v>
      </c>
      <c r="I385" s="14">
        <v>0</v>
      </c>
      <c r="J385" s="88">
        <f t="shared" si="27"/>
        <v>1400</v>
      </c>
      <c r="K385" s="91"/>
    </row>
    <row r="386" spans="2:11" x14ac:dyDescent="0.45">
      <c r="B386" s="85">
        <f t="shared" si="28"/>
        <v>23</v>
      </c>
      <c r="C386" s="86">
        <v>46252</v>
      </c>
      <c r="D386" s="86" t="s">
        <v>789</v>
      </c>
      <c r="E386" s="11" t="s">
        <v>333</v>
      </c>
      <c r="F386" s="87">
        <v>0</v>
      </c>
      <c r="G386" s="14">
        <v>720</v>
      </c>
      <c r="H386" s="14">
        <v>0</v>
      </c>
      <c r="I386" s="14">
        <v>0</v>
      </c>
      <c r="J386" s="88">
        <f t="shared" si="27"/>
        <v>720</v>
      </c>
      <c r="K386" s="91"/>
    </row>
    <row r="387" spans="2:11" x14ac:dyDescent="0.45">
      <c r="B387" s="85">
        <f t="shared" si="28"/>
        <v>24</v>
      </c>
      <c r="C387" s="86">
        <v>46252</v>
      </c>
      <c r="D387" s="86" t="s">
        <v>790</v>
      </c>
      <c r="E387" s="11" t="s">
        <v>106</v>
      </c>
      <c r="F387" s="87">
        <v>0</v>
      </c>
      <c r="G387" s="14">
        <v>6740</v>
      </c>
      <c r="H387" s="14">
        <v>700</v>
      </c>
      <c r="I387" s="14">
        <v>0</v>
      </c>
      <c r="J387" s="88">
        <f t="shared" si="27"/>
        <v>6040</v>
      </c>
      <c r="K387" s="91"/>
    </row>
    <row r="388" spans="2:11" x14ac:dyDescent="0.45">
      <c r="B388" s="85">
        <f t="shared" si="28"/>
        <v>25</v>
      </c>
      <c r="C388" s="86">
        <v>46252</v>
      </c>
      <c r="D388" s="86" t="s">
        <v>791</v>
      </c>
      <c r="E388" s="11" t="s">
        <v>334</v>
      </c>
      <c r="F388" s="87">
        <v>0</v>
      </c>
      <c r="G388" s="14">
        <v>3000</v>
      </c>
      <c r="H388" s="14">
        <v>1200</v>
      </c>
      <c r="I388" s="14">
        <v>0</v>
      </c>
      <c r="J388" s="88">
        <f t="shared" si="27"/>
        <v>1800</v>
      </c>
      <c r="K388" s="91"/>
    </row>
    <row r="389" spans="2:11" x14ac:dyDescent="0.45">
      <c r="B389" s="85">
        <v>1</v>
      </c>
      <c r="C389" s="86">
        <v>46253</v>
      </c>
      <c r="D389" s="86" t="s">
        <v>792</v>
      </c>
      <c r="E389" s="11" t="s">
        <v>336</v>
      </c>
      <c r="F389" s="87">
        <v>0</v>
      </c>
      <c r="G389" s="14">
        <v>1700</v>
      </c>
      <c r="H389" s="14">
        <v>200</v>
      </c>
      <c r="I389" s="14">
        <v>0</v>
      </c>
      <c r="J389" s="88">
        <f>+G389-H389</f>
        <v>1500</v>
      </c>
      <c r="K389" s="89"/>
    </row>
    <row r="390" spans="2:11" x14ac:dyDescent="0.45">
      <c r="B390" s="85">
        <f>+B389+1</f>
        <v>2</v>
      </c>
      <c r="C390" s="86">
        <v>46253</v>
      </c>
      <c r="D390" s="86" t="s">
        <v>793</v>
      </c>
      <c r="E390" s="11" t="s">
        <v>337</v>
      </c>
      <c r="F390" s="87">
        <v>0</v>
      </c>
      <c r="G390" s="14">
        <f>3500*3</f>
        <v>10500</v>
      </c>
      <c r="H390" s="14">
        <v>1500</v>
      </c>
      <c r="I390" s="14">
        <v>0</v>
      </c>
      <c r="J390" s="88">
        <f t="shared" ref="J390:J419" si="29">+G390-H390</f>
        <v>9000</v>
      </c>
      <c r="K390" s="90"/>
    </row>
    <row r="391" spans="2:11" x14ac:dyDescent="0.45">
      <c r="B391" s="85">
        <f t="shared" ref="B391:B419" si="30">+B390+1</f>
        <v>3</v>
      </c>
      <c r="C391" s="86">
        <v>46253</v>
      </c>
      <c r="D391" s="86" t="s">
        <v>794</v>
      </c>
      <c r="E391" s="11" t="s">
        <v>338</v>
      </c>
      <c r="F391" s="87">
        <v>0</v>
      </c>
      <c r="G391" s="14">
        <v>420</v>
      </c>
      <c r="H391" s="14">
        <v>0</v>
      </c>
      <c r="I391" s="14">
        <v>0</v>
      </c>
      <c r="J391" s="88">
        <f t="shared" si="29"/>
        <v>420</v>
      </c>
      <c r="K391" s="90"/>
    </row>
    <row r="392" spans="2:11" x14ac:dyDescent="0.45">
      <c r="B392" s="85">
        <f t="shared" si="30"/>
        <v>4</v>
      </c>
      <c r="C392" s="86">
        <v>46253</v>
      </c>
      <c r="D392" s="86" t="s">
        <v>795</v>
      </c>
      <c r="E392" s="11" t="s">
        <v>339</v>
      </c>
      <c r="F392" s="87">
        <v>0</v>
      </c>
      <c r="G392" s="14">
        <v>1900</v>
      </c>
      <c r="H392" s="14">
        <v>570</v>
      </c>
      <c r="I392" s="14">
        <v>0</v>
      </c>
      <c r="J392" s="88">
        <f t="shared" si="29"/>
        <v>1330</v>
      </c>
      <c r="K392" s="91"/>
    </row>
    <row r="393" spans="2:11" x14ac:dyDescent="0.45">
      <c r="B393" s="85">
        <f t="shared" si="30"/>
        <v>5</v>
      </c>
      <c r="C393" s="86">
        <v>46253</v>
      </c>
      <c r="D393" s="86" t="s">
        <v>796</v>
      </c>
      <c r="E393" s="11" t="s">
        <v>340</v>
      </c>
      <c r="F393" s="87">
        <v>0</v>
      </c>
      <c r="G393" s="14">
        <v>2000</v>
      </c>
      <c r="H393" s="14">
        <v>300</v>
      </c>
      <c r="I393" s="14">
        <v>0</v>
      </c>
      <c r="J393" s="88">
        <f t="shared" si="29"/>
        <v>1700</v>
      </c>
      <c r="K393" s="89"/>
    </row>
    <row r="394" spans="2:11" x14ac:dyDescent="0.45">
      <c r="B394" s="85">
        <f t="shared" si="30"/>
        <v>6</v>
      </c>
      <c r="C394" s="86">
        <v>46253</v>
      </c>
      <c r="D394" s="86" t="s">
        <v>797</v>
      </c>
      <c r="E394" s="11" t="s">
        <v>341</v>
      </c>
      <c r="F394" s="87">
        <v>0</v>
      </c>
      <c r="G394" s="14">
        <v>1900</v>
      </c>
      <c r="H394" s="14">
        <v>570</v>
      </c>
      <c r="I394" s="14">
        <v>0</v>
      </c>
      <c r="J394" s="88">
        <f t="shared" si="29"/>
        <v>1330</v>
      </c>
      <c r="K394" s="91"/>
    </row>
    <row r="395" spans="2:11" x14ac:dyDescent="0.45">
      <c r="B395" s="85">
        <f t="shared" si="30"/>
        <v>7</v>
      </c>
      <c r="C395" s="86">
        <v>46253</v>
      </c>
      <c r="D395" s="86" t="s">
        <v>798</v>
      </c>
      <c r="E395" s="11" t="s">
        <v>122</v>
      </c>
      <c r="F395" s="87">
        <v>0</v>
      </c>
      <c r="G395" s="14">
        <v>1700</v>
      </c>
      <c r="H395" s="14">
        <v>200</v>
      </c>
      <c r="I395" s="14">
        <v>0</v>
      </c>
      <c r="J395" s="88">
        <f t="shared" si="29"/>
        <v>1500</v>
      </c>
      <c r="K395" s="91"/>
    </row>
    <row r="396" spans="2:11" x14ac:dyDescent="0.45">
      <c r="B396" s="85">
        <f t="shared" si="30"/>
        <v>8</v>
      </c>
      <c r="C396" s="86">
        <v>46253</v>
      </c>
      <c r="D396" s="86" t="s">
        <v>799</v>
      </c>
      <c r="E396" s="11" t="s">
        <v>122</v>
      </c>
      <c r="F396" s="87">
        <v>0</v>
      </c>
      <c r="G396" s="14">
        <v>2000</v>
      </c>
      <c r="H396" s="14">
        <v>300</v>
      </c>
      <c r="I396" s="14">
        <v>0</v>
      </c>
      <c r="J396" s="88">
        <f t="shared" si="29"/>
        <v>1700</v>
      </c>
      <c r="K396" s="91"/>
    </row>
    <row r="397" spans="2:11" x14ac:dyDescent="0.45">
      <c r="B397" s="85">
        <f t="shared" si="30"/>
        <v>9</v>
      </c>
      <c r="C397" s="86">
        <v>46253</v>
      </c>
      <c r="D397" s="86" t="s">
        <v>800</v>
      </c>
      <c r="E397" s="11" t="s">
        <v>122</v>
      </c>
      <c r="F397" s="87">
        <v>0</v>
      </c>
      <c r="G397" s="14">
        <f>1700*2</f>
        <v>3400</v>
      </c>
      <c r="H397" s="14">
        <v>200</v>
      </c>
      <c r="I397" s="14">
        <v>0</v>
      </c>
      <c r="J397" s="88">
        <f t="shared" si="29"/>
        <v>3200</v>
      </c>
      <c r="K397" s="91"/>
    </row>
    <row r="398" spans="2:11" x14ac:dyDescent="0.45">
      <c r="B398" s="85">
        <f t="shared" si="30"/>
        <v>10</v>
      </c>
      <c r="C398" s="86">
        <v>46253</v>
      </c>
      <c r="D398" s="86" t="s">
        <v>801</v>
      </c>
      <c r="E398" s="11" t="s">
        <v>122</v>
      </c>
      <c r="F398" s="87">
        <v>0</v>
      </c>
      <c r="G398" s="14">
        <v>1700</v>
      </c>
      <c r="H398" s="14">
        <v>200</v>
      </c>
      <c r="I398" s="14">
        <v>0</v>
      </c>
      <c r="J398" s="88">
        <f t="shared" si="29"/>
        <v>1500</v>
      </c>
      <c r="K398" s="91"/>
    </row>
    <row r="399" spans="2:11" x14ac:dyDescent="0.45">
      <c r="B399" s="85">
        <f t="shared" si="30"/>
        <v>11</v>
      </c>
      <c r="C399" s="86">
        <v>46253</v>
      </c>
      <c r="D399" s="86" t="s">
        <v>802</v>
      </c>
      <c r="E399" s="11" t="s">
        <v>342</v>
      </c>
      <c r="F399" s="87">
        <v>0</v>
      </c>
      <c r="G399" s="14">
        <v>1900</v>
      </c>
      <c r="H399" s="14">
        <v>550</v>
      </c>
      <c r="I399" s="14">
        <v>0</v>
      </c>
      <c r="J399" s="88">
        <f t="shared" si="29"/>
        <v>1350</v>
      </c>
      <c r="K399" s="89"/>
    </row>
    <row r="400" spans="2:11" x14ac:dyDescent="0.45">
      <c r="B400" s="85">
        <f t="shared" si="30"/>
        <v>12</v>
      </c>
      <c r="C400" s="86">
        <v>46253</v>
      </c>
      <c r="D400" s="86" t="s">
        <v>803</v>
      </c>
      <c r="E400" s="11" t="s">
        <v>343</v>
      </c>
      <c r="F400" s="87">
        <v>0</v>
      </c>
      <c r="G400" s="14">
        <v>1800</v>
      </c>
      <c r="H400" s="14">
        <v>300</v>
      </c>
      <c r="I400" s="14">
        <v>0</v>
      </c>
      <c r="J400" s="88">
        <f t="shared" si="29"/>
        <v>1500</v>
      </c>
      <c r="K400" s="91"/>
    </row>
    <row r="401" spans="2:11" x14ac:dyDescent="0.45">
      <c r="B401" s="85">
        <f t="shared" si="30"/>
        <v>13</v>
      </c>
      <c r="C401" s="86">
        <v>46253</v>
      </c>
      <c r="D401" s="86" t="s">
        <v>804</v>
      </c>
      <c r="E401" s="11" t="s">
        <v>344</v>
      </c>
      <c r="F401" s="87">
        <v>0</v>
      </c>
      <c r="G401" s="14">
        <v>5000</v>
      </c>
      <c r="H401" s="14">
        <v>1080</v>
      </c>
      <c r="I401" s="14">
        <v>0</v>
      </c>
      <c r="J401" s="88">
        <f t="shared" si="29"/>
        <v>3920</v>
      </c>
      <c r="K401" s="91"/>
    </row>
    <row r="402" spans="2:11" x14ac:dyDescent="0.45">
      <c r="B402" s="85">
        <f t="shared" si="30"/>
        <v>14</v>
      </c>
      <c r="C402" s="86">
        <v>46253</v>
      </c>
      <c r="D402" s="86" t="s">
        <v>805</v>
      </c>
      <c r="E402" s="11" t="s">
        <v>345</v>
      </c>
      <c r="F402" s="87">
        <v>0</v>
      </c>
      <c r="G402" s="14">
        <v>6500</v>
      </c>
      <c r="H402" s="14">
        <v>0</v>
      </c>
      <c r="I402" s="14">
        <v>0</v>
      </c>
      <c r="J402" s="88">
        <f t="shared" si="29"/>
        <v>6500</v>
      </c>
      <c r="K402" s="91"/>
    </row>
    <row r="403" spans="2:11" x14ac:dyDescent="0.45">
      <c r="B403" s="85">
        <f t="shared" si="30"/>
        <v>15</v>
      </c>
      <c r="C403" s="86">
        <v>46253</v>
      </c>
      <c r="D403" s="86" t="s">
        <v>806</v>
      </c>
      <c r="E403" s="11" t="s">
        <v>346</v>
      </c>
      <c r="F403" s="87">
        <v>0</v>
      </c>
      <c r="G403" s="14">
        <v>1900</v>
      </c>
      <c r="H403" s="14">
        <v>0</v>
      </c>
      <c r="I403" s="14">
        <v>0</v>
      </c>
      <c r="J403" s="88">
        <f t="shared" si="29"/>
        <v>1900</v>
      </c>
      <c r="K403" s="91"/>
    </row>
    <row r="404" spans="2:11" x14ac:dyDescent="0.45">
      <c r="B404" s="85">
        <f t="shared" si="30"/>
        <v>16</v>
      </c>
      <c r="C404" s="86">
        <v>46253</v>
      </c>
      <c r="D404" s="86" t="s">
        <v>807</v>
      </c>
      <c r="E404" s="11" t="s">
        <v>347</v>
      </c>
      <c r="F404" s="87">
        <v>0</v>
      </c>
      <c r="G404" s="14">
        <v>1900</v>
      </c>
      <c r="H404" s="14">
        <v>200</v>
      </c>
      <c r="I404" s="14">
        <v>0</v>
      </c>
      <c r="J404" s="88">
        <f t="shared" si="29"/>
        <v>1700</v>
      </c>
      <c r="K404" s="91"/>
    </row>
    <row r="405" spans="2:11" x14ac:dyDescent="0.45">
      <c r="B405" s="85">
        <f t="shared" si="30"/>
        <v>17</v>
      </c>
      <c r="C405" s="86">
        <v>46253</v>
      </c>
      <c r="D405" s="86" t="s">
        <v>808</v>
      </c>
      <c r="E405" s="11" t="s">
        <v>348</v>
      </c>
      <c r="F405" s="87">
        <v>0</v>
      </c>
      <c r="G405" s="14">
        <v>1800</v>
      </c>
      <c r="H405" s="14">
        <v>300</v>
      </c>
      <c r="I405" s="14">
        <v>0</v>
      </c>
      <c r="J405" s="88">
        <f t="shared" si="29"/>
        <v>1500</v>
      </c>
      <c r="K405" s="91"/>
    </row>
    <row r="406" spans="2:11" x14ac:dyDescent="0.45">
      <c r="B406" s="85">
        <f t="shared" si="30"/>
        <v>18</v>
      </c>
      <c r="C406" s="86">
        <v>46253</v>
      </c>
      <c r="D406" s="86" t="s">
        <v>809</v>
      </c>
      <c r="E406" s="11" t="s">
        <v>144</v>
      </c>
      <c r="F406" s="87">
        <v>0</v>
      </c>
      <c r="G406" s="14">
        <v>1800</v>
      </c>
      <c r="H406" s="14">
        <v>400</v>
      </c>
      <c r="I406" s="14">
        <v>0</v>
      </c>
      <c r="J406" s="88">
        <f t="shared" si="29"/>
        <v>1400</v>
      </c>
      <c r="K406" s="91"/>
    </row>
    <row r="407" spans="2:11" x14ac:dyDescent="0.45">
      <c r="B407" s="85">
        <f t="shared" si="30"/>
        <v>19</v>
      </c>
      <c r="C407" s="86">
        <v>46253</v>
      </c>
      <c r="D407" s="86" t="s">
        <v>810</v>
      </c>
      <c r="E407" s="11" t="s">
        <v>349</v>
      </c>
      <c r="F407" s="87">
        <v>0</v>
      </c>
      <c r="G407" s="14">
        <v>2500</v>
      </c>
      <c r="H407" s="14">
        <v>1000</v>
      </c>
      <c r="I407" s="14">
        <v>0</v>
      </c>
      <c r="J407" s="88">
        <f t="shared" si="29"/>
        <v>1500</v>
      </c>
      <c r="K407" s="91"/>
    </row>
    <row r="408" spans="2:11" x14ac:dyDescent="0.45">
      <c r="B408" s="85">
        <f t="shared" si="30"/>
        <v>20</v>
      </c>
      <c r="C408" s="86">
        <v>46253</v>
      </c>
      <c r="D408" s="86" t="s">
        <v>811</v>
      </c>
      <c r="E408" s="11" t="s">
        <v>350</v>
      </c>
      <c r="F408" s="87">
        <v>0</v>
      </c>
      <c r="G408" s="14">
        <v>1900</v>
      </c>
      <c r="H408" s="14">
        <v>550</v>
      </c>
      <c r="I408" s="14">
        <v>0</v>
      </c>
      <c r="J408" s="88">
        <f t="shared" si="29"/>
        <v>1350</v>
      </c>
      <c r="K408" s="91"/>
    </row>
    <row r="409" spans="2:11" x14ac:dyDescent="0.45">
      <c r="B409" s="85">
        <f t="shared" si="30"/>
        <v>21</v>
      </c>
      <c r="C409" s="86">
        <v>46253</v>
      </c>
      <c r="D409" s="86" t="s">
        <v>812</v>
      </c>
      <c r="E409" s="11" t="s">
        <v>101</v>
      </c>
      <c r="F409" s="87">
        <v>0</v>
      </c>
      <c r="G409" s="14">
        <v>660</v>
      </c>
      <c r="H409" s="14">
        <v>0</v>
      </c>
      <c r="I409" s="14">
        <v>0</v>
      </c>
      <c r="J409" s="88">
        <f t="shared" si="29"/>
        <v>660</v>
      </c>
      <c r="K409" s="91"/>
    </row>
    <row r="410" spans="2:11" x14ac:dyDescent="0.45">
      <c r="B410" s="85">
        <f t="shared" si="30"/>
        <v>22</v>
      </c>
      <c r="C410" s="86">
        <v>46253</v>
      </c>
      <c r="D410" s="86" t="s">
        <v>813</v>
      </c>
      <c r="E410" s="11" t="s">
        <v>351</v>
      </c>
      <c r="F410" s="87">
        <v>0</v>
      </c>
      <c r="G410" s="14">
        <v>2000</v>
      </c>
      <c r="H410" s="14">
        <v>200</v>
      </c>
      <c r="I410" s="14">
        <v>0</v>
      </c>
      <c r="J410" s="88">
        <f t="shared" si="29"/>
        <v>1800</v>
      </c>
      <c r="K410" s="91"/>
    </row>
    <row r="411" spans="2:11" x14ac:dyDescent="0.45">
      <c r="B411" s="85">
        <f t="shared" si="30"/>
        <v>23</v>
      </c>
      <c r="C411" s="86">
        <v>46253</v>
      </c>
      <c r="D411" s="86" t="s">
        <v>814</v>
      </c>
      <c r="E411" s="11" t="s">
        <v>69</v>
      </c>
      <c r="F411" s="87">
        <v>0</v>
      </c>
      <c r="G411" s="14">
        <v>42600</v>
      </c>
      <c r="H411" s="14">
        <v>14900</v>
      </c>
      <c r="I411" s="14">
        <v>0</v>
      </c>
      <c r="J411" s="88">
        <f t="shared" si="29"/>
        <v>27700</v>
      </c>
      <c r="K411" s="91"/>
    </row>
    <row r="412" spans="2:11" x14ac:dyDescent="0.45">
      <c r="B412" s="85">
        <f t="shared" si="30"/>
        <v>24</v>
      </c>
      <c r="C412" s="86">
        <v>46253</v>
      </c>
      <c r="D412" s="86" t="s">
        <v>815</v>
      </c>
      <c r="E412" s="11" t="s">
        <v>352</v>
      </c>
      <c r="F412" s="87">
        <v>0</v>
      </c>
      <c r="G412" s="14">
        <v>1900</v>
      </c>
      <c r="H412" s="14">
        <v>300</v>
      </c>
      <c r="I412" s="14">
        <v>0</v>
      </c>
      <c r="J412" s="88">
        <f t="shared" si="29"/>
        <v>1600</v>
      </c>
      <c r="K412" s="91"/>
    </row>
    <row r="413" spans="2:11" x14ac:dyDescent="0.45">
      <c r="B413" s="85">
        <f t="shared" si="30"/>
        <v>25</v>
      </c>
      <c r="C413" s="86">
        <v>46253</v>
      </c>
      <c r="D413" s="86" t="s">
        <v>816</v>
      </c>
      <c r="E413" s="11" t="s">
        <v>353</v>
      </c>
      <c r="F413" s="87">
        <v>0</v>
      </c>
      <c r="G413" s="14">
        <v>1900</v>
      </c>
      <c r="H413" s="14">
        <v>0</v>
      </c>
      <c r="I413" s="14">
        <v>0</v>
      </c>
      <c r="J413" s="88">
        <f t="shared" si="29"/>
        <v>1900</v>
      </c>
      <c r="K413" s="91"/>
    </row>
    <row r="414" spans="2:11" x14ac:dyDescent="0.45">
      <c r="B414" s="85">
        <f t="shared" si="30"/>
        <v>26</v>
      </c>
      <c r="C414" s="86">
        <v>46253</v>
      </c>
      <c r="D414" s="86" t="s">
        <v>817</v>
      </c>
      <c r="E414" s="11" t="s">
        <v>354</v>
      </c>
      <c r="F414" s="87">
        <v>0</v>
      </c>
      <c r="G414" s="14">
        <v>7600</v>
      </c>
      <c r="H414" s="14">
        <v>7600</v>
      </c>
      <c r="I414" s="14">
        <v>0</v>
      </c>
      <c r="J414" s="88">
        <f t="shared" si="29"/>
        <v>0</v>
      </c>
      <c r="K414" s="91"/>
    </row>
    <row r="415" spans="2:11" x14ac:dyDescent="0.45">
      <c r="B415" s="85">
        <f t="shared" si="30"/>
        <v>27</v>
      </c>
      <c r="C415" s="86">
        <v>46253</v>
      </c>
      <c r="D415" s="86" t="s">
        <v>818</v>
      </c>
      <c r="E415" s="11" t="s">
        <v>75</v>
      </c>
      <c r="F415" s="87">
        <v>0</v>
      </c>
      <c r="G415" s="14">
        <v>14700</v>
      </c>
      <c r="H415" s="14">
        <v>3570</v>
      </c>
      <c r="I415" s="14">
        <v>0</v>
      </c>
      <c r="J415" s="88">
        <f t="shared" si="29"/>
        <v>11130</v>
      </c>
      <c r="K415" s="91"/>
    </row>
    <row r="416" spans="2:11" x14ac:dyDescent="0.45">
      <c r="B416" s="85">
        <f t="shared" si="30"/>
        <v>28</v>
      </c>
      <c r="C416" s="86">
        <v>46253</v>
      </c>
      <c r="D416" s="86" t="s">
        <v>819</v>
      </c>
      <c r="E416" s="11" t="s">
        <v>355</v>
      </c>
      <c r="F416" s="87">
        <v>0</v>
      </c>
      <c r="G416" s="14">
        <v>2200</v>
      </c>
      <c r="H416" s="14">
        <v>0</v>
      </c>
      <c r="I416" s="14">
        <v>0</v>
      </c>
      <c r="J416" s="88">
        <f t="shared" si="29"/>
        <v>2200</v>
      </c>
      <c r="K416" s="91"/>
    </row>
    <row r="417" spans="2:11" x14ac:dyDescent="0.45">
      <c r="B417" s="85">
        <f t="shared" si="30"/>
        <v>29</v>
      </c>
      <c r="C417" s="86">
        <v>46253</v>
      </c>
      <c r="D417" s="86" t="s">
        <v>820</v>
      </c>
      <c r="E417" s="11" t="s">
        <v>356</v>
      </c>
      <c r="F417" s="87">
        <v>0</v>
      </c>
      <c r="G417" s="14">
        <v>1700</v>
      </c>
      <c r="H417" s="14">
        <v>510</v>
      </c>
      <c r="I417" s="14">
        <v>0</v>
      </c>
      <c r="J417" s="88">
        <f t="shared" si="29"/>
        <v>1190</v>
      </c>
      <c r="K417" s="91"/>
    </row>
    <row r="418" spans="2:11" x14ac:dyDescent="0.45">
      <c r="B418" s="85">
        <f t="shared" si="30"/>
        <v>30</v>
      </c>
      <c r="C418" s="86">
        <v>46253</v>
      </c>
      <c r="D418" s="86" t="s">
        <v>821</v>
      </c>
      <c r="E418" s="11" t="s">
        <v>151</v>
      </c>
      <c r="F418" s="87">
        <v>0</v>
      </c>
      <c r="G418" s="14">
        <v>28920</v>
      </c>
      <c r="H418" s="14">
        <v>3300</v>
      </c>
      <c r="I418" s="14">
        <v>0</v>
      </c>
      <c r="J418" s="88">
        <f t="shared" si="29"/>
        <v>25620</v>
      </c>
      <c r="K418" s="91"/>
    </row>
    <row r="419" spans="2:11" x14ac:dyDescent="0.45">
      <c r="B419" s="85">
        <f t="shared" si="30"/>
        <v>31</v>
      </c>
      <c r="C419" s="86">
        <v>46253</v>
      </c>
      <c r="D419" s="86" t="s">
        <v>822</v>
      </c>
      <c r="E419" s="11" t="s">
        <v>63</v>
      </c>
      <c r="F419" s="87">
        <v>0</v>
      </c>
      <c r="G419" s="14">
        <v>2500</v>
      </c>
      <c r="H419" s="14">
        <v>600</v>
      </c>
      <c r="I419" s="14">
        <v>0</v>
      </c>
      <c r="J419" s="88">
        <f t="shared" si="29"/>
        <v>1900</v>
      </c>
      <c r="K419" s="91"/>
    </row>
    <row r="420" spans="2:11" x14ac:dyDescent="0.45">
      <c r="B420" s="85">
        <v>1</v>
      </c>
      <c r="C420" s="86">
        <v>46254</v>
      </c>
      <c r="D420" s="86" t="s">
        <v>823</v>
      </c>
      <c r="E420" s="11" t="s">
        <v>137</v>
      </c>
      <c r="F420" s="87">
        <v>0</v>
      </c>
      <c r="G420" s="14">
        <v>220</v>
      </c>
      <c r="H420" s="14">
        <v>0</v>
      </c>
      <c r="I420" s="14">
        <v>0</v>
      </c>
      <c r="J420" s="88">
        <f>+G420-H420</f>
        <v>220</v>
      </c>
      <c r="K420" s="89"/>
    </row>
    <row r="421" spans="2:11" x14ac:dyDescent="0.45">
      <c r="B421" s="85">
        <f>+B420+1</f>
        <v>2</v>
      </c>
      <c r="C421" s="86">
        <v>46254</v>
      </c>
      <c r="D421" s="86" t="s">
        <v>824</v>
      </c>
      <c r="E421" s="11" t="s">
        <v>14</v>
      </c>
      <c r="F421" s="87">
        <v>0</v>
      </c>
      <c r="G421" s="14">
        <v>1820</v>
      </c>
      <c r="H421" s="14">
        <v>0</v>
      </c>
      <c r="I421" s="14">
        <v>0</v>
      </c>
      <c r="J421" s="88">
        <f t="shared" ref="J421:J444" si="31">+G421-H421</f>
        <v>1820</v>
      </c>
      <c r="K421" s="90"/>
    </row>
    <row r="422" spans="2:11" x14ac:dyDescent="0.45">
      <c r="B422" s="85">
        <f t="shared" ref="B422:B444" si="32">+B421+1</f>
        <v>3</v>
      </c>
      <c r="C422" s="86">
        <v>46254</v>
      </c>
      <c r="D422" s="86" t="s">
        <v>825</v>
      </c>
      <c r="E422" s="11" t="s">
        <v>358</v>
      </c>
      <c r="F422" s="87">
        <v>0</v>
      </c>
      <c r="G422" s="14">
        <v>1700</v>
      </c>
      <c r="H422" s="14">
        <v>0</v>
      </c>
      <c r="I422" s="14">
        <v>0</v>
      </c>
      <c r="J422" s="88">
        <f t="shared" si="31"/>
        <v>1700</v>
      </c>
      <c r="K422" s="90"/>
    </row>
    <row r="423" spans="2:11" x14ac:dyDescent="0.45">
      <c r="B423" s="85">
        <f t="shared" si="32"/>
        <v>4</v>
      </c>
      <c r="C423" s="86">
        <v>46254</v>
      </c>
      <c r="D423" s="86" t="s">
        <v>826</v>
      </c>
      <c r="E423" s="76" t="s">
        <v>359</v>
      </c>
      <c r="F423" s="87">
        <v>0</v>
      </c>
      <c r="G423" s="14">
        <v>1800</v>
      </c>
      <c r="H423" s="14">
        <v>540</v>
      </c>
      <c r="I423" s="14">
        <v>0</v>
      </c>
      <c r="J423" s="88">
        <f t="shared" si="31"/>
        <v>1260</v>
      </c>
      <c r="K423" s="91"/>
    </row>
    <row r="424" spans="2:11" x14ac:dyDescent="0.45">
      <c r="B424" s="85">
        <f t="shared" si="32"/>
        <v>5</v>
      </c>
      <c r="C424" s="86">
        <v>46254</v>
      </c>
      <c r="D424" s="86" t="s">
        <v>827</v>
      </c>
      <c r="E424" s="11" t="s">
        <v>360</v>
      </c>
      <c r="F424" s="87">
        <v>0</v>
      </c>
      <c r="G424" s="14">
        <v>1900</v>
      </c>
      <c r="H424" s="14">
        <v>200</v>
      </c>
      <c r="I424" s="14">
        <v>0</v>
      </c>
      <c r="J424" s="88">
        <f t="shared" si="31"/>
        <v>1700</v>
      </c>
      <c r="K424" s="89"/>
    </row>
    <row r="425" spans="2:11" x14ac:dyDescent="0.45">
      <c r="B425" s="85">
        <f t="shared" si="32"/>
        <v>6</v>
      </c>
      <c r="C425" s="86">
        <v>46254</v>
      </c>
      <c r="D425" s="86" t="s">
        <v>828</v>
      </c>
      <c r="E425" s="11" t="s">
        <v>20</v>
      </c>
      <c r="F425" s="87">
        <v>0</v>
      </c>
      <c r="G425" s="14">
        <v>1900</v>
      </c>
      <c r="H425" s="14">
        <v>200</v>
      </c>
      <c r="I425" s="14">
        <v>0</v>
      </c>
      <c r="J425" s="88">
        <f t="shared" si="31"/>
        <v>1700</v>
      </c>
      <c r="K425" s="91"/>
    </row>
    <row r="426" spans="2:11" x14ac:dyDescent="0.45">
      <c r="B426" s="85">
        <f t="shared" si="32"/>
        <v>7</v>
      </c>
      <c r="C426" s="86">
        <v>46254</v>
      </c>
      <c r="D426" s="86" t="s">
        <v>829</v>
      </c>
      <c r="E426" s="11" t="s">
        <v>361</v>
      </c>
      <c r="F426" s="87">
        <v>0</v>
      </c>
      <c r="G426" s="14">
        <v>2000</v>
      </c>
      <c r="H426" s="14">
        <v>1000</v>
      </c>
      <c r="I426" s="14">
        <v>0</v>
      </c>
      <c r="J426" s="88">
        <f t="shared" si="31"/>
        <v>1000</v>
      </c>
      <c r="K426" s="91"/>
    </row>
    <row r="427" spans="2:11" x14ac:dyDescent="0.45">
      <c r="B427" s="85">
        <f t="shared" si="32"/>
        <v>8</v>
      </c>
      <c r="C427" s="86">
        <v>46254</v>
      </c>
      <c r="D427" s="86" t="s">
        <v>830</v>
      </c>
      <c r="E427" s="11" t="s">
        <v>130</v>
      </c>
      <c r="F427" s="87">
        <v>0</v>
      </c>
      <c r="G427" s="14">
        <v>2000</v>
      </c>
      <c r="H427" s="14">
        <v>1000</v>
      </c>
      <c r="I427" s="14">
        <v>0</v>
      </c>
      <c r="J427" s="88">
        <f t="shared" si="31"/>
        <v>1000</v>
      </c>
      <c r="K427" s="91"/>
    </row>
    <row r="428" spans="2:11" x14ac:dyDescent="0.45">
      <c r="B428" s="85">
        <f t="shared" si="32"/>
        <v>9</v>
      </c>
      <c r="C428" s="86">
        <v>46254</v>
      </c>
      <c r="D428" s="86" t="s">
        <v>831</v>
      </c>
      <c r="E428" s="97" t="s">
        <v>130</v>
      </c>
      <c r="F428" s="87">
        <v>0</v>
      </c>
      <c r="G428" s="14">
        <v>2000</v>
      </c>
      <c r="H428" s="14">
        <v>1000</v>
      </c>
      <c r="I428" s="14">
        <v>0</v>
      </c>
      <c r="J428" s="88">
        <f t="shared" si="31"/>
        <v>1000</v>
      </c>
      <c r="K428" s="91"/>
    </row>
    <row r="429" spans="2:11" x14ac:dyDescent="0.45">
      <c r="B429" s="85">
        <f t="shared" si="32"/>
        <v>10</v>
      </c>
      <c r="C429" s="86">
        <v>46254</v>
      </c>
      <c r="D429" s="86" t="s">
        <v>832</v>
      </c>
      <c r="E429" s="76" t="s">
        <v>362</v>
      </c>
      <c r="F429" s="87">
        <v>0</v>
      </c>
      <c r="G429" s="14">
        <v>1800</v>
      </c>
      <c r="H429" s="14">
        <v>400</v>
      </c>
      <c r="I429" s="14">
        <v>0</v>
      </c>
      <c r="J429" s="88">
        <f t="shared" si="31"/>
        <v>1400</v>
      </c>
      <c r="K429" s="91"/>
    </row>
    <row r="430" spans="2:11" x14ac:dyDescent="0.45">
      <c r="B430" s="85">
        <f t="shared" si="32"/>
        <v>11</v>
      </c>
      <c r="C430" s="86">
        <v>46254</v>
      </c>
      <c r="D430" s="86" t="s">
        <v>833</v>
      </c>
      <c r="E430" s="11" t="s">
        <v>363</v>
      </c>
      <c r="F430" s="87">
        <v>0</v>
      </c>
      <c r="G430" s="14">
        <v>4900</v>
      </c>
      <c r="H430" s="14">
        <v>400</v>
      </c>
      <c r="I430" s="14">
        <v>0</v>
      </c>
      <c r="J430" s="88">
        <f t="shared" si="31"/>
        <v>4500</v>
      </c>
      <c r="K430" s="89"/>
    </row>
    <row r="431" spans="2:11" x14ac:dyDescent="0.45">
      <c r="B431" s="85">
        <f t="shared" si="32"/>
        <v>12</v>
      </c>
      <c r="C431" s="86">
        <v>46254</v>
      </c>
      <c r="D431" s="86" t="s">
        <v>834</v>
      </c>
      <c r="E431" s="11" t="s">
        <v>364</v>
      </c>
      <c r="F431" s="87">
        <v>0</v>
      </c>
      <c r="G431" s="14">
        <v>1900</v>
      </c>
      <c r="H431" s="14">
        <v>200</v>
      </c>
      <c r="I431" s="14">
        <v>0</v>
      </c>
      <c r="J431" s="88">
        <f t="shared" si="31"/>
        <v>1700</v>
      </c>
      <c r="K431" s="91"/>
    </row>
    <row r="432" spans="2:11" x14ac:dyDescent="0.45">
      <c r="B432" s="85">
        <f t="shared" si="32"/>
        <v>13</v>
      </c>
      <c r="C432" s="86">
        <v>46254</v>
      </c>
      <c r="D432" s="86" t="s">
        <v>835</v>
      </c>
      <c r="E432" s="76" t="s">
        <v>365</v>
      </c>
      <c r="F432" s="87">
        <v>0</v>
      </c>
      <c r="G432" s="14">
        <v>1900</v>
      </c>
      <c r="H432" s="14">
        <v>0</v>
      </c>
      <c r="I432" s="14">
        <v>0</v>
      </c>
      <c r="J432" s="88">
        <f t="shared" si="31"/>
        <v>1900</v>
      </c>
      <c r="K432" s="91"/>
    </row>
    <row r="433" spans="2:11" x14ac:dyDescent="0.45">
      <c r="B433" s="85">
        <f t="shared" si="32"/>
        <v>14</v>
      </c>
      <c r="C433" s="86">
        <v>46254</v>
      </c>
      <c r="D433" s="86" t="s">
        <v>836</v>
      </c>
      <c r="E433" s="76" t="s">
        <v>366</v>
      </c>
      <c r="F433" s="87">
        <v>0</v>
      </c>
      <c r="G433" s="14">
        <v>1900</v>
      </c>
      <c r="H433" s="14">
        <v>0</v>
      </c>
      <c r="I433" s="14">
        <v>0</v>
      </c>
      <c r="J433" s="88">
        <f t="shared" si="31"/>
        <v>1900</v>
      </c>
      <c r="K433" s="91"/>
    </row>
    <row r="434" spans="2:11" x14ac:dyDescent="0.45">
      <c r="B434" s="85">
        <f t="shared" si="32"/>
        <v>15</v>
      </c>
      <c r="C434" s="86">
        <v>46254</v>
      </c>
      <c r="D434" s="86" t="s">
        <v>837</v>
      </c>
      <c r="E434" s="11" t="s">
        <v>367</v>
      </c>
      <c r="F434" s="87">
        <v>0</v>
      </c>
      <c r="G434" s="14">
        <v>1700</v>
      </c>
      <c r="H434" s="14">
        <v>0</v>
      </c>
      <c r="I434" s="14">
        <v>0</v>
      </c>
      <c r="J434" s="88">
        <f t="shared" si="31"/>
        <v>1700</v>
      </c>
      <c r="K434" s="91"/>
    </row>
    <row r="435" spans="2:11" x14ac:dyDescent="0.45">
      <c r="B435" s="85">
        <f t="shared" si="32"/>
        <v>16</v>
      </c>
      <c r="C435" s="86">
        <v>46254</v>
      </c>
      <c r="D435" s="86" t="s">
        <v>838</v>
      </c>
      <c r="E435" s="11" t="s">
        <v>204</v>
      </c>
      <c r="F435" s="87">
        <v>0</v>
      </c>
      <c r="G435" s="14">
        <v>200</v>
      </c>
      <c r="H435" s="14">
        <v>0</v>
      </c>
      <c r="I435" s="14">
        <v>0</v>
      </c>
      <c r="J435" s="88">
        <f t="shared" si="31"/>
        <v>200</v>
      </c>
      <c r="K435" s="91"/>
    </row>
    <row r="436" spans="2:11" x14ac:dyDescent="0.45">
      <c r="B436" s="85">
        <f t="shared" si="32"/>
        <v>17</v>
      </c>
      <c r="C436" s="86">
        <v>46254</v>
      </c>
      <c r="D436" s="86" t="s">
        <v>839</v>
      </c>
      <c r="E436" s="11" t="s">
        <v>368</v>
      </c>
      <c r="F436" s="87">
        <v>0</v>
      </c>
      <c r="G436" s="14">
        <v>100</v>
      </c>
      <c r="H436" s="14">
        <v>0</v>
      </c>
      <c r="I436" s="14">
        <v>0</v>
      </c>
      <c r="J436" s="88">
        <f t="shared" si="31"/>
        <v>100</v>
      </c>
      <c r="K436" s="91"/>
    </row>
    <row r="437" spans="2:11" x14ac:dyDescent="0.45">
      <c r="B437" s="85">
        <f t="shared" si="32"/>
        <v>18</v>
      </c>
      <c r="C437" s="86">
        <v>46254</v>
      </c>
      <c r="D437" s="86" t="s">
        <v>840</v>
      </c>
      <c r="E437" s="11" t="s">
        <v>204</v>
      </c>
      <c r="F437" s="87">
        <v>0</v>
      </c>
      <c r="G437" s="14">
        <v>320</v>
      </c>
      <c r="H437" s="14">
        <v>0</v>
      </c>
      <c r="I437" s="14">
        <v>0</v>
      </c>
      <c r="J437" s="88">
        <f t="shared" si="31"/>
        <v>320</v>
      </c>
      <c r="K437" s="91"/>
    </row>
    <row r="438" spans="2:11" x14ac:dyDescent="0.45">
      <c r="B438" s="85">
        <f t="shared" si="32"/>
        <v>19</v>
      </c>
      <c r="C438" s="86">
        <v>46254</v>
      </c>
      <c r="D438" s="86" t="s">
        <v>841</v>
      </c>
      <c r="E438" s="11" t="s">
        <v>369</v>
      </c>
      <c r="F438" s="87">
        <v>0</v>
      </c>
      <c r="G438" s="14">
        <v>220</v>
      </c>
      <c r="H438" s="14">
        <v>0</v>
      </c>
      <c r="I438" s="14">
        <v>0</v>
      </c>
      <c r="J438" s="88">
        <f t="shared" si="31"/>
        <v>220</v>
      </c>
      <c r="K438" s="91"/>
    </row>
    <row r="439" spans="2:11" x14ac:dyDescent="0.45">
      <c r="B439" s="85">
        <f t="shared" si="32"/>
        <v>20</v>
      </c>
      <c r="C439" s="86">
        <v>46254</v>
      </c>
      <c r="D439" s="86" t="s">
        <v>842</v>
      </c>
      <c r="E439" s="76" t="s">
        <v>370</v>
      </c>
      <c r="F439" s="87">
        <v>0</v>
      </c>
      <c r="G439" s="14">
        <v>1900</v>
      </c>
      <c r="H439" s="14">
        <v>200</v>
      </c>
      <c r="I439" s="14">
        <v>0</v>
      </c>
      <c r="J439" s="88">
        <f t="shared" si="31"/>
        <v>1700</v>
      </c>
      <c r="K439" s="91"/>
    </row>
    <row r="440" spans="2:11" x14ac:dyDescent="0.45">
      <c r="B440" s="85">
        <f t="shared" si="32"/>
        <v>21</v>
      </c>
      <c r="C440" s="86">
        <v>46254</v>
      </c>
      <c r="D440" s="86" t="s">
        <v>843</v>
      </c>
      <c r="E440" s="11" t="s">
        <v>110</v>
      </c>
      <c r="F440" s="87">
        <v>0</v>
      </c>
      <c r="G440" s="14">
        <v>880</v>
      </c>
      <c r="H440" s="14">
        <v>0</v>
      </c>
      <c r="I440" s="14">
        <v>0</v>
      </c>
      <c r="J440" s="88">
        <f t="shared" si="31"/>
        <v>880</v>
      </c>
      <c r="K440" s="91"/>
    </row>
    <row r="441" spans="2:11" x14ac:dyDescent="0.45">
      <c r="B441" s="85">
        <f t="shared" si="32"/>
        <v>22</v>
      </c>
      <c r="C441" s="86">
        <v>46254</v>
      </c>
      <c r="D441" s="86" t="s">
        <v>844</v>
      </c>
      <c r="E441" s="11" t="s">
        <v>18</v>
      </c>
      <c r="F441" s="87">
        <v>0</v>
      </c>
      <c r="G441" s="14">
        <v>440</v>
      </c>
      <c r="H441" s="14">
        <v>0</v>
      </c>
      <c r="I441" s="14">
        <v>0</v>
      </c>
      <c r="J441" s="88">
        <f t="shared" si="31"/>
        <v>440</v>
      </c>
      <c r="K441" s="91"/>
    </row>
    <row r="442" spans="2:11" x14ac:dyDescent="0.45">
      <c r="B442" s="85">
        <f t="shared" si="32"/>
        <v>23</v>
      </c>
      <c r="C442" s="86">
        <v>46254</v>
      </c>
      <c r="D442" s="86" t="s">
        <v>845</v>
      </c>
      <c r="E442" s="76" t="s">
        <v>190</v>
      </c>
      <c r="F442" s="87">
        <v>0</v>
      </c>
      <c r="G442" s="14">
        <v>4900</v>
      </c>
      <c r="H442" s="14">
        <v>0</v>
      </c>
      <c r="I442" s="14">
        <v>0</v>
      </c>
      <c r="J442" s="88">
        <f t="shared" si="31"/>
        <v>4900</v>
      </c>
      <c r="K442" s="91"/>
    </row>
    <row r="443" spans="2:11" x14ac:dyDescent="0.45">
      <c r="B443" s="85">
        <f t="shared" si="32"/>
        <v>24</v>
      </c>
      <c r="C443" s="86">
        <v>46254</v>
      </c>
      <c r="D443" s="86" t="s">
        <v>846</v>
      </c>
      <c r="E443" s="11" t="s">
        <v>212</v>
      </c>
      <c r="F443" s="87">
        <v>0</v>
      </c>
      <c r="G443" s="14">
        <v>4100</v>
      </c>
      <c r="H443" s="14">
        <v>860</v>
      </c>
      <c r="I443" s="14">
        <v>0</v>
      </c>
      <c r="J443" s="88">
        <f t="shared" si="31"/>
        <v>3240</v>
      </c>
      <c r="K443" s="91"/>
    </row>
    <row r="444" spans="2:11" x14ac:dyDescent="0.45">
      <c r="B444" s="85">
        <f t="shared" si="32"/>
        <v>25</v>
      </c>
      <c r="C444" s="86">
        <v>46254</v>
      </c>
      <c r="D444" s="86" t="s">
        <v>847</v>
      </c>
      <c r="E444" s="76" t="s">
        <v>371</v>
      </c>
      <c r="F444" s="87">
        <v>0</v>
      </c>
      <c r="G444" s="14">
        <v>2000</v>
      </c>
      <c r="H444" s="14">
        <v>1000</v>
      </c>
      <c r="I444" s="14">
        <v>0</v>
      </c>
      <c r="J444" s="88">
        <f t="shared" si="31"/>
        <v>1000</v>
      </c>
      <c r="K444" s="91"/>
    </row>
    <row r="445" spans="2:11" x14ac:dyDescent="0.45">
      <c r="B445" s="85">
        <v>1</v>
      </c>
      <c r="C445" s="86">
        <v>46255</v>
      </c>
      <c r="D445" s="86" t="s">
        <v>848</v>
      </c>
      <c r="E445" s="11" t="s">
        <v>373</v>
      </c>
      <c r="F445" s="87">
        <v>0</v>
      </c>
      <c r="G445" s="14">
        <v>13690</v>
      </c>
      <c r="H445" s="14">
        <v>3995</v>
      </c>
      <c r="I445" s="14">
        <v>0</v>
      </c>
      <c r="J445" s="88">
        <f>+G445-H445</f>
        <v>9695</v>
      </c>
      <c r="K445" s="89"/>
    </row>
    <row r="446" spans="2:11" x14ac:dyDescent="0.45">
      <c r="B446" s="85">
        <f>+B445+1</f>
        <v>2</v>
      </c>
      <c r="C446" s="86">
        <v>46255</v>
      </c>
      <c r="D446" s="86" t="s">
        <v>849</v>
      </c>
      <c r="E446" s="97" t="s">
        <v>374</v>
      </c>
      <c r="F446" s="87">
        <v>0</v>
      </c>
      <c r="G446" s="14">
        <v>1700</v>
      </c>
      <c r="H446" s="14">
        <v>200</v>
      </c>
      <c r="I446" s="14">
        <v>0</v>
      </c>
      <c r="J446" s="88">
        <f t="shared" ref="J446:J471" si="33">+G446-H446</f>
        <v>1500</v>
      </c>
      <c r="K446" s="90"/>
    </row>
    <row r="447" spans="2:11" x14ac:dyDescent="0.45">
      <c r="B447" s="85">
        <f t="shared" ref="B447:B471" si="34">+B446+1</f>
        <v>3</v>
      </c>
      <c r="C447" s="86">
        <v>46255</v>
      </c>
      <c r="D447" s="86" t="s">
        <v>850</v>
      </c>
      <c r="E447" s="11" t="s">
        <v>290</v>
      </c>
      <c r="F447" s="87">
        <v>0</v>
      </c>
      <c r="G447" s="14">
        <v>1800</v>
      </c>
      <c r="H447" s="14">
        <v>200</v>
      </c>
      <c r="I447" s="14">
        <v>0</v>
      </c>
      <c r="J447" s="88">
        <f t="shared" si="33"/>
        <v>1600</v>
      </c>
      <c r="K447" s="90"/>
    </row>
    <row r="448" spans="2:11" x14ac:dyDescent="0.45">
      <c r="B448" s="85">
        <f t="shared" si="34"/>
        <v>4</v>
      </c>
      <c r="C448" s="86">
        <v>46255</v>
      </c>
      <c r="D448" s="86" t="s">
        <v>851</v>
      </c>
      <c r="E448" s="11" t="s">
        <v>24</v>
      </c>
      <c r="F448" s="87">
        <v>0</v>
      </c>
      <c r="G448" s="14">
        <v>220</v>
      </c>
      <c r="H448" s="14">
        <v>0</v>
      </c>
      <c r="I448" s="14">
        <v>0</v>
      </c>
      <c r="J448" s="88">
        <f t="shared" si="33"/>
        <v>220</v>
      </c>
      <c r="K448" s="91"/>
    </row>
    <row r="449" spans="2:11" x14ac:dyDescent="0.45">
      <c r="B449" s="85">
        <f t="shared" si="34"/>
        <v>5</v>
      </c>
      <c r="C449" s="86">
        <v>46255</v>
      </c>
      <c r="D449" s="86" t="s">
        <v>852</v>
      </c>
      <c r="E449" s="11" t="s">
        <v>287</v>
      </c>
      <c r="F449" s="87">
        <v>0</v>
      </c>
      <c r="G449" s="14">
        <v>220</v>
      </c>
      <c r="H449" s="14">
        <v>0</v>
      </c>
      <c r="I449" s="14">
        <v>0</v>
      </c>
      <c r="J449" s="88">
        <f t="shared" si="33"/>
        <v>220</v>
      </c>
      <c r="K449" s="89"/>
    </row>
    <row r="450" spans="2:11" x14ac:dyDescent="0.45">
      <c r="B450" s="85">
        <f t="shared" si="34"/>
        <v>6</v>
      </c>
      <c r="C450" s="86">
        <v>46255</v>
      </c>
      <c r="D450" s="86" t="s">
        <v>853</v>
      </c>
      <c r="E450" s="76" t="s">
        <v>375</v>
      </c>
      <c r="F450" s="87">
        <v>0</v>
      </c>
      <c r="G450" s="14">
        <v>1800</v>
      </c>
      <c r="H450" s="14">
        <v>600</v>
      </c>
      <c r="I450" s="14">
        <v>0</v>
      </c>
      <c r="J450" s="88">
        <f t="shared" si="33"/>
        <v>1200</v>
      </c>
      <c r="K450" s="91"/>
    </row>
    <row r="451" spans="2:11" x14ac:dyDescent="0.45">
      <c r="B451" s="85">
        <f t="shared" si="34"/>
        <v>7</v>
      </c>
      <c r="C451" s="86">
        <v>46255</v>
      </c>
      <c r="D451" s="86" t="s">
        <v>854</v>
      </c>
      <c r="E451" s="11" t="s">
        <v>101</v>
      </c>
      <c r="F451" s="87">
        <v>0</v>
      </c>
      <c r="G451" s="14">
        <v>220</v>
      </c>
      <c r="H451" s="14">
        <v>0</v>
      </c>
      <c r="I451" s="14">
        <v>0</v>
      </c>
      <c r="J451" s="88">
        <f t="shared" si="33"/>
        <v>220</v>
      </c>
      <c r="K451" s="91"/>
    </row>
    <row r="452" spans="2:11" x14ac:dyDescent="0.45">
      <c r="B452" s="85">
        <f t="shared" si="34"/>
        <v>8</v>
      </c>
      <c r="C452" s="86">
        <v>46255</v>
      </c>
      <c r="D452" s="86" t="s">
        <v>855</v>
      </c>
      <c r="E452" s="76" t="s">
        <v>376</v>
      </c>
      <c r="F452" s="87">
        <v>0</v>
      </c>
      <c r="G452" s="14">
        <v>1900</v>
      </c>
      <c r="H452" s="14">
        <v>0</v>
      </c>
      <c r="I452" s="14">
        <v>0</v>
      </c>
      <c r="J452" s="88">
        <f t="shared" si="33"/>
        <v>1900</v>
      </c>
      <c r="K452" s="91"/>
    </row>
    <row r="453" spans="2:11" x14ac:dyDescent="0.45">
      <c r="B453" s="85">
        <f t="shared" si="34"/>
        <v>9</v>
      </c>
      <c r="C453" s="86">
        <v>46255</v>
      </c>
      <c r="D453" s="86" t="s">
        <v>856</v>
      </c>
      <c r="E453" s="11" t="s">
        <v>377</v>
      </c>
      <c r="F453" s="87">
        <v>0</v>
      </c>
      <c r="G453" s="14">
        <v>100</v>
      </c>
      <c r="H453" s="14">
        <v>0</v>
      </c>
      <c r="I453" s="14">
        <v>0</v>
      </c>
      <c r="J453" s="88">
        <f t="shared" si="33"/>
        <v>100</v>
      </c>
      <c r="K453" s="91"/>
    </row>
    <row r="454" spans="2:11" x14ac:dyDescent="0.45">
      <c r="B454" s="85">
        <f t="shared" si="34"/>
        <v>10</v>
      </c>
      <c r="C454" s="86">
        <v>46255</v>
      </c>
      <c r="D454" s="86" t="s">
        <v>857</v>
      </c>
      <c r="E454" s="11" t="s">
        <v>89</v>
      </c>
      <c r="F454" s="87">
        <v>0</v>
      </c>
      <c r="G454" s="14">
        <v>3340</v>
      </c>
      <c r="H454" s="14">
        <v>400</v>
      </c>
      <c r="I454" s="14">
        <v>0</v>
      </c>
      <c r="J454" s="88">
        <f t="shared" si="33"/>
        <v>2940</v>
      </c>
      <c r="K454" s="91"/>
    </row>
    <row r="455" spans="2:11" x14ac:dyDescent="0.45">
      <c r="B455" s="85">
        <f t="shared" si="34"/>
        <v>11</v>
      </c>
      <c r="C455" s="86">
        <v>46255</v>
      </c>
      <c r="D455" s="86" t="s">
        <v>858</v>
      </c>
      <c r="E455" s="11" t="s">
        <v>89</v>
      </c>
      <c r="F455" s="87">
        <v>0</v>
      </c>
      <c r="G455" s="14">
        <v>5880</v>
      </c>
      <c r="H455" s="14">
        <v>600</v>
      </c>
      <c r="I455" s="14">
        <v>0</v>
      </c>
      <c r="J455" s="88">
        <f t="shared" si="33"/>
        <v>5280</v>
      </c>
      <c r="K455" s="89"/>
    </row>
    <row r="456" spans="2:11" x14ac:dyDescent="0.45">
      <c r="B456" s="85">
        <f t="shared" si="34"/>
        <v>12</v>
      </c>
      <c r="C456" s="86">
        <v>46255</v>
      </c>
      <c r="D456" s="86" t="s">
        <v>859</v>
      </c>
      <c r="E456" s="11" t="s">
        <v>107</v>
      </c>
      <c r="F456" s="87">
        <v>0</v>
      </c>
      <c r="G456" s="14">
        <v>12560</v>
      </c>
      <c r="H456" s="14">
        <v>1200</v>
      </c>
      <c r="I456" s="14">
        <v>0</v>
      </c>
      <c r="J456" s="88">
        <f t="shared" si="33"/>
        <v>11360</v>
      </c>
      <c r="K456" s="91"/>
    </row>
    <row r="457" spans="2:11" x14ac:dyDescent="0.45">
      <c r="B457" s="85">
        <f t="shared" si="34"/>
        <v>13</v>
      </c>
      <c r="C457" s="86">
        <v>46255</v>
      </c>
      <c r="D457" s="86" t="s">
        <v>860</v>
      </c>
      <c r="E457" s="11" t="s">
        <v>378</v>
      </c>
      <c r="F457" s="87">
        <v>0</v>
      </c>
      <c r="G457" s="14">
        <v>2500</v>
      </c>
      <c r="H457" s="14">
        <v>750</v>
      </c>
      <c r="I457" s="14">
        <v>0</v>
      </c>
      <c r="J457" s="88">
        <f t="shared" si="33"/>
        <v>1750</v>
      </c>
      <c r="K457" s="91"/>
    </row>
    <row r="458" spans="2:11" x14ac:dyDescent="0.45">
      <c r="B458" s="85">
        <f t="shared" si="34"/>
        <v>14</v>
      </c>
      <c r="C458" s="86">
        <v>46255</v>
      </c>
      <c r="D458" s="86" t="s">
        <v>861</v>
      </c>
      <c r="E458" s="97" t="s">
        <v>379</v>
      </c>
      <c r="F458" s="87">
        <v>0</v>
      </c>
      <c r="G458" s="14">
        <f>1900+4970</f>
        <v>6870</v>
      </c>
      <c r="H458" s="14">
        <v>1900</v>
      </c>
      <c r="I458" s="14">
        <v>0</v>
      </c>
      <c r="J458" s="88">
        <f t="shared" si="33"/>
        <v>4970</v>
      </c>
      <c r="K458" s="91"/>
    </row>
    <row r="459" spans="2:11" x14ac:dyDescent="0.45">
      <c r="B459" s="85">
        <f t="shared" si="34"/>
        <v>15</v>
      </c>
      <c r="C459" s="86">
        <v>46255</v>
      </c>
      <c r="D459" s="86" t="s">
        <v>862</v>
      </c>
      <c r="E459" s="11" t="s">
        <v>380</v>
      </c>
      <c r="F459" s="87">
        <v>0</v>
      </c>
      <c r="G459" s="14">
        <v>1900</v>
      </c>
      <c r="H459" s="14">
        <v>300</v>
      </c>
      <c r="I459" s="14">
        <v>0</v>
      </c>
      <c r="J459" s="88">
        <f t="shared" si="33"/>
        <v>1600</v>
      </c>
      <c r="K459" s="91"/>
    </row>
    <row r="460" spans="2:11" x14ac:dyDescent="0.45">
      <c r="B460" s="85">
        <f t="shared" si="34"/>
        <v>16</v>
      </c>
      <c r="C460" s="86">
        <v>46255</v>
      </c>
      <c r="D460" s="86" t="s">
        <v>863</v>
      </c>
      <c r="E460" s="76" t="s">
        <v>381</v>
      </c>
      <c r="F460" s="87">
        <v>0</v>
      </c>
      <c r="G460" s="14">
        <v>7000</v>
      </c>
      <c r="H460" s="14">
        <v>2100</v>
      </c>
      <c r="I460" s="14">
        <v>0</v>
      </c>
      <c r="J460" s="88">
        <f t="shared" si="33"/>
        <v>4900</v>
      </c>
      <c r="K460" s="91"/>
    </row>
    <row r="461" spans="2:11" x14ac:dyDescent="0.45">
      <c r="B461" s="85">
        <f t="shared" si="34"/>
        <v>17</v>
      </c>
      <c r="C461" s="86">
        <v>46255</v>
      </c>
      <c r="D461" s="86" t="s">
        <v>864</v>
      </c>
      <c r="E461" s="76" t="s">
        <v>382</v>
      </c>
      <c r="F461" s="87">
        <v>0</v>
      </c>
      <c r="G461" s="14">
        <v>1800</v>
      </c>
      <c r="H461" s="14">
        <v>1800</v>
      </c>
      <c r="I461" s="14">
        <v>0</v>
      </c>
      <c r="J461" s="88">
        <f t="shared" si="33"/>
        <v>0</v>
      </c>
      <c r="K461" s="91"/>
    </row>
    <row r="462" spans="2:11" x14ac:dyDescent="0.45">
      <c r="B462" s="85">
        <f t="shared" si="34"/>
        <v>18</v>
      </c>
      <c r="C462" s="86">
        <v>46255</v>
      </c>
      <c r="D462" s="86" t="s">
        <v>865</v>
      </c>
      <c r="E462" s="76" t="s">
        <v>383</v>
      </c>
      <c r="F462" s="87">
        <v>0</v>
      </c>
      <c r="G462" s="14">
        <v>1900</v>
      </c>
      <c r="H462" s="14">
        <v>200</v>
      </c>
      <c r="I462" s="14">
        <v>0</v>
      </c>
      <c r="J462" s="88">
        <f t="shared" si="33"/>
        <v>1700</v>
      </c>
      <c r="K462" s="91"/>
    </row>
    <row r="463" spans="2:11" x14ac:dyDescent="0.45">
      <c r="B463" s="85">
        <f t="shared" si="34"/>
        <v>19</v>
      </c>
      <c r="C463" s="86">
        <v>46255</v>
      </c>
      <c r="D463" s="86" t="s">
        <v>866</v>
      </c>
      <c r="E463" s="76" t="s">
        <v>384</v>
      </c>
      <c r="F463" s="87">
        <v>0</v>
      </c>
      <c r="G463" s="14">
        <v>1800</v>
      </c>
      <c r="H463" s="14">
        <v>500</v>
      </c>
      <c r="I463" s="14">
        <v>0</v>
      </c>
      <c r="J463" s="88">
        <f t="shared" si="33"/>
        <v>1300</v>
      </c>
      <c r="K463" s="91"/>
    </row>
    <row r="464" spans="2:11" x14ac:dyDescent="0.45">
      <c r="B464" s="85">
        <f t="shared" si="34"/>
        <v>20</v>
      </c>
      <c r="C464" s="86">
        <v>46255</v>
      </c>
      <c r="D464" s="86" t="s">
        <v>867</v>
      </c>
      <c r="E464" s="76" t="s">
        <v>385</v>
      </c>
      <c r="F464" s="87">
        <v>0</v>
      </c>
      <c r="G464" s="14">
        <v>1800</v>
      </c>
      <c r="H464" s="14">
        <v>300</v>
      </c>
      <c r="I464" s="14">
        <v>0</v>
      </c>
      <c r="J464" s="88">
        <f t="shared" si="33"/>
        <v>1500</v>
      </c>
      <c r="K464" s="91"/>
    </row>
    <row r="465" spans="2:11" x14ac:dyDescent="0.45">
      <c r="B465" s="85">
        <f t="shared" si="34"/>
        <v>21</v>
      </c>
      <c r="C465" s="86">
        <v>46255</v>
      </c>
      <c r="D465" s="86" t="s">
        <v>868</v>
      </c>
      <c r="E465" s="76" t="s">
        <v>386</v>
      </c>
      <c r="F465" s="87">
        <v>0</v>
      </c>
      <c r="G465" s="14">
        <v>1900</v>
      </c>
      <c r="H465" s="14">
        <v>570</v>
      </c>
      <c r="I465" s="14">
        <v>0</v>
      </c>
      <c r="J465" s="88">
        <f t="shared" si="33"/>
        <v>1330</v>
      </c>
      <c r="K465" s="91"/>
    </row>
    <row r="466" spans="2:11" x14ac:dyDescent="0.45">
      <c r="B466" s="85">
        <f t="shared" si="34"/>
        <v>22</v>
      </c>
      <c r="C466" s="86">
        <v>46255</v>
      </c>
      <c r="D466" s="86" t="s">
        <v>869</v>
      </c>
      <c r="E466" s="76" t="s">
        <v>387</v>
      </c>
      <c r="F466" s="87">
        <v>0</v>
      </c>
      <c r="G466" s="14">
        <v>1700</v>
      </c>
      <c r="H466" s="14">
        <v>500</v>
      </c>
      <c r="I466" s="14">
        <v>0</v>
      </c>
      <c r="J466" s="88">
        <f t="shared" si="33"/>
        <v>1200</v>
      </c>
      <c r="K466" s="91"/>
    </row>
    <row r="467" spans="2:11" x14ac:dyDescent="0.45">
      <c r="B467" s="85">
        <f t="shared" si="34"/>
        <v>23</v>
      </c>
      <c r="C467" s="86">
        <v>46255</v>
      </c>
      <c r="D467" s="86" t="s">
        <v>870</v>
      </c>
      <c r="E467" s="11" t="s">
        <v>388</v>
      </c>
      <c r="F467" s="87">
        <v>0</v>
      </c>
      <c r="G467" s="14">
        <v>1500</v>
      </c>
      <c r="H467" s="14">
        <v>0</v>
      </c>
      <c r="I467" s="14">
        <v>0</v>
      </c>
      <c r="J467" s="88">
        <f t="shared" si="33"/>
        <v>1500</v>
      </c>
      <c r="K467" s="91"/>
    </row>
    <row r="468" spans="2:11" x14ac:dyDescent="0.45">
      <c r="B468" s="85">
        <f t="shared" si="34"/>
        <v>24</v>
      </c>
      <c r="C468" s="86">
        <v>46255</v>
      </c>
      <c r="D468" s="86" t="s">
        <v>871</v>
      </c>
      <c r="E468" s="76" t="s">
        <v>389</v>
      </c>
      <c r="F468" s="87">
        <v>0</v>
      </c>
      <c r="G468" s="14">
        <v>1900</v>
      </c>
      <c r="H468" s="14">
        <v>900</v>
      </c>
      <c r="I468" s="14">
        <v>0</v>
      </c>
      <c r="J468" s="88">
        <f t="shared" si="33"/>
        <v>1000</v>
      </c>
      <c r="K468" s="91"/>
    </row>
    <row r="469" spans="2:11" x14ac:dyDescent="0.45">
      <c r="B469" s="85">
        <f t="shared" si="34"/>
        <v>25</v>
      </c>
      <c r="C469" s="86">
        <v>46255</v>
      </c>
      <c r="D469" s="86" t="s">
        <v>872</v>
      </c>
      <c r="E469" s="76" t="s">
        <v>390</v>
      </c>
      <c r="F469" s="87">
        <v>0</v>
      </c>
      <c r="G469" s="14">
        <v>1800</v>
      </c>
      <c r="H469" s="14">
        <v>400</v>
      </c>
      <c r="I469" s="14">
        <v>0</v>
      </c>
      <c r="J469" s="88">
        <f t="shared" si="33"/>
        <v>1400</v>
      </c>
      <c r="K469" s="91"/>
    </row>
    <row r="470" spans="2:11" x14ac:dyDescent="0.45">
      <c r="B470" s="85">
        <f t="shared" si="34"/>
        <v>26</v>
      </c>
      <c r="C470" s="86">
        <v>46255</v>
      </c>
      <c r="D470" s="86" t="s">
        <v>873</v>
      </c>
      <c r="E470" s="76" t="s">
        <v>104</v>
      </c>
      <c r="F470" s="87">
        <v>0</v>
      </c>
      <c r="G470" s="14">
        <v>1700</v>
      </c>
      <c r="H470" s="14">
        <v>0</v>
      </c>
      <c r="I470" s="14">
        <v>0</v>
      </c>
      <c r="J470" s="88">
        <f t="shared" si="33"/>
        <v>1700</v>
      </c>
      <c r="K470" s="91"/>
    </row>
    <row r="471" spans="2:11" x14ac:dyDescent="0.45">
      <c r="B471" s="85">
        <f t="shared" si="34"/>
        <v>27</v>
      </c>
      <c r="C471" s="86">
        <v>46255</v>
      </c>
      <c r="D471" s="86" t="s">
        <v>874</v>
      </c>
      <c r="E471" s="76" t="s">
        <v>204</v>
      </c>
      <c r="F471" s="87">
        <v>0</v>
      </c>
      <c r="G471" s="14">
        <v>1080</v>
      </c>
      <c r="H471" s="14">
        <v>0</v>
      </c>
      <c r="I471" s="14">
        <v>0</v>
      </c>
      <c r="J471" s="88">
        <f t="shared" si="33"/>
        <v>1080</v>
      </c>
      <c r="K471" s="91"/>
    </row>
    <row r="472" spans="2:11" x14ac:dyDescent="0.45">
      <c r="B472" s="85">
        <v>1</v>
      </c>
      <c r="C472" s="86">
        <v>46256</v>
      </c>
      <c r="D472" s="86" t="s">
        <v>875</v>
      </c>
      <c r="E472" s="11"/>
      <c r="F472" s="87">
        <v>0</v>
      </c>
      <c r="G472" s="14">
        <f>3500*3</f>
        <v>10500</v>
      </c>
      <c r="H472" s="14">
        <f>1050*3</f>
        <v>3150</v>
      </c>
      <c r="I472" s="14">
        <v>0</v>
      </c>
      <c r="J472" s="88">
        <f>+G472-H472</f>
        <v>7350</v>
      </c>
      <c r="K472" s="89"/>
    </row>
    <row r="473" spans="2:11" x14ac:dyDescent="0.45">
      <c r="B473" s="85">
        <f>+B472+1</f>
        <v>2</v>
      </c>
      <c r="C473" s="86">
        <v>46256</v>
      </c>
      <c r="D473" s="86" t="s">
        <v>876</v>
      </c>
      <c r="E473" s="11"/>
      <c r="F473" s="87">
        <v>0</v>
      </c>
      <c r="G473" s="14">
        <v>1700</v>
      </c>
      <c r="H473" s="14">
        <v>200</v>
      </c>
      <c r="I473" s="14">
        <v>0</v>
      </c>
      <c r="J473" s="88">
        <f t="shared" ref="J473:J480" si="35">+G473-H473</f>
        <v>1500</v>
      </c>
      <c r="K473" s="90"/>
    </row>
    <row r="474" spans="2:11" x14ac:dyDescent="0.45">
      <c r="B474" s="85">
        <f t="shared" ref="B474:B480" si="36">+B473+1</f>
        <v>3</v>
      </c>
      <c r="C474" s="86">
        <v>46256</v>
      </c>
      <c r="D474" s="86" t="s">
        <v>877</v>
      </c>
      <c r="E474" s="11"/>
      <c r="F474" s="87">
        <v>0</v>
      </c>
      <c r="G474" s="14">
        <v>1700</v>
      </c>
      <c r="H474" s="14">
        <v>200</v>
      </c>
      <c r="I474" s="14">
        <v>0</v>
      </c>
      <c r="J474" s="88">
        <f t="shared" si="35"/>
        <v>1500</v>
      </c>
      <c r="K474" s="90"/>
    </row>
    <row r="475" spans="2:11" x14ac:dyDescent="0.45">
      <c r="B475" s="85">
        <f t="shared" si="36"/>
        <v>4</v>
      </c>
      <c r="C475" s="86">
        <v>46256</v>
      </c>
      <c r="D475" s="86" t="s">
        <v>878</v>
      </c>
      <c r="E475" s="11"/>
      <c r="F475" s="87">
        <v>0</v>
      </c>
      <c r="G475" s="14">
        <v>1800</v>
      </c>
      <c r="H475" s="14">
        <v>300</v>
      </c>
      <c r="I475" s="14">
        <v>0</v>
      </c>
      <c r="J475" s="88">
        <f t="shared" si="35"/>
        <v>1500</v>
      </c>
      <c r="K475" s="91"/>
    </row>
    <row r="476" spans="2:11" x14ac:dyDescent="0.45">
      <c r="B476" s="85">
        <f t="shared" si="36"/>
        <v>5</v>
      </c>
      <c r="C476" s="86">
        <v>46256</v>
      </c>
      <c r="D476" s="86" t="s">
        <v>879</v>
      </c>
      <c r="E476" s="11"/>
      <c r="F476" s="87">
        <v>0</v>
      </c>
      <c r="G476" s="14">
        <v>1900</v>
      </c>
      <c r="H476" s="14">
        <v>0</v>
      </c>
      <c r="I476" s="14">
        <v>0</v>
      </c>
      <c r="J476" s="88">
        <f t="shared" si="35"/>
        <v>1900</v>
      </c>
      <c r="K476" s="89"/>
    </row>
    <row r="477" spans="2:11" x14ac:dyDescent="0.45">
      <c r="B477" s="85">
        <f t="shared" si="36"/>
        <v>6</v>
      </c>
      <c r="C477" s="86">
        <v>46256</v>
      </c>
      <c r="D477" s="86" t="s">
        <v>880</v>
      </c>
      <c r="E477" s="11"/>
      <c r="F477" s="87">
        <v>0</v>
      </c>
      <c r="G477" s="14">
        <v>2680</v>
      </c>
      <c r="H477" s="14">
        <v>300</v>
      </c>
      <c r="I477" s="14">
        <v>0</v>
      </c>
      <c r="J477" s="88">
        <f t="shared" si="35"/>
        <v>2380</v>
      </c>
      <c r="K477" s="91"/>
    </row>
    <row r="478" spans="2:11" x14ac:dyDescent="0.45">
      <c r="B478" s="85">
        <f t="shared" si="36"/>
        <v>7</v>
      </c>
      <c r="C478" s="86">
        <v>46256</v>
      </c>
      <c r="D478" s="86" t="s">
        <v>881</v>
      </c>
      <c r="E478" s="11"/>
      <c r="F478" s="87">
        <v>0</v>
      </c>
      <c r="G478" s="14">
        <v>1800</v>
      </c>
      <c r="H478" s="14">
        <v>400</v>
      </c>
      <c r="I478" s="14">
        <v>0</v>
      </c>
      <c r="J478" s="88">
        <f t="shared" si="35"/>
        <v>1400</v>
      </c>
      <c r="K478" s="91"/>
    </row>
    <row r="479" spans="2:11" x14ac:dyDescent="0.45">
      <c r="B479" s="85">
        <f t="shared" si="36"/>
        <v>8</v>
      </c>
      <c r="C479" s="86">
        <v>46256</v>
      </c>
      <c r="D479" s="86" t="s">
        <v>882</v>
      </c>
      <c r="E479" s="11"/>
      <c r="F479" s="87">
        <v>0</v>
      </c>
      <c r="G479" s="14">
        <v>5900</v>
      </c>
      <c r="H479" s="14">
        <v>0</v>
      </c>
      <c r="I479" s="14">
        <v>0</v>
      </c>
      <c r="J479" s="88">
        <f t="shared" si="35"/>
        <v>5900</v>
      </c>
      <c r="K479" s="91"/>
    </row>
    <row r="480" spans="2:11" x14ac:dyDescent="0.45">
      <c r="B480" s="85">
        <f t="shared" si="36"/>
        <v>9</v>
      </c>
      <c r="C480" s="86">
        <v>46256</v>
      </c>
      <c r="D480" s="86" t="s">
        <v>883</v>
      </c>
      <c r="E480" s="11"/>
      <c r="F480" s="87">
        <v>0</v>
      </c>
      <c r="G480" s="14">
        <v>9370</v>
      </c>
      <c r="H480" s="14">
        <v>2510</v>
      </c>
      <c r="I480" s="14">
        <v>0</v>
      </c>
      <c r="J480" s="88">
        <f t="shared" si="35"/>
        <v>6860</v>
      </c>
      <c r="K480" s="91"/>
    </row>
    <row r="481" spans="2:11" x14ac:dyDescent="0.45">
      <c r="B481" s="85">
        <v>1</v>
      </c>
      <c r="C481" s="86">
        <v>46258</v>
      </c>
      <c r="D481" s="86" t="s">
        <v>884</v>
      </c>
      <c r="E481" s="11"/>
      <c r="F481" s="87">
        <v>0</v>
      </c>
      <c r="G481" s="14">
        <v>1900</v>
      </c>
      <c r="H481" s="14">
        <v>570</v>
      </c>
      <c r="I481" s="14">
        <v>0</v>
      </c>
      <c r="J481" s="88">
        <f>+G481-H481</f>
        <v>1330</v>
      </c>
      <c r="K481" s="89"/>
    </row>
    <row r="482" spans="2:11" x14ac:dyDescent="0.45">
      <c r="B482" s="85">
        <f>+B481+1</f>
        <v>2</v>
      </c>
      <c r="C482" s="86">
        <v>46258</v>
      </c>
      <c r="D482" s="86" t="s">
        <v>885</v>
      </c>
      <c r="E482" s="11"/>
      <c r="F482" s="87">
        <v>0</v>
      </c>
      <c r="G482" s="14">
        <v>2000</v>
      </c>
      <c r="H482" s="14">
        <v>300</v>
      </c>
      <c r="I482" s="14">
        <v>0</v>
      </c>
      <c r="J482" s="88">
        <f t="shared" ref="J482:J506" si="37">+G482-H482</f>
        <v>1700</v>
      </c>
      <c r="K482" s="90"/>
    </row>
    <row r="483" spans="2:11" x14ac:dyDescent="0.45">
      <c r="B483" s="85">
        <f t="shared" ref="B483:B506" si="38">+B482+1</f>
        <v>3</v>
      </c>
      <c r="C483" s="86">
        <v>46258</v>
      </c>
      <c r="D483" s="86" t="s">
        <v>886</v>
      </c>
      <c r="E483" s="11"/>
      <c r="F483" s="87">
        <v>0</v>
      </c>
      <c r="G483" s="14">
        <v>1800</v>
      </c>
      <c r="H483" s="14">
        <v>0</v>
      </c>
      <c r="I483" s="14">
        <v>0</v>
      </c>
      <c r="J483" s="88">
        <f t="shared" si="37"/>
        <v>1800</v>
      </c>
      <c r="K483" s="90"/>
    </row>
    <row r="484" spans="2:11" x14ac:dyDescent="0.45">
      <c r="B484" s="85">
        <f t="shared" si="38"/>
        <v>4</v>
      </c>
      <c r="C484" s="86">
        <v>46258</v>
      </c>
      <c r="D484" s="86" t="s">
        <v>887</v>
      </c>
      <c r="E484" s="11"/>
      <c r="F484" s="87">
        <v>0</v>
      </c>
      <c r="G484" s="14">
        <v>1700</v>
      </c>
      <c r="H484" s="14">
        <v>200</v>
      </c>
      <c r="I484" s="14">
        <v>0</v>
      </c>
      <c r="J484" s="88">
        <f t="shared" si="37"/>
        <v>1500</v>
      </c>
      <c r="K484" s="91"/>
    </row>
    <row r="485" spans="2:11" x14ac:dyDescent="0.45">
      <c r="B485" s="85">
        <f t="shared" si="38"/>
        <v>5</v>
      </c>
      <c r="C485" s="86">
        <v>46258</v>
      </c>
      <c r="D485" s="86" t="s">
        <v>888</v>
      </c>
      <c r="E485" s="11"/>
      <c r="F485" s="87">
        <v>0</v>
      </c>
      <c r="G485" s="14">
        <v>440</v>
      </c>
      <c r="H485" s="14">
        <v>0</v>
      </c>
      <c r="I485" s="14">
        <v>0</v>
      </c>
      <c r="J485" s="88">
        <f t="shared" si="37"/>
        <v>440</v>
      </c>
      <c r="K485" s="89"/>
    </row>
    <row r="486" spans="2:11" x14ac:dyDescent="0.45">
      <c r="B486" s="85">
        <f t="shared" si="38"/>
        <v>6</v>
      </c>
      <c r="C486" s="86">
        <v>46258</v>
      </c>
      <c r="D486" s="86" t="s">
        <v>889</v>
      </c>
      <c r="E486" s="11"/>
      <c r="F486" s="87">
        <v>0</v>
      </c>
      <c r="G486" s="14">
        <v>3000</v>
      </c>
      <c r="H486" s="14">
        <v>1000</v>
      </c>
      <c r="I486" s="14">
        <v>0</v>
      </c>
      <c r="J486" s="88">
        <f t="shared" si="37"/>
        <v>2000</v>
      </c>
      <c r="K486" s="91"/>
    </row>
    <row r="487" spans="2:11" x14ac:dyDescent="0.45">
      <c r="B487" s="85">
        <f t="shared" si="38"/>
        <v>7</v>
      </c>
      <c r="C487" s="86">
        <v>46258</v>
      </c>
      <c r="D487" s="86" t="s">
        <v>890</v>
      </c>
      <c r="E487" s="11"/>
      <c r="F487" s="87">
        <v>0</v>
      </c>
      <c r="G487" s="14">
        <v>660</v>
      </c>
      <c r="H487" s="14">
        <v>0</v>
      </c>
      <c r="I487" s="14">
        <v>0</v>
      </c>
      <c r="J487" s="88">
        <f t="shared" si="37"/>
        <v>660</v>
      </c>
      <c r="K487" s="91"/>
    </row>
    <row r="488" spans="2:11" x14ac:dyDescent="0.45">
      <c r="B488" s="85">
        <f t="shared" si="38"/>
        <v>8</v>
      </c>
      <c r="C488" s="86">
        <v>46258</v>
      </c>
      <c r="D488" s="86" t="s">
        <v>891</v>
      </c>
      <c r="E488" s="11"/>
      <c r="F488" s="87">
        <v>0</v>
      </c>
      <c r="G488" s="14">
        <v>5900</v>
      </c>
      <c r="H488" s="14">
        <v>1770</v>
      </c>
      <c r="I488" s="14">
        <v>0</v>
      </c>
      <c r="J488" s="88">
        <f t="shared" si="37"/>
        <v>4130</v>
      </c>
      <c r="K488" s="91"/>
    </row>
    <row r="489" spans="2:11" x14ac:dyDescent="0.45">
      <c r="B489" s="85">
        <f t="shared" si="38"/>
        <v>9</v>
      </c>
      <c r="C489" s="86">
        <v>46258</v>
      </c>
      <c r="D489" s="86" t="s">
        <v>892</v>
      </c>
      <c r="E489" s="11"/>
      <c r="F489" s="87">
        <v>0</v>
      </c>
      <c r="G489" s="14">
        <v>2200</v>
      </c>
      <c r="H489" s="14">
        <v>0</v>
      </c>
      <c r="I489" s="14">
        <v>0</v>
      </c>
      <c r="J489" s="88">
        <f t="shared" si="37"/>
        <v>2200</v>
      </c>
      <c r="K489" s="91"/>
    </row>
    <row r="490" spans="2:11" x14ac:dyDescent="0.45">
      <c r="B490" s="85">
        <f t="shared" si="38"/>
        <v>10</v>
      </c>
      <c r="C490" s="86">
        <v>46258</v>
      </c>
      <c r="D490" s="86" t="s">
        <v>893</v>
      </c>
      <c r="E490" s="11"/>
      <c r="F490" s="87">
        <v>0</v>
      </c>
      <c r="G490" s="14">
        <v>2500</v>
      </c>
      <c r="H490" s="14">
        <v>0</v>
      </c>
      <c r="I490" s="14">
        <v>0</v>
      </c>
      <c r="J490" s="88">
        <f t="shared" si="37"/>
        <v>2500</v>
      </c>
      <c r="K490" s="91"/>
    </row>
    <row r="491" spans="2:11" x14ac:dyDescent="0.45">
      <c r="B491" s="85">
        <f t="shared" si="38"/>
        <v>11</v>
      </c>
      <c r="C491" s="86">
        <v>46258</v>
      </c>
      <c r="D491" s="86" t="s">
        <v>894</v>
      </c>
      <c r="E491" s="11"/>
      <c r="F491" s="87">
        <v>0</v>
      </c>
      <c r="G491" s="14">
        <f>2500+1820</f>
        <v>4320</v>
      </c>
      <c r="H491" s="14">
        <v>750</v>
      </c>
      <c r="I491" s="14">
        <v>0</v>
      </c>
      <c r="J491" s="88">
        <f t="shared" si="37"/>
        <v>3570</v>
      </c>
      <c r="K491" s="89"/>
    </row>
    <row r="492" spans="2:11" x14ac:dyDescent="0.45">
      <c r="B492" s="85">
        <f t="shared" si="38"/>
        <v>12</v>
      </c>
      <c r="C492" s="86">
        <v>46258</v>
      </c>
      <c r="D492" s="86" t="s">
        <v>895</v>
      </c>
      <c r="E492" s="11"/>
      <c r="F492" s="87">
        <v>0</v>
      </c>
      <c r="G492" s="14">
        <v>1700</v>
      </c>
      <c r="H492" s="14">
        <v>0</v>
      </c>
      <c r="I492" s="14">
        <v>0</v>
      </c>
      <c r="J492" s="88">
        <f t="shared" si="37"/>
        <v>1700</v>
      </c>
      <c r="K492" s="91"/>
    </row>
    <row r="493" spans="2:11" x14ac:dyDescent="0.45">
      <c r="B493" s="85">
        <f t="shared" si="38"/>
        <v>13</v>
      </c>
      <c r="C493" s="86">
        <v>46258</v>
      </c>
      <c r="D493" s="86" t="s">
        <v>896</v>
      </c>
      <c r="E493" s="11"/>
      <c r="F493" s="87">
        <v>0</v>
      </c>
      <c r="G493" s="14">
        <v>2000</v>
      </c>
      <c r="H493" s="14">
        <v>200</v>
      </c>
      <c r="I493" s="14">
        <v>0</v>
      </c>
      <c r="J493" s="88">
        <f t="shared" si="37"/>
        <v>1800</v>
      </c>
      <c r="K493" s="91"/>
    </row>
    <row r="494" spans="2:11" x14ac:dyDescent="0.45">
      <c r="B494" s="85">
        <f t="shared" si="38"/>
        <v>14</v>
      </c>
      <c r="C494" s="86">
        <v>46258</v>
      </c>
      <c r="D494" s="86" t="s">
        <v>897</v>
      </c>
      <c r="E494" s="11"/>
      <c r="F494" s="87">
        <v>0</v>
      </c>
      <c r="G494" s="14">
        <v>2500</v>
      </c>
      <c r="H494" s="14">
        <v>0</v>
      </c>
      <c r="I494" s="14">
        <v>0</v>
      </c>
      <c r="J494" s="88">
        <f t="shared" si="37"/>
        <v>2500</v>
      </c>
      <c r="K494" s="91"/>
    </row>
    <row r="495" spans="2:11" x14ac:dyDescent="0.45">
      <c r="B495" s="85">
        <f t="shared" si="38"/>
        <v>15</v>
      </c>
      <c r="C495" s="86">
        <v>46258</v>
      </c>
      <c r="D495" s="86" t="s">
        <v>898</v>
      </c>
      <c r="E495" s="11"/>
      <c r="F495" s="87">
        <v>0</v>
      </c>
      <c r="G495" s="14">
        <v>4900</v>
      </c>
      <c r="H495" s="14">
        <v>1470</v>
      </c>
      <c r="I495" s="14">
        <v>0</v>
      </c>
      <c r="J495" s="88">
        <f t="shared" si="37"/>
        <v>3430</v>
      </c>
      <c r="K495" s="91"/>
    </row>
    <row r="496" spans="2:11" x14ac:dyDescent="0.45">
      <c r="B496" s="85">
        <f t="shared" si="38"/>
        <v>16</v>
      </c>
      <c r="C496" s="86">
        <v>46258</v>
      </c>
      <c r="D496" s="86" t="s">
        <v>899</v>
      </c>
      <c r="E496" s="11"/>
      <c r="F496" s="87">
        <v>0</v>
      </c>
      <c r="G496" s="14">
        <v>3500</v>
      </c>
      <c r="H496" s="14">
        <v>1400</v>
      </c>
      <c r="I496" s="14">
        <v>0</v>
      </c>
      <c r="J496" s="88">
        <f t="shared" si="37"/>
        <v>2100</v>
      </c>
      <c r="K496" s="91"/>
    </row>
    <row r="497" spans="2:11" x14ac:dyDescent="0.45">
      <c r="B497" s="85">
        <f t="shared" si="38"/>
        <v>17</v>
      </c>
      <c r="C497" s="86">
        <v>46258</v>
      </c>
      <c r="D497" s="86" t="s">
        <v>900</v>
      </c>
      <c r="E497" s="11"/>
      <c r="F497" s="87">
        <v>0</v>
      </c>
      <c r="G497" s="14">
        <v>1800</v>
      </c>
      <c r="H497" s="14">
        <v>540</v>
      </c>
      <c r="I497" s="14">
        <v>0</v>
      </c>
      <c r="J497" s="88">
        <f t="shared" si="37"/>
        <v>1260</v>
      </c>
      <c r="K497" s="91"/>
    </row>
    <row r="498" spans="2:11" x14ac:dyDescent="0.45">
      <c r="B498" s="85">
        <f t="shared" si="38"/>
        <v>18</v>
      </c>
      <c r="C498" s="86">
        <v>46258</v>
      </c>
      <c r="D498" s="86" t="s">
        <v>901</v>
      </c>
      <c r="E498" s="11"/>
      <c r="F498" s="87">
        <v>0</v>
      </c>
      <c r="G498" s="14">
        <v>1800</v>
      </c>
      <c r="H498" s="14">
        <v>300</v>
      </c>
      <c r="I498" s="14">
        <v>0</v>
      </c>
      <c r="J498" s="88">
        <f t="shared" si="37"/>
        <v>1500</v>
      </c>
      <c r="K498" s="91"/>
    </row>
    <row r="499" spans="2:11" x14ac:dyDescent="0.45">
      <c r="B499" s="85">
        <f t="shared" si="38"/>
        <v>19</v>
      </c>
      <c r="C499" s="86">
        <v>46258</v>
      </c>
      <c r="D499" s="86" t="s">
        <v>902</v>
      </c>
      <c r="E499" s="11"/>
      <c r="F499" s="87">
        <v>0</v>
      </c>
      <c r="G499" s="14">
        <f>220+1800</f>
        <v>2020</v>
      </c>
      <c r="H499" s="14">
        <v>200</v>
      </c>
      <c r="I499" s="14">
        <v>0</v>
      </c>
      <c r="J499" s="88">
        <f t="shared" si="37"/>
        <v>1820</v>
      </c>
      <c r="K499" s="91"/>
    </row>
    <row r="500" spans="2:11" x14ac:dyDescent="0.45">
      <c r="B500" s="85">
        <f t="shared" si="38"/>
        <v>20</v>
      </c>
      <c r="C500" s="86">
        <v>46258</v>
      </c>
      <c r="D500" s="86" t="s">
        <v>903</v>
      </c>
      <c r="E500" s="11"/>
      <c r="F500" s="87">
        <v>0</v>
      </c>
      <c r="G500" s="14">
        <v>1900</v>
      </c>
      <c r="H500" s="14">
        <v>200</v>
      </c>
      <c r="I500" s="14">
        <v>0</v>
      </c>
      <c r="J500" s="88">
        <f t="shared" si="37"/>
        <v>1700</v>
      </c>
      <c r="K500" s="91"/>
    </row>
    <row r="501" spans="2:11" x14ac:dyDescent="0.45">
      <c r="B501" s="85">
        <f t="shared" si="38"/>
        <v>21</v>
      </c>
      <c r="C501" s="86">
        <v>46258</v>
      </c>
      <c r="D501" s="86" t="s">
        <v>904</v>
      </c>
      <c r="E501" s="11"/>
      <c r="F501" s="87">
        <v>0</v>
      </c>
      <c r="G501" s="14">
        <v>300</v>
      </c>
      <c r="H501" s="14">
        <v>0</v>
      </c>
      <c r="I501" s="14">
        <v>0</v>
      </c>
      <c r="J501" s="88">
        <f t="shared" si="37"/>
        <v>300</v>
      </c>
      <c r="K501" s="91"/>
    </row>
    <row r="502" spans="2:11" x14ac:dyDescent="0.45">
      <c r="B502" s="85">
        <f t="shared" si="38"/>
        <v>22</v>
      </c>
      <c r="C502" s="86">
        <v>46258</v>
      </c>
      <c r="D502" s="86" t="s">
        <v>905</v>
      </c>
      <c r="E502" s="11"/>
      <c r="F502" s="87">
        <v>0</v>
      </c>
      <c r="G502" s="14">
        <v>2000</v>
      </c>
      <c r="H502" s="14">
        <v>0</v>
      </c>
      <c r="I502" s="14">
        <v>0</v>
      </c>
      <c r="J502" s="88">
        <f t="shared" si="37"/>
        <v>2000</v>
      </c>
      <c r="K502" s="91"/>
    </row>
    <row r="503" spans="2:11" x14ac:dyDescent="0.45">
      <c r="B503" s="85">
        <f t="shared" si="38"/>
        <v>23</v>
      </c>
      <c r="C503" s="86">
        <v>46258</v>
      </c>
      <c r="D503" s="86" t="s">
        <v>906</v>
      </c>
      <c r="E503" s="11"/>
      <c r="F503" s="87">
        <v>0</v>
      </c>
      <c r="G503" s="14">
        <v>2500</v>
      </c>
      <c r="H503" s="14">
        <v>750</v>
      </c>
      <c r="I503" s="14">
        <v>0</v>
      </c>
      <c r="J503" s="88">
        <f t="shared" si="37"/>
        <v>1750</v>
      </c>
      <c r="K503" s="91"/>
    </row>
    <row r="504" spans="2:11" x14ac:dyDescent="0.45">
      <c r="B504" s="85">
        <f t="shared" si="38"/>
        <v>24</v>
      </c>
      <c r="C504" s="86">
        <v>46258</v>
      </c>
      <c r="D504" s="86" t="s">
        <v>907</v>
      </c>
      <c r="E504" s="11"/>
      <c r="F504" s="87">
        <v>0</v>
      </c>
      <c r="G504" s="14">
        <v>220</v>
      </c>
      <c r="H504" s="14">
        <v>0</v>
      </c>
      <c r="I504" s="14">
        <v>0</v>
      </c>
      <c r="J504" s="88">
        <f t="shared" si="37"/>
        <v>220</v>
      </c>
      <c r="K504" s="91"/>
    </row>
    <row r="505" spans="2:11" x14ac:dyDescent="0.45">
      <c r="B505" s="85">
        <f t="shared" si="38"/>
        <v>25</v>
      </c>
      <c r="C505" s="86">
        <v>46258</v>
      </c>
      <c r="D505" s="86" t="s">
        <v>908</v>
      </c>
      <c r="E505" s="11"/>
      <c r="F505" s="87">
        <v>0</v>
      </c>
      <c r="G505" s="14">
        <v>100</v>
      </c>
      <c r="H505" s="14">
        <v>0</v>
      </c>
      <c r="I505" s="14">
        <v>0</v>
      </c>
      <c r="J505" s="88">
        <f t="shared" si="37"/>
        <v>100</v>
      </c>
      <c r="K505" s="91"/>
    </row>
    <row r="506" spans="2:11" x14ac:dyDescent="0.45">
      <c r="B506" s="85">
        <f t="shared" si="38"/>
        <v>26</v>
      </c>
      <c r="C506" s="86">
        <v>46258</v>
      </c>
      <c r="D506" s="86" t="s">
        <v>909</v>
      </c>
      <c r="E506" s="11"/>
      <c r="F506" s="87">
        <v>0</v>
      </c>
      <c r="G506" s="14">
        <v>1900</v>
      </c>
      <c r="H506" s="14">
        <v>200</v>
      </c>
      <c r="I506" s="14">
        <v>0</v>
      </c>
      <c r="J506" s="88">
        <f t="shared" si="37"/>
        <v>1700</v>
      </c>
      <c r="K506" s="91"/>
    </row>
    <row r="507" spans="2:11" x14ac:dyDescent="0.45">
      <c r="B507" s="85">
        <v>1</v>
      </c>
      <c r="C507" s="86">
        <v>46259</v>
      </c>
      <c r="D507" s="86" t="s">
        <v>910</v>
      </c>
      <c r="E507" s="11"/>
      <c r="F507" s="87">
        <v>0</v>
      </c>
      <c r="G507" s="14">
        <v>2900</v>
      </c>
      <c r="H507" s="14">
        <v>200</v>
      </c>
      <c r="I507" s="14">
        <v>0</v>
      </c>
      <c r="J507" s="88">
        <f>+G507-H507</f>
        <v>2700</v>
      </c>
      <c r="K507" s="89"/>
    </row>
    <row r="508" spans="2:11" x14ac:dyDescent="0.45">
      <c r="B508" s="85">
        <f>+B507+1</f>
        <v>2</v>
      </c>
      <c r="C508" s="86">
        <v>46259</v>
      </c>
      <c r="D508" s="86" t="s">
        <v>911</v>
      </c>
      <c r="E508" s="11"/>
      <c r="F508" s="87">
        <v>0</v>
      </c>
      <c r="G508" s="14">
        <v>2000</v>
      </c>
      <c r="H508" s="14">
        <v>200</v>
      </c>
      <c r="I508" s="14">
        <v>0</v>
      </c>
      <c r="J508" s="88">
        <f t="shared" ref="J508:J526" si="39">+G508-H508</f>
        <v>1800</v>
      </c>
      <c r="K508" s="90"/>
    </row>
    <row r="509" spans="2:11" x14ac:dyDescent="0.45">
      <c r="B509" s="85">
        <f t="shared" ref="B509:B526" si="40">+B508+1</f>
        <v>3</v>
      </c>
      <c r="C509" s="86">
        <v>46259</v>
      </c>
      <c r="D509" s="86" t="s">
        <v>912</v>
      </c>
      <c r="E509" s="11"/>
      <c r="F509" s="87">
        <v>0</v>
      </c>
      <c r="G509" s="14">
        <v>2000</v>
      </c>
      <c r="H509" s="14">
        <v>300</v>
      </c>
      <c r="I509" s="14">
        <v>0</v>
      </c>
      <c r="J509" s="88">
        <f t="shared" si="39"/>
        <v>1700</v>
      </c>
      <c r="K509" s="90"/>
    </row>
    <row r="510" spans="2:11" x14ac:dyDescent="0.45">
      <c r="B510" s="85">
        <f t="shared" si="40"/>
        <v>4</v>
      </c>
      <c r="C510" s="86">
        <v>46259</v>
      </c>
      <c r="D510" s="86" t="s">
        <v>913</v>
      </c>
      <c r="E510" s="11"/>
      <c r="F510" s="87">
        <v>0</v>
      </c>
      <c r="G510" s="14">
        <v>100</v>
      </c>
      <c r="H510" s="14">
        <v>20</v>
      </c>
      <c r="I510" s="14">
        <v>0</v>
      </c>
      <c r="J510" s="88">
        <f t="shared" si="39"/>
        <v>80</v>
      </c>
      <c r="K510" s="91"/>
    </row>
    <row r="511" spans="2:11" x14ac:dyDescent="0.45">
      <c r="B511" s="85">
        <f t="shared" si="40"/>
        <v>5</v>
      </c>
      <c r="C511" s="86">
        <v>46259</v>
      </c>
      <c r="D511" s="86" t="s">
        <v>914</v>
      </c>
      <c r="E511" s="11"/>
      <c r="F511" s="87">
        <v>0</v>
      </c>
      <c r="G511" s="14">
        <v>1900</v>
      </c>
      <c r="H511" s="14">
        <v>0</v>
      </c>
      <c r="I511" s="14">
        <v>0</v>
      </c>
      <c r="J511" s="88">
        <f t="shared" si="39"/>
        <v>1900</v>
      </c>
      <c r="K511" s="89"/>
    </row>
    <row r="512" spans="2:11" x14ac:dyDescent="0.45">
      <c r="B512" s="85">
        <f t="shared" si="40"/>
        <v>6</v>
      </c>
      <c r="C512" s="86">
        <v>46259</v>
      </c>
      <c r="D512" s="86" t="s">
        <v>915</v>
      </c>
      <c r="E512" s="11"/>
      <c r="F512" s="87">
        <v>0</v>
      </c>
      <c r="G512" s="14">
        <v>1900</v>
      </c>
      <c r="H512" s="14">
        <v>0</v>
      </c>
      <c r="I512" s="14">
        <v>0</v>
      </c>
      <c r="J512" s="88">
        <f t="shared" si="39"/>
        <v>1900</v>
      </c>
      <c r="K512" s="91"/>
    </row>
    <row r="513" spans="2:11" x14ac:dyDescent="0.45">
      <c r="B513" s="85">
        <f t="shared" si="40"/>
        <v>7</v>
      </c>
      <c r="C513" s="86">
        <v>46259</v>
      </c>
      <c r="D513" s="86" t="s">
        <v>916</v>
      </c>
      <c r="E513" s="11"/>
      <c r="F513" s="87">
        <v>0</v>
      </c>
      <c r="G513" s="14">
        <v>1700</v>
      </c>
      <c r="H513" s="14">
        <v>200</v>
      </c>
      <c r="I513" s="14">
        <v>0</v>
      </c>
      <c r="J513" s="88">
        <f t="shared" si="39"/>
        <v>1500</v>
      </c>
      <c r="K513" s="91"/>
    </row>
    <row r="514" spans="2:11" x14ac:dyDescent="0.45">
      <c r="B514" s="85">
        <f t="shared" si="40"/>
        <v>8</v>
      </c>
      <c r="C514" s="86">
        <v>46259</v>
      </c>
      <c r="D514" s="86" t="s">
        <v>917</v>
      </c>
      <c r="E514" s="11"/>
      <c r="F514" s="87">
        <v>0</v>
      </c>
      <c r="G514" s="14">
        <v>7600</v>
      </c>
      <c r="H514" s="14">
        <v>4800</v>
      </c>
      <c r="I514" s="14">
        <v>0</v>
      </c>
      <c r="J514" s="88">
        <f t="shared" si="39"/>
        <v>2800</v>
      </c>
      <c r="K514" s="91"/>
    </row>
    <row r="515" spans="2:11" x14ac:dyDescent="0.45">
      <c r="B515" s="85">
        <f t="shared" si="40"/>
        <v>9</v>
      </c>
      <c r="C515" s="86">
        <v>46259</v>
      </c>
      <c r="D515" s="86" t="s">
        <v>918</v>
      </c>
      <c r="E515" s="11"/>
      <c r="F515" s="87">
        <v>0</v>
      </c>
      <c r="G515" s="14">
        <v>5500</v>
      </c>
      <c r="H515" s="14">
        <v>600</v>
      </c>
      <c r="I515" s="14">
        <v>0</v>
      </c>
      <c r="J515" s="88">
        <f t="shared" si="39"/>
        <v>4900</v>
      </c>
      <c r="K515" s="91"/>
    </row>
    <row r="516" spans="2:11" x14ac:dyDescent="0.45">
      <c r="B516" s="85">
        <f t="shared" si="40"/>
        <v>10</v>
      </c>
      <c r="C516" s="86">
        <v>46259</v>
      </c>
      <c r="D516" s="86" t="s">
        <v>919</v>
      </c>
      <c r="E516" s="11"/>
      <c r="F516" s="87">
        <v>0</v>
      </c>
      <c r="G516" s="14">
        <v>1900</v>
      </c>
      <c r="H516" s="14">
        <v>570</v>
      </c>
      <c r="I516" s="14">
        <v>0</v>
      </c>
      <c r="J516" s="88">
        <f t="shared" si="39"/>
        <v>1330</v>
      </c>
      <c r="K516" s="91"/>
    </row>
    <row r="517" spans="2:11" x14ac:dyDescent="0.45">
      <c r="B517" s="85">
        <f t="shared" si="40"/>
        <v>11</v>
      </c>
      <c r="C517" s="86">
        <v>46259</v>
      </c>
      <c r="D517" s="86" t="s">
        <v>920</v>
      </c>
      <c r="E517" s="11"/>
      <c r="F517" s="87">
        <v>0</v>
      </c>
      <c r="G517" s="14">
        <v>14000</v>
      </c>
      <c r="H517" s="14">
        <v>4200</v>
      </c>
      <c r="I517" s="14">
        <v>0</v>
      </c>
      <c r="J517" s="88">
        <f t="shared" si="39"/>
        <v>9800</v>
      </c>
      <c r="K517" s="89"/>
    </row>
    <row r="518" spans="2:11" x14ac:dyDescent="0.45">
      <c r="B518" s="85">
        <f t="shared" si="40"/>
        <v>12</v>
      </c>
      <c r="C518" s="86">
        <v>46259</v>
      </c>
      <c r="D518" s="86" t="s">
        <v>921</v>
      </c>
      <c r="E518" s="11"/>
      <c r="F518" s="87">
        <v>0</v>
      </c>
      <c r="G518" s="14">
        <v>2020</v>
      </c>
      <c r="H518" s="14">
        <v>300</v>
      </c>
      <c r="I518" s="14">
        <v>0</v>
      </c>
      <c r="J518" s="88">
        <f t="shared" si="39"/>
        <v>1720</v>
      </c>
      <c r="K518" s="91"/>
    </row>
    <row r="519" spans="2:11" x14ac:dyDescent="0.45">
      <c r="B519" s="85">
        <f t="shared" si="40"/>
        <v>13</v>
      </c>
      <c r="C519" s="86">
        <v>46259</v>
      </c>
      <c r="D519" s="86" t="s">
        <v>922</v>
      </c>
      <c r="E519" s="11"/>
      <c r="F519" s="87">
        <v>0</v>
      </c>
      <c r="G519" s="14">
        <v>1700</v>
      </c>
      <c r="H519" s="14">
        <v>0</v>
      </c>
      <c r="I519" s="14">
        <v>0</v>
      </c>
      <c r="J519" s="88">
        <f t="shared" si="39"/>
        <v>1700</v>
      </c>
      <c r="K519" s="91"/>
    </row>
    <row r="520" spans="2:11" x14ac:dyDescent="0.45">
      <c r="B520" s="85">
        <f t="shared" si="40"/>
        <v>14</v>
      </c>
      <c r="C520" s="86">
        <v>46259</v>
      </c>
      <c r="D520" s="86" t="s">
        <v>923</v>
      </c>
      <c r="E520" s="11"/>
      <c r="F520" s="87">
        <v>0</v>
      </c>
      <c r="G520" s="14">
        <v>1700</v>
      </c>
      <c r="H520" s="14">
        <v>680</v>
      </c>
      <c r="I520" s="14">
        <v>0</v>
      </c>
      <c r="J520" s="88">
        <f t="shared" si="39"/>
        <v>1020</v>
      </c>
      <c r="K520" s="91"/>
    </row>
    <row r="521" spans="2:11" x14ac:dyDescent="0.45">
      <c r="B521" s="85">
        <f t="shared" si="40"/>
        <v>15</v>
      </c>
      <c r="C521" s="86">
        <v>46259</v>
      </c>
      <c r="D521" s="86" t="s">
        <v>924</v>
      </c>
      <c r="E521" s="11"/>
      <c r="F521" s="87">
        <v>0</v>
      </c>
      <c r="G521" s="14">
        <v>3600</v>
      </c>
      <c r="H521" s="14">
        <v>1080</v>
      </c>
      <c r="I521" s="14">
        <v>0</v>
      </c>
      <c r="J521" s="88">
        <f t="shared" si="39"/>
        <v>2520</v>
      </c>
      <c r="K521" s="91"/>
    </row>
    <row r="522" spans="2:11" x14ac:dyDescent="0.45">
      <c r="B522" s="85">
        <f t="shared" si="40"/>
        <v>16</v>
      </c>
      <c r="C522" s="86">
        <v>46259</v>
      </c>
      <c r="D522" s="86" t="s">
        <v>925</v>
      </c>
      <c r="E522" s="11"/>
      <c r="F522" s="87">
        <v>0</v>
      </c>
      <c r="G522" s="14">
        <v>2500</v>
      </c>
      <c r="H522" s="14">
        <v>1000</v>
      </c>
      <c r="I522" s="14">
        <v>0</v>
      </c>
      <c r="J522" s="88">
        <f t="shared" si="39"/>
        <v>1500</v>
      </c>
      <c r="K522" s="91"/>
    </row>
    <row r="523" spans="2:11" x14ac:dyDescent="0.45">
      <c r="B523" s="85">
        <f t="shared" si="40"/>
        <v>17</v>
      </c>
      <c r="C523" s="86">
        <v>46259</v>
      </c>
      <c r="D523" s="86" t="s">
        <v>926</v>
      </c>
      <c r="E523" s="11"/>
      <c r="F523" s="87">
        <v>0</v>
      </c>
      <c r="G523" s="14">
        <v>1900</v>
      </c>
      <c r="H523" s="14">
        <v>570</v>
      </c>
      <c r="I523" s="14">
        <v>0</v>
      </c>
      <c r="J523" s="88">
        <f t="shared" si="39"/>
        <v>1330</v>
      </c>
      <c r="K523" s="91"/>
    </row>
    <row r="524" spans="2:11" x14ac:dyDescent="0.45">
      <c r="B524" s="85">
        <f t="shared" si="40"/>
        <v>18</v>
      </c>
      <c r="C524" s="86">
        <v>46259</v>
      </c>
      <c r="D524" s="86" t="s">
        <v>927</v>
      </c>
      <c r="E524" s="11"/>
      <c r="F524" s="87">
        <v>0</v>
      </c>
      <c r="G524" s="14">
        <v>14040</v>
      </c>
      <c r="H524" s="14">
        <v>1300</v>
      </c>
      <c r="I524" s="14">
        <v>0</v>
      </c>
      <c r="J524" s="88">
        <f t="shared" si="39"/>
        <v>12740</v>
      </c>
      <c r="K524" s="91"/>
    </row>
    <row r="525" spans="2:11" x14ac:dyDescent="0.45">
      <c r="B525" s="85">
        <f t="shared" si="40"/>
        <v>19</v>
      </c>
      <c r="C525" s="86">
        <v>46259</v>
      </c>
      <c r="D525" s="86" t="s">
        <v>928</v>
      </c>
      <c r="E525" s="11"/>
      <c r="F525" s="87">
        <v>0</v>
      </c>
      <c r="G525" s="14">
        <v>1700</v>
      </c>
      <c r="H525" s="14">
        <v>0</v>
      </c>
      <c r="I525" s="14">
        <v>0</v>
      </c>
      <c r="J525" s="88">
        <f t="shared" si="39"/>
        <v>1700</v>
      </c>
      <c r="K525" s="91"/>
    </row>
    <row r="526" spans="2:11" x14ac:dyDescent="0.45">
      <c r="B526" s="85">
        <f t="shared" si="40"/>
        <v>20</v>
      </c>
      <c r="C526" s="86">
        <v>46259</v>
      </c>
      <c r="D526" s="86" t="s">
        <v>929</v>
      </c>
      <c r="E526" s="11"/>
      <c r="F526" s="87">
        <v>0</v>
      </c>
      <c r="G526" s="14">
        <v>220</v>
      </c>
      <c r="H526" s="14">
        <v>0</v>
      </c>
      <c r="I526" s="14">
        <v>0</v>
      </c>
      <c r="J526" s="88">
        <f t="shared" si="39"/>
        <v>220</v>
      </c>
      <c r="K526" s="91"/>
    </row>
    <row r="527" spans="2:11" x14ac:dyDescent="0.45">
      <c r="B527" s="85">
        <v>1</v>
      </c>
      <c r="C527" s="86">
        <v>46260</v>
      </c>
      <c r="D527" s="86" t="s">
        <v>930</v>
      </c>
      <c r="E527" s="11"/>
      <c r="F527" s="87">
        <v>0</v>
      </c>
      <c r="G527" s="14">
        <v>1700</v>
      </c>
      <c r="H527" s="14">
        <v>510</v>
      </c>
      <c r="I527" s="14">
        <v>0</v>
      </c>
      <c r="J527" s="88">
        <f>+G527-H527</f>
        <v>1190</v>
      </c>
      <c r="K527" s="89"/>
    </row>
    <row r="528" spans="2:11" x14ac:dyDescent="0.45">
      <c r="B528" s="85">
        <f>+B527+1</f>
        <v>2</v>
      </c>
      <c r="C528" s="86">
        <v>46260</v>
      </c>
      <c r="D528" s="86" t="s">
        <v>931</v>
      </c>
      <c r="E528" s="11"/>
      <c r="F528" s="87">
        <v>0</v>
      </c>
      <c r="G528" s="14">
        <f>3500*5</f>
        <v>17500</v>
      </c>
      <c r="H528" s="14">
        <v>7000</v>
      </c>
      <c r="I528" s="14">
        <v>0</v>
      </c>
      <c r="J528" s="88">
        <f t="shared" ref="J528:J545" si="41">+G528-H528</f>
        <v>10500</v>
      </c>
      <c r="K528" s="90"/>
    </row>
    <row r="529" spans="2:11" x14ac:dyDescent="0.45">
      <c r="B529" s="85">
        <f t="shared" ref="B529:B545" si="42">+B528+1</f>
        <v>3</v>
      </c>
      <c r="C529" s="86">
        <v>46260</v>
      </c>
      <c r="D529" s="86" t="s">
        <v>932</v>
      </c>
      <c r="E529" s="11"/>
      <c r="F529" s="87">
        <v>0</v>
      </c>
      <c r="G529" s="14">
        <v>7270</v>
      </c>
      <c r="H529" s="14">
        <v>2160</v>
      </c>
      <c r="I529" s="14">
        <v>0</v>
      </c>
      <c r="J529" s="88">
        <f t="shared" si="41"/>
        <v>5110</v>
      </c>
      <c r="K529" s="90"/>
    </row>
    <row r="530" spans="2:11" x14ac:dyDescent="0.45">
      <c r="B530" s="85">
        <f t="shared" si="42"/>
        <v>4</v>
      </c>
      <c r="C530" s="86">
        <v>46260</v>
      </c>
      <c r="D530" s="86" t="s">
        <v>933</v>
      </c>
      <c r="E530" s="11"/>
      <c r="F530" s="87">
        <v>0</v>
      </c>
      <c r="G530" s="14">
        <v>13180</v>
      </c>
      <c r="H530" s="14">
        <v>1900</v>
      </c>
      <c r="I530" s="14">
        <v>0</v>
      </c>
      <c r="J530" s="88">
        <f t="shared" si="41"/>
        <v>11280</v>
      </c>
      <c r="K530" s="91"/>
    </row>
    <row r="531" spans="2:11" x14ac:dyDescent="0.45">
      <c r="B531" s="85">
        <f t="shared" si="42"/>
        <v>5</v>
      </c>
      <c r="C531" s="86">
        <v>46260</v>
      </c>
      <c r="D531" s="86" t="s">
        <v>934</v>
      </c>
      <c r="E531" s="11"/>
      <c r="F531" s="87">
        <v>0</v>
      </c>
      <c r="G531" s="14">
        <v>2000</v>
      </c>
      <c r="H531" s="14">
        <v>300</v>
      </c>
      <c r="I531" s="14">
        <v>0</v>
      </c>
      <c r="J531" s="88">
        <f t="shared" si="41"/>
        <v>1700</v>
      </c>
      <c r="K531" s="89"/>
    </row>
    <row r="532" spans="2:11" x14ac:dyDescent="0.45">
      <c r="B532" s="85">
        <f t="shared" si="42"/>
        <v>6</v>
      </c>
      <c r="C532" s="86">
        <v>46260</v>
      </c>
      <c r="D532" s="86" t="s">
        <v>935</v>
      </c>
      <c r="E532" s="11"/>
      <c r="F532" s="87">
        <v>0</v>
      </c>
      <c r="G532" s="14">
        <v>3200</v>
      </c>
      <c r="H532" s="14">
        <v>0</v>
      </c>
      <c r="I532" s="14">
        <v>0</v>
      </c>
      <c r="J532" s="88">
        <f t="shared" si="41"/>
        <v>3200</v>
      </c>
      <c r="K532" s="91"/>
    </row>
    <row r="533" spans="2:11" x14ac:dyDescent="0.45">
      <c r="B533" s="85">
        <f t="shared" si="42"/>
        <v>7</v>
      </c>
      <c r="C533" s="86">
        <v>46260</v>
      </c>
      <c r="D533" s="86" t="s">
        <v>936</v>
      </c>
      <c r="E533" s="11"/>
      <c r="F533" s="87">
        <v>0</v>
      </c>
      <c r="G533" s="14">
        <v>1700</v>
      </c>
      <c r="H533" s="14">
        <v>200</v>
      </c>
      <c r="I533" s="14">
        <v>0</v>
      </c>
      <c r="J533" s="88">
        <f t="shared" si="41"/>
        <v>1500</v>
      </c>
      <c r="K533" s="91"/>
    </row>
    <row r="534" spans="2:11" x14ac:dyDescent="0.45">
      <c r="B534" s="85">
        <f t="shared" si="42"/>
        <v>8</v>
      </c>
      <c r="C534" s="86">
        <v>46260</v>
      </c>
      <c r="D534" s="86" t="s">
        <v>937</v>
      </c>
      <c r="E534" s="11"/>
      <c r="F534" s="87">
        <v>0</v>
      </c>
      <c r="G534" s="14">
        <v>1700</v>
      </c>
      <c r="H534" s="14">
        <v>200</v>
      </c>
      <c r="I534" s="14">
        <v>0</v>
      </c>
      <c r="J534" s="88">
        <f t="shared" si="41"/>
        <v>1500</v>
      </c>
      <c r="K534" s="91"/>
    </row>
    <row r="535" spans="2:11" x14ac:dyDescent="0.45">
      <c r="B535" s="85">
        <f t="shared" si="42"/>
        <v>9</v>
      </c>
      <c r="C535" s="86">
        <v>46260</v>
      </c>
      <c r="D535" s="86" t="s">
        <v>938</v>
      </c>
      <c r="E535" s="11"/>
      <c r="F535" s="87">
        <v>0</v>
      </c>
      <c r="G535" s="14">
        <v>1980</v>
      </c>
      <c r="H535" s="14">
        <v>0</v>
      </c>
      <c r="I535" s="14">
        <v>0</v>
      </c>
      <c r="J535" s="88">
        <f t="shared" si="41"/>
        <v>1980</v>
      </c>
      <c r="K535" s="91"/>
    </row>
    <row r="536" spans="2:11" x14ac:dyDescent="0.45">
      <c r="B536" s="85">
        <f t="shared" si="42"/>
        <v>10</v>
      </c>
      <c r="C536" s="86">
        <v>46260</v>
      </c>
      <c r="D536" s="86" t="s">
        <v>939</v>
      </c>
      <c r="E536" s="11"/>
      <c r="F536" s="87">
        <v>0</v>
      </c>
      <c r="G536" s="14">
        <v>1320</v>
      </c>
      <c r="H536" s="14">
        <v>0</v>
      </c>
      <c r="I536" s="14">
        <v>0</v>
      </c>
      <c r="J536" s="88">
        <f t="shared" si="41"/>
        <v>1320</v>
      </c>
      <c r="K536" s="91"/>
    </row>
    <row r="537" spans="2:11" x14ac:dyDescent="0.45">
      <c r="B537" s="85">
        <f t="shared" si="42"/>
        <v>11</v>
      </c>
      <c r="C537" s="86">
        <v>46260</v>
      </c>
      <c r="D537" s="86" t="s">
        <v>940</v>
      </c>
      <c r="E537" s="11"/>
      <c r="F537" s="87">
        <v>0</v>
      </c>
      <c r="G537" s="14">
        <v>1900</v>
      </c>
      <c r="H537" s="14">
        <v>0</v>
      </c>
      <c r="I537" s="14">
        <v>0</v>
      </c>
      <c r="J537" s="88">
        <f t="shared" si="41"/>
        <v>1900</v>
      </c>
      <c r="K537" s="89"/>
    </row>
    <row r="538" spans="2:11" x14ac:dyDescent="0.45">
      <c r="B538" s="85">
        <f t="shared" si="42"/>
        <v>12</v>
      </c>
      <c r="C538" s="86">
        <v>46260</v>
      </c>
      <c r="D538" s="86" t="s">
        <v>941</v>
      </c>
      <c r="E538" s="11"/>
      <c r="F538" s="87">
        <v>0</v>
      </c>
      <c r="G538" s="14">
        <v>6500</v>
      </c>
      <c r="H538" s="14">
        <v>1950</v>
      </c>
      <c r="I538" s="14">
        <v>0</v>
      </c>
      <c r="J538" s="88">
        <f t="shared" si="41"/>
        <v>4550</v>
      </c>
      <c r="K538" s="91"/>
    </row>
    <row r="539" spans="2:11" x14ac:dyDescent="0.45">
      <c r="B539" s="85">
        <f t="shared" si="42"/>
        <v>13</v>
      </c>
      <c r="C539" s="86">
        <v>46260</v>
      </c>
      <c r="D539" s="86" t="s">
        <v>942</v>
      </c>
      <c r="E539" s="11"/>
      <c r="F539" s="87">
        <v>0</v>
      </c>
      <c r="G539" s="14">
        <v>1800</v>
      </c>
      <c r="H539" s="14">
        <v>300</v>
      </c>
      <c r="I539" s="14">
        <v>0</v>
      </c>
      <c r="J539" s="88">
        <f t="shared" si="41"/>
        <v>1500</v>
      </c>
      <c r="K539" s="91"/>
    </row>
    <row r="540" spans="2:11" x14ac:dyDescent="0.45">
      <c r="B540" s="85">
        <f t="shared" si="42"/>
        <v>14</v>
      </c>
      <c r="C540" s="86">
        <v>46260</v>
      </c>
      <c r="D540" s="86" t="s">
        <v>943</v>
      </c>
      <c r="E540" s="11"/>
      <c r="F540" s="87">
        <v>0</v>
      </c>
      <c r="G540" s="14">
        <v>3820</v>
      </c>
      <c r="H540" s="14">
        <v>600</v>
      </c>
      <c r="I540" s="14">
        <v>0</v>
      </c>
      <c r="J540" s="88">
        <f t="shared" si="41"/>
        <v>3220</v>
      </c>
      <c r="K540" s="91"/>
    </row>
    <row r="541" spans="2:11" x14ac:dyDescent="0.45">
      <c r="B541" s="85">
        <f t="shared" si="42"/>
        <v>15</v>
      </c>
      <c r="C541" s="86">
        <v>46260</v>
      </c>
      <c r="D541" s="86" t="s">
        <v>944</v>
      </c>
      <c r="E541" s="11"/>
      <c r="F541" s="87">
        <v>0</v>
      </c>
      <c r="G541" s="14">
        <v>1900</v>
      </c>
      <c r="H541" s="14">
        <v>570</v>
      </c>
      <c r="I541" s="14">
        <v>0</v>
      </c>
      <c r="J541" s="88">
        <f t="shared" si="41"/>
        <v>1330</v>
      </c>
      <c r="K541" s="91"/>
    </row>
    <row r="542" spans="2:11" x14ac:dyDescent="0.45">
      <c r="B542" s="85">
        <f t="shared" si="42"/>
        <v>16</v>
      </c>
      <c r="C542" s="86">
        <v>46260</v>
      </c>
      <c r="D542" s="86" t="s">
        <v>945</v>
      </c>
      <c r="E542" s="11"/>
      <c r="F542" s="87">
        <v>0</v>
      </c>
      <c r="G542" s="14">
        <v>2200</v>
      </c>
      <c r="H542" s="14">
        <v>500</v>
      </c>
      <c r="I542" s="14">
        <v>0</v>
      </c>
      <c r="J542" s="88">
        <f t="shared" si="41"/>
        <v>1700</v>
      </c>
      <c r="K542" s="91"/>
    </row>
    <row r="543" spans="2:11" x14ac:dyDescent="0.45">
      <c r="B543" s="85">
        <f t="shared" si="42"/>
        <v>17</v>
      </c>
      <c r="C543" s="86">
        <v>46260</v>
      </c>
      <c r="D543" s="86" t="s">
        <v>946</v>
      </c>
      <c r="E543" s="11"/>
      <c r="F543" s="87">
        <v>0</v>
      </c>
      <c r="G543" s="14">
        <v>440</v>
      </c>
      <c r="H543" s="14">
        <v>0</v>
      </c>
      <c r="I543" s="14">
        <v>0</v>
      </c>
      <c r="J543" s="88">
        <f t="shared" si="41"/>
        <v>440</v>
      </c>
      <c r="K543" s="91"/>
    </row>
    <row r="544" spans="2:11" x14ac:dyDescent="0.45">
      <c r="B544" s="85">
        <f t="shared" si="42"/>
        <v>18</v>
      </c>
      <c r="C544" s="86">
        <v>46260</v>
      </c>
      <c r="D544" s="86" t="s">
        <v>947</v>
      </c>
      <c r="E544" s="11"/>
      <c r="F544" s="87">
        <v>0</v>
      </c>
      <c r="G544" s="14">
        <v>5500</v>
      </c>
      <c r="H544" s="14">
        <v>2070</v>
      </c>
      <c r="I544" s="14">
        <v>0</v>
      </c>
      <c r="J544" s="88">
        <f t="shared" si="41"/>
        <v>3430</v>
      </c>
      <c r="K544" s="91"/>
    </row>
    <row r="545" spans="2:11" x14ac:dyDescent="0.45">
      <c r="B545" s="85">
        <f t="shared" si="42"/>
        <v>19</v>
      </c>
      <c r="C545" s="86">
        <v>46260</v>
      </c>
      <c r="D545" s="86" t="s">
        <v>948</v>
      </c>
      <c r="E545" s="11"/>
      <c r="F545" s="87">
        <v>0</v>
      </c>
      <c r="G545" s="14">
        <v>1580</v>
      </c>
      <c r="H545" s="14">
        <v>0</v>
      </c>
      <c r="I545" s="14">
        <v>0</v>
      </c>
      <c r="J545" s="88">
        <f t="shared" si="41"/>
        <v>1580</v>
      </c>
      <c r="K545" s="91"/>
    </row>
    <row r="546" spans="2:11" x14ac:dyDescent="0.45">
      <c r="B546" s="85">
        <v>1</v>
      </c>
      <c r="C546" s="86">
        <v>46261</v>
      </c>
      <c r="D546" s="86" t="s">
        <v>949</v>
      </c>
      <c r="E546" s="11"/>
      <c r="F546" s="87">
        <v>0</v>
      </c>
      <c r="G546" s="14">
        <v>840</v>
      </c>
      <c r="H546" s="14">
        <v>0</v>
      </c>
      <c r="I546" s="14">
        <v>0</v>
      </c>
      <c r="J546" s="88">
        <f>+G546-H546</f>
        <v>840</v>
      </c>
      <c r="K546" s="89"/>
    </row>
    <row r="547" spans="2:11" x14ac:dyDescent="0.45">
      <c r="B547" s="85">
        <f>+B546+1</f>
        <v>2</v>
      </c>
      <c r="C547" s="86">
        <v>46261</v>
      </c>
      <c r="D547" s="86" t="s">
        <v>950</v>
      </c>
      <c r="E547" s="11"/>
      <c r="F547" s="87">
        <v>0</v>
      </c>
      <c r="G547" s="14">
        <v>440</v>
      </c>
      <c r="H547" s="14">
        <v>0</v>
      </c>
      <c r="I547" s="14">
        <v>0</v>
      </c>
      <c r="J547" s="88">
        <f t="shared" ref="J547:J573" si="43">+G547-H547</f>
        <v>440</v>
      </c>
      <c r="K547" s="90"/>
    </row>
    <row r="548" spans="2:11" x14ac:dyDescent="0.45">
      <c r="B548" s="85">
        <f t="shared" ref="B548:B573" si="44">+B547+1</f>
        <v>3</v>
      </c>
      <c r="C548" s="86">
        <v>46261</v>
      </c>
      <c r="D548" s="86" t="s">
        <v>951</v>
      </c>
      <c r="E548" s="11"/>
      <c r="F548" s="87">
        <v>0</v>
      </c>
      <c r="G548" s="14">
        <v>1900</v>
      </c>
      <c r="H548" s="14">
        <v>0</v>
      </c>
      <c r="I548" s="14">
        <v>0</v>
      </c>
      <c r="J548" s="88">
        <f t="shared" si="43"/>
        <v>1900</v>
      </c>
      <c r="K548" s="90"/>
    </row>
    <row r="549" spans="2:11" x14ac:dyDescent="0.45">
      <c r="B549" s="85">
        <f t="shared" si="44"/>
        <v>4</v>
      </c>
      <c r="C549" s="86">
        <v>46261</v>
      </c>
      <c r="D549" s="86" t="s">
        <v>952</v>
      </c>
      <c r="E549" s="11"/>
      <c r="F549" s="87">
        <v>0</v>
      </c>
      <c r="G549" s="14">
        <v>4900</v>
      </c>
      <c r="H549" s="14">
        <v>0</v>
      </c>
      <c r="I549" s="14">
        <v>0</v>
      </c>
      <c r="J549" s="88">
        <f t="shared" si="43"/>
        <v>4900</v>
      </c>
      <c r="K549" s="91"/>
    </row>
    <row r="550" spans="2:11" x14ac:dyDescent="0.45">
      <c r="B550" s="85">
        <f t="shared" si="44"/>
        <v>5</v>
      </c>
      <c r="C550" s="86">
        <v>46261</v>
      </c>
      <c r="D550" s="86" t="s">
        <v>953</v>
      </c>
      <c r="E550" s="11"/>
      <c r="F550" s="87">
        <v>0</v>
      </c>
      <c r="G550" s="14">
        <v>1900</v>
      </c>
      <c r="H550" s="14">
        <v>570</v>
      </c>
      <c r="I550" s="14">
        <v>0</v>
      </c>
      <c r="J550" s="88">
        <f t="shared" si="43"/>
        <v>1330</v>
      </c>
      <c r="K550" s="89"/>
    </row>
    <row r="551" spans="2:11" x14ac:dyDescent="0.45">
      <c r="B551" s="85">
        <f t="shared" si="44"/>
        <v>6</v>
      </c>
      <c r="C551" s="86">
        <v>46261</v>
      </c>
      <c r="D551" s="86" t="s">
        <v>954</v>
      </c>
      <c r="E551" s="11"/>
      <c r="F551" s="87">
        <v>0</v>
      </c>
      <c r="G551" s="14">
        <v>1900</v>
      </c>
      <c r="H551" s="14">
        <v>900</v>
      </c>
      <c r="I551" s="14">
        <v>0</v>
      </c>
      <c r="J551" s="88">
        <f t="shared" si="43"/>
        <v>1000</v>
      </c>
      <c r="K551" s="91"/>
    </row>
    <row r="552" spans="2:11" x14ac:dyDescent="0.45">
      <c r="B552" s="85">
        <f t="shared" si="44"/>
        <v>7</v>
      </c>
      <c r="C552" s="86">
        <v>46261</v>
      </c>
      <c r="D552" s="86" t="s">
        <v>955</v>
      </c>
      <c r="E552" s="11"/>
      <c r="F552" s="87">
        <v>0</v>
      </c>
      <c r="G552" s="14">
        <v>5100</v>
      </c>
      <c r="H552" s="14">
        <v>0</v>
      </c>
      <c r="I552" s="14">
        <v>0</v>
      </c>
      <c r="J552" s="88">
        <f t="shared" si="43"/>
        <v>5100</v>
      </c>
      <c r="K552" s="91"/>
    </row>
    <row r="553" spans="2:11" x14ac:dyDescent="0.45">
      <c r="B553" s="85">
        <f t="shared" si="44"/>
        <v>8</v>
      </c>
      <c r="C553" s="86">
        <v>46261</v>
      </c>
      <c r="D553" s="86" t="s">
        <v>956</v>
      </c>
      <c r="E553" s="11"/>
      <c r="F553" s="87">
        <v>0</v>
      </c>
      <c r="G553" s="14">
        <v>1700</v>
      </c>
      <c r="H553" s="14">
        <v>510</v>
      </c>
      <c r="I553" s="14">
        <v>0</v>
      </c>
      <c r="J553" s="88">
        <f t="shared" si="43"/>
        <v>1190</v>
      </c>
      <c r="K553" s="91"/>
    </row>
    <row r="554" spans="2:11" x14ac:dyDescent="0.45">
      <c r="B554" s="85">
        <f t="shared" si="44"/>
        <v>9</v>
      </c>
      <c r="C554" s="86">
        <v>46261</v>
      </c>
      <c r="D554" s="86" t="s">
        <v>957</v>
      </c>
      <c r="E554" s="11"/>
      <c r="F554" s="87">
        <v>0</v>
      </c>
      <c r="G554" s="14">
        <v>1700</v>
      </c>
      <c r="H554" s="14">
        <v>200</v>
      </c>
      <c r="I554" s="14">
        <v>0</v>
      </c>
      <c r="J554" s="88">
        <f t="shared" si="43"/>
        <v>1500</v>
      </c>
      <c r="K554" s="91"/>
    </row>
    <row r="555" spans="2:11" x14ac:dyDescent="0.45">
      <c r="B555" s="85">
        <f t="shared" si="44"/>
        <v>10</v>
      </c>
      <c r="C555" s="86">
        <v>46261</v>
      </c>
      <c r="D555" s="86" t="s">
        <v>958</v>
      </c>
      <c r="E555" s="11"/>
      <c r="F555" s="87">
        <v>0</v>
      </c>
      <c r="G555" s="14">
        <v>2500</v>
      </c>
      <c r="H555" s="14">
        <v>750</v>
      </c>
      <c r="I555" s="14">
        <v>0</v>
      </c>
      <c r="J555" s="88">
        <f t="shared" si="43"/>
        <v>1750</v>
      </c>
      <c r="K555" s="91"/>
    </row>
    <row r="556" spans="2:11" x14ac:dyDescent="0.45">
      <c r="B556" s="85">
        <f t="shared" si="44"/>
        <v>11</v>
      </c>
      <c r="C556" s="86">
        <v>46261</v>
      </c>
      <c r="D556" s="86" t="s">
        <v>959</v>
      </c>
      <c r="E556" s="11"/>
      <c r="F556" s="87">
        <v>0</v>
      </c>
      <c r="G556" s="14">
        <v>4400</v>
      </c>
      <c r="H556" s="14">
        <v>1320</v>
      </c>
      <c r="I556" s="14">
        <v>0</v>
      </c>
      <c r="J556" s="88">
        <f t="shared" si="43"/>
        <v>3080</v>
      </c>
      <c r="K556" s="91"/>
    </row>
    <row r="557" spans="2:11" x14ac:dyDescent="0.45">
      <c r="B557" s="85">
        <f t="shared" si="44"/>
        <v>12</v>
      </c>
      <c r="C557" s="86">
        <v>46261</v>
      </c>
      <c r="D557" s="86" t="s">
        <v>960</v>
      </c>
      <c r="E557" s="11"/>
      <c r="F557" s="87">
        <v>0</v>
      </c>
      <c r="G557" s="14">
        <v>1700</v>
      </c>
      <c r="H557" s="14">
        <v>0</v>
      </c>
      <c r="I557" s="14">
        <v>0</v>
      </c>
      <c r="J557" s="88">
        <f t="shared" si="43"/>
        <v>1700</v>
      </c>
      <c r="K557" s="91"/>
    </row>
    <row r="558" spans="2:11" x14ac:dyDescent="0.45">
      <c r="B558" s="85">
        <f t="shared" si="44"/>
        <v>13</v>
      </c>
      <c r="C558" s="86">
        <v>46261</v>
      </c>
      <c r="D558" s="86" t="s">
        <v>961</v>
      </c>
      <c r="E558" s="11"/>
      <c r="F558" s="87">
        <v>0</v>
      </c>
      <c r="G558" s="14">
        <v>1800</v>
      </c>
      <c r="H558" s="14">
        <v>0</v>
      </c>
      <c r="I558" s="14">
        <v>0</v>
      </c>
      <c r="J558" s="88">
        <f t="shared" si="43"/>
        <v>1800</v>
      </c>
      <c r="K558" s="91"/>
    </row>
    <row r="559" spans="2:11" x14ac:dyDescent="0.45">
      <c r="B559" s="85">
        <f t="shared" si="44"/>
        <v>14</v>
      </c>
      <c r="C559" s="86">
        <v>46261</v>
      </c>
      <c r="D559" s="86" t="s">
        <v>962</v>
      </c>
      <c r="E559" s="11"/>
      <c r="F559" s="87">
        <v>0</v>
      </c>
      <c r="G559" s="14">
        <v>1700</v>
      </c>
      <c r="H559" s="14">
        <v>0</v>
      </c>
      <c r="I559" s="14">
        <v>0</v>
      </c>
      <c r="J559" s="88">
        <f t="shared" si="43"/>
        <v>1700</v>
      </c>
      <c r="K559" s="91"/>
    </row>
    <row r="560" spans="2:11" x14ac:dyDescent="0.45">
      <c r="B560" s="85">
        <f t="shared" si="44"/>
        <v>15</v>
      </c>
      <c r="C560" s="86">
        <v>46261</v>
      </c>
      <c r="D560" s="86" t="s">
        <v>963</v>
      </c>
      <c r="E560" s="11"/>
      <c r="F560" s="87">
        <v>0</v>
      </c>
      <c r="G560" s="14">
        <v>1700</v>
      </c>
      <c r="H560" s="14">
        <v>0</v>
      </c>
      <c r="I560" s="14">
        <v>0</v>
      </c>
      <c r="J560" s="88">
        <f t="shared" si="43"/>
        <v>1700</v>
      </c>
      <c r="K560" s="91"/>
    </row>
    <row r="561" spans="2:11" x14ac:dyDescent="0.45">
      <c r="B561" s="85">
        <f t="shared" si="44"/>
        <v>16</v>
      </c>
      <c r="C561" s="86">
        <v>46261</v>
      </c>
      <c r="D561" s="86" t="s">
        <v>964</v>
      </c>
      <c r="E561" s="11"/>
      <c r="F561" s="87">
        <v>0</v>
      </c>
      <c r="G561" s="14">
        <v>1900</v>
      </c>
      <c r="H561" s="14">
        <v>570</v>
      </c>
      <c r="I561" s="14">
        <v>0</v>
      </c>
      <c r="J561" s="88">
        <f t="shared" si="43"/>
        <v>1330</v>
      </c>
      <c r="K561" s="91"/>
    </row>
    <row r="562" spans="2:11" x14ac:dyDescent="0.45">
      <c r="B562" s="85">
        <f t="shared" si="44"/>
        <v>17</v>
      </c>
      <c r="C562" s="86">
        <v>46261</v>
      </c>
      <c r="D562" s="86" t="s">
        <v>965</v>
      </c>
      <c r="E562" s="11"/>
      <c r="F562" s="87">
        <v>0</v>
      </c>
      <c r="G562" s="14">
        <v>1900</v>
      </c>
      <c r="H562" s="14">
        <v>200</v>
      </c>
      <c r="I562" s="14">
        <v>0</v>
      </c>
      <c r="J562" s="88">
        <f t="shared" si="43"/>
        <v>1700</v>
      </c>
      <c r="K562" s="91"/>
    </row>
    <row r="563" spans="2:11" x14ac:dyDescent="0.45">
      <c r="B563" s="85">
        <f t="shared" si="44"/>
        <v>18</v>
      </c>
      <c r="C563" s="86">
        <v>46261</v>
      </c>
      <c r="D563" s="86" t="s">
        <v>966</v>
      </c>
      <c r="E563" s="11"/>
      <c r="F563" s="87">
        <v>0</v>
      </c>
      <c r="G563" s="14">
        <v>1900</v>
      </c>
      <c r="H563" s="14">
        <v>900</v>
      </c>
      <c r="I563" s="14">
        <v>0</v>
      </c>
      <c r="J563" s="88">
        <f t="shared" si="43"/>
        <v>1000</v>
      </c>
      <c r="K563" s="91"/>
    </row>
    <row r="564" spans="2:11" x14ac:dyDescent="0.45">
      <c r="B564" s="85">
        <f t="shared" si="44"/>
        <v>19</v>
      </c>
      <c r="C564" s="86">
        <v>46261</v>
      </c>
      <c r="D564" s="86" t="s">
        <v>967</v>
      </c>
      <c r="E564" s="11"/>
      <c r="F564" s="87">
        <v>0</v>
      </c>
      <c r="G564" s="14">
        <v>100</v>
      </c>
      <c r="H564" s="14">
        <v>0</v>
      </c>
      <c r="I564" s="14">
        <v>0</v>
      </c>
      <c r="J564" s="88">
        <f t="shared" si="43"/>
        <v>100</v>
      </c>
      <c r="K564" s="91"/>
    </row>
    <row r="565" spans="2:11" x14ac:dyDescent="0.45">
      <c r="B565" s="85">
        <f t="shared" si="44"/>
        <v>20</v>
      </c>
      <c r="C565" s="86">
        <v>46261</v>
      </c>
      <c r="D565" s="86" t="s">
        <v>968</v>
      </c>
      <c r="E565" s="11"/>
      <c r="F565" s="87">
        <v>0</v>
      </c>
      <c r="G565" s="14">
        <v>100</v>
      </c>
      <c r="H565" s="14">
        <v>0</v>
      </c>
      <c r="I565" s="14">
        <v>0</v>
      </c>
      <c r="J565" s="88">
        <f t="shared" si="43"/>
        <v>100</v>
      </c>
      <c r="K565" s="91"/>
    </row>
    <row r="566" spans="2:11" x14ac:dyDescent="0.45">
      <c r="B566" s="85">
        <f t="shared" si="44"/>
        <v>21</v>
      </c>
      <c r="C566" s="86">
        <v>46261</v>
      </c>
      <c r="D566" s="86" t="s">
        <v>969</v>
      </c>
      <c r="E566" s="11"/>
      <c r="F566" s="87">
        <v>0</v>
      </c>
      <c r="G566" s="14">
        <v>1900</v>
      </c>
      <c r="H566" s="14">
        <v>570</v>
      </c>
      <c r="I566" s="14">
        <v>0</v>
      </c>
      <c r="J566" s="88">
        <f t="shared" si="43"/>
        <v>1330</v>
      </c>
      <c r="K566" s="91"/>
    </row>
    <row r="567" spans="2:11" x14ac:dyDescent="0.45">
      <c r="B567" s="85">
        <f t="shared" si="44"/>
        <v>22</v>
      </c>
      <c r="C567" s="86">
        <v>46261</v>
      </c>
      <c r="D567" s="86" t="s">
        <v>970</v>
      </c>
      <c r="E567" s="11"/>
      <c r="F567" s="87">
        <v>0</v>
      </c>
      <c r="G567" s="14">
        <v>440</v>
      </c>
      <c r="H567" s="14">
        <v>0</v>
      </c>
      <c r="I567" s="14">
        <v>0</v>
      </c>
      <c r="J567" s="88">
        <f t="shared" si="43"/>
        <v>440</v>
      </c>
      <c r="K567" s="89"/>
    </row>
    <row r="568" spans="2:11" x14ac:dyDescent="0.45">
      <c r="B568" s="85">
        <f t="shared" si="44"/>
        <v>23</v>
      </c>
      <c r="C568" s="86">
        <v>46261</v>
      </c>
      <c r="D568" s="86" t="s">
        <v>971</v>
      </c>
      <c r="E568" s="11"/>
      <c r="F568" s="87">
        <v>0</v>
      </c>
      <c r="G568" s="14">
        <v>24500</v>
      </c>
      <c r="H568" s="14">
        <v>7350</v>
      </c>
      <c r="I568" s="14">
        <v>0</v>
      </c>
      <c r="J568" s="88">
        <f t="shared" si="43"/>
        <v>17150</v>
      </c>
      <c r="K568" s="91"/>
    </row>
    <row r="569" spans="2:11" x14ac:dyDescent="0.45">
      <c r="B569" s="85">
        <f t="shared" si="44"/>
        <v>24</v>
      </c>
      <c r="C569" s="86">
        <v>46261</v>
      </c>
      <c r="D569" s="86" t="s">
        <v>972</v>
      </c>
      <c r="E569" s="11"/>
      <c r="F569" s="87">
        <v>0</v>
      </c>
      <c r="G569" s="14">
        <v>1900</v>
      </c>
      <c r="H569" s="14">
        <v>0</v>
      </c>
      <c r="I569" s="14">
        <v>0</v>
      </c>
      <c r="J569" s="88">
        <f t="shared" si="43"/>
        <v>1900</v>
      </c>
      <c r="K569" s="91"/>
    </row>
    <row r="570" spans="2:11" x14ac:dyDescent="0.45">
      <c r="B570" s="85">
        <f t="shared" si="44"/>
        <v>25</v>
      </c>
      <c r="C570" s="86">
        <v>46261</v>
      </c>
      <c r="D570" s="86" t="s">
        <v>973</v>
      </c>
      <c r="E570" s="11"/>
      <c r="F570" s="87">
        <v>0</v>
      </c>
      <c r="G570" s="14">
        <v>1900</v>
      </c>
      <c r="H570" s="14">
        <v>570</v>
      </c>
      <c r="I570" s="14">
        <v>0</v>
      </c>
      <c r="J570" s="88">
        <f t="shared" si="43"/>
        <v>1330</v>
      </c>
      <c r="K570" s="91"/>
    </row>
    <row r="571" spans="2:11" x14ac:dyDescent="0.45">
      <c r="B571" s="85">
        <f t="shared" si="44"/>
        <v>26</v>
      </c>
      <c r="C571" s="86">
        <v>46261</v>
      </c>
      <c r="D571" s="86" t="s">
        <v>974</v>
      </c>
      <c r="E571" s="11"/>
      <c r="F571" s="87">
        <v>0</v>
      </c>
      <c r="G571" s="14">
        <v>9300</v>
      </c>
      <c r="H571" s="14">
        <v>600</v>
      </c>
      <c r="I571" s="14">
        <v>0</v>
      </c>
      <c r="J571" s="88">
        <f t="shared" si="43"/>
        <v>8700</v>
      </c>
      <c r="K571" s="91"/>
    </row>
    <row r="572" spans="2:11" x14ac:dyDescent="0.45">
      <c r="B572" s="85">
        <f t="shared" si="44"/>
        <v>27</v>
      </c>
      <c r="C572" s="86">
        <v>46261</v>
      </c>
      <c r="D572" s="86" t="s">
        <v>975</v>
      </c>
      <c r="E572" s="11"/>
      <c r="F572" s="87">
        <v>0</v>
      </c>
      <c r="G572" s="14">
        <v>3280</v>
      </c>
      <c r="H572" s="14">
        <v>0</v>
      </c>
      <c r="I572" s="14">
        <v>0</v>
      </c>
      <c r="J572" s="88">
        <f t="shared" si="43"/>
        <v>3280</v>
      </c>
      <c r="K572" s="91"/>
    </row>
    <row r="573" spans="2:11" x14ac:dyDescent="0.45">
      <c r="B573" s="85">
        <f t="shared" si="44"/>
        <v>28</v>
      </c>
      <c r="C573" s="86">
        <v>46261</v>
      </c>
      <c r="D573" s="86" t="s">
        <v>976</v>
      </c>
      <c r="E573" s="11"/>
      <c r="F573" s="87">
        <v>0</v>
      </c>
      <c r="G573" s="14">
        <v>8600</v>
      </c>
      <c r="H573" s="14">
        <v>2580</v>
      </c>
      <c r="I573" s="14">
        <v>0</v>
      </c>
      <c r="J573" s="88">
        <f t="shared" si="43"/>
        <v>6020</v>
      </c>
      <c r="K573" s="91"/>
    </row>
    <row r="574" spans="2:11" x14ac:dyDescent="0.45">
      <c r="B574" s="85">
        <v>1</v>
      </c>
      <c r="C574" s="86">
        <v>46262</v>
      </c>
      <c r="D574" s="86" t="s">
        <v>977</v>
      </c>
      <c r="E574" s="11"/>
      <c r="F574" s="87">
        <v>0</v>
      </c>
      <c r="G574" s="14">
        <v>3000</v>
      </c>
      <c r="H574" s="14">
        <v>0</v>
      </c>
      <c r="I574" s="14">
        <v>0</v>
      </c>
      <c r="J574" s="88">
        <f>+G574-H574</f>
        <v>3000</v>
      </c>
      <c r="K574" s="89"/>
    </row>
    <row r="575" spans="2:11" x14ac:dyDescent="0.45">
      <c r="B575" s="85">
        <f>+B574+1</f>
        <v>2</v>
      </c>
      <c r="C575" s="86">
        <v>46262</v>
      </c>
      <c r="D575" s="86" t="s">
        <v>978</v>
      </c>
      <c r="E575" s="11"/>
      <c r="F575" s="87">
        <v>0</v>
      </c>
      <c r="G575" s="14">
        <v>1900</v>
      </c>
      <c r="H575" s="14">
        <v>570</v>
      </c>
      <c r="I575" s="14">
        <v>0</v>
      </c>
      <c r="J575" s="88">
        <f t="shared" ref="J575:J597" si="45">+G575-H575</f>
        <v>1330</v>
      </c>
      <c r="K575" s="90"/>
    </row>
    <row r="576" spans="2:11" x14ac:dyDescent="0.45">
      <c r="B576" s="85">
        <f t="shared" ref="B576:B597" si="46">+B575+1</f>
        <v>3</v>
      </c>
      <c r="C576" s="86">
        <v>46262</v>
      </c>
      <c r="D576" s="86" t="s">
        <v>979</v>
      </c>
      <c r="E576" s="11"/>
      <c r="F576" s="87">
        <v>0</v>
      </c>
      <c r="G576" s="14">
        <v>1700</v>
      </c>
      <c r="H576" s="14">
        <v>510</v>
      </c>
      <c r="I576" s="14">
        <v>0</v>
      </c>
      <c r="J576" s="88">
        <f t="shared" si="45"/>
        <v>1190</v>
      </c>
      <c r="K576" s="90"/>
    </row>
    <row r="577" spans="2:11" x14ac:dyDescent="0.45">
      <c r="B577" s="85">
        <f t="shared" si="46"/>
        <v>4</v>
      </c>
      <c r="C577" s="86">
        <v>46262</v>
      </c>
      <c r="D577" s="86" t="s">
        <v>980</v>
      </c>
      <c r="E577" s="11"/>
      <c r="F577" s="87">
        <v>0</v>
      </c>
      <c r="G577" s="14">
        <v>3820</v>
      </c>
      <c r="H577" s="14">
        <v>600</v>
      </c>
      <c r="I577" s="14">
        <v>0</v>
      </c>
      <c r="J577" s="88">
        <f t="shared" si="45"/>
        <v>3220</v>
      </c>
      <c r="K577" s="91"/>
    </row>
    <row r="578" spans="2:11" x14ac:dyDescent="0.45">
      <c r="B578" s="85">
        <f t="shared" si="46"/>
        <v>5</v>
      </c>
      <c r="C578" s="86">
        <v>46262</v>
      </c>
      <c r="D578" s="86" t="s">
        <v>981</v>
      </c>
      <c r="E578" s="11"/>
      <c r="F578" s="87">
        <v>0</v>
      </c>
      <c r="G578" s="14">
        <v>1900</v>
      </c>
      <c r="H578" s="14">
        <v>0</v>
      </c>
      <c r="I578" s="14">
        <v>0</v>
      </c>
      <c r="J578" s="88">
        <f t="shared" si="45"/>
        <v>1900</v>
      </c>
      <c r="K578" s="89"/>
    </row>
    <row r="579" spans="2:11" x14ac:dyDescent="0.45">
      <c r="B579" s="85">
        <f t="shared" si="46"/>
        <v>6</v>
      </c>
      <c r="C579" s="86">
        <v>46262</v>
      </c>
      <c r="D579" s="86" t="s">
        <v>982</v>
      </c>
      <c r="E579" s="11"/>
      <c r="F579" s="87">
        <v>0</v>
      </c>
      <c r="G579" s="14">
        <v>4900</v>
      </c>
      <c r="H579" s="14">
        <v>1470</v>
      </c>
      <c r="I579" s="14">
        <v>0</v>
      </c>
      <c r="J579" s="88">
        <f t="shared" si="45"/>
        <v>3430</v>
      </c>
      <c r="K579" s="91"/>
    </row>
    <row r="580" spans="2:11" x14ac:dyDescent="0.45">
      <c r="B580" s="85">
        <f t="shared" si="46"/>
        <v>7</v>
      </c>
      <c r="C580" s="86">
        <v>46262</v>
      </c>
      <c r="D580" s="86" t="s">
        <v>983</v>
      </c>
      <c r="E580" s="11"/>
      <c r="F580" s="87">
        <v>0</v>
      </c>
      <c r="G580" s="14">
        <v>2500</v>
      </c>
      <c r="H580" s="14">
        <v>800</v>
      </c>
      <c r="I580" s="14">
        <v>0</v>
      </c>
      <c r="J580" s="88">
        <f t="shared" si="45"/>
        <v>1700</v>
      </c>
      <c r="K580" s="91"/>
    </row>
    <row r="581" spans="2:11" x14ac:dyDescent="0.45">
      <c r="B581" s="85">
        <f t="shared" si="46"/>
        <v>8</v>
      </c>
      <c r="C581" s="86">
        <v>46262</v>
      </c>
      <c r="D581" s="86" t="s">
        <v>984</v>
      </c>
      <c r="E581" s="11"/>
      <c r="F581" s="87">
        <v>0</v>
      </c>
      <c r="G581" s="14">
        <v>5900</v>
      </c>
      <c r="H581" s="14">
        <v>1400</v>
      </c>
      <c r="I581" s="14">
        <v>0</v>
      </c>
      <c r="J581" s="88">
        <f t="shared" si="45"/>
        <v>4500</v>
      </c>
      <c r="K581" s="91"/>
    </row>
    <row r="582" spans="2:11" x14ac:dyDescent="0.45">
      <c r="B582" s="85">
        <f t="shared" si="46"/>
        <v>9</v>
      </c>
      <c r="C582" s="86">
        <v>46262</v>
      </c>
      <c r="D582" s="86" t="s">
        <v>985</v>
      </c>
      <c r="E582" s="11"/>
      <c r="F582" s="87">
        <v>0</v>
      </c>
      <c r="G582" s="14">
        <v>4900</v>
      </c>
      <c r="H582" s="14">
        <v>400</v>
      </c>
      <c r="I582" s="14">
        <v>0</v>
      </c>
      <c r="J582" s="88">
        <f t="shared" si="45"/>
        <v>4500</v>
      </c>
      <c r="K582" s="91"/>
    </row>
    <row r="583" spans="2:11" x14ac:dyDescent="0.45">
      <c r="B583" s="85">
        <f t="shared" si="46"/>
        <v>10</v>
      </c>
      <c r="C583" s="86">
        <v>46262</v>
      </c>
      <c r="D583" s="86" t="s">
        <v>986</v>
      </c>
      <c r="E583" s="11"/>
      <c r="F583" s="87">
        <v>0</v>
      </c>
      <c r="G583" s="14">
        <v>4900</v>
      </c>
      <c r="H583" s="14">
        <v>1470</v>
      </c>
      <c r="I583" s="14">
        <v>0</v>
      </c>
      <c r="J583" s="88">
        <f t="shared" si="45"/>
        <v>3430</v>
      </c>
      <c r="K583" s="91"/>
    </row>
    <row r="584" spans="2:11" x14ac:dyDescent="0.45">
      <c r="B584" s="85">
        <f t="shared" si="46"/>
        <v>11</v>
      </c>
      <c r="C584" s="86">
        <v>46262</v>
      </c>
      <c r="D584" s="86" t="s">
        <v>987</v>
      </c>
      <c r="E584" s="11"/>
      <c r="F584" s="87">
        <v>0</v>
      </c>
      <c r="G584" s="14">
        <v>7000</v>
      </c>
      <c r="H584" s="14">
        <v>2100</v>
      </c>
      <c r="I584" s="14">
        <v>0</v>
      </c>
      <c r="J584" s="88">
        <f t="shared" si="45"/>
        <v>4900</v>
      </c>
      <c r="K584" s="91"/>
    </row>
    <row r="585" spans="2:11" x14ac:dyDescent="0.45">
      <c r="B585" s="85">
        <f t="shared" si="46"/>
        <v>12</v>
      </c>
      <c r="C585" s="86">
        <v>46262</v>
      </c>
      <c r="D585" s="86" t="s">
        <v>988</v>
      </c>
      <c r="E585" s="11"/>
      <c r="F585" s="87">
        <v>0</v>
      </c>
      <c r="G585" s="14">
        <v>1900</v>
      </c>
      <c r="H585" s="14">
        <v>100</v>
      </c>
      <c r="I585" s="14">
        <v>0</v>
      </c>
      <c r="J585" s="88">
        <f t="shared" si="45"/>
        <v>1800</v>
      </c>
      <c r="K585" s="91"/>
    </row>
    <row r="586" spans="2:11" x14ac:dyDescent="0.45">
      <c r="B586" s="85">
        <f t="shared" si="46"/>
        <v>13</v>
      </c>
      <c r="C586" s="86">
        <v>46262</v>
      </c>
      <c r="D586" s="86" t="s">
        <v>989</v>
      </c>
      <c r="E586" s="11"/>
      <c r="F586" s="87">
        <v>0</v>
      </c>
      <c r="G586" s="14">
        <v>4500</v>
      </c>
      <c r="H586" s="14">
        <v>0</v>
      </c>
      <c r="I586" s="14">
        <v>0</v>
      </c>
      <c r="J586" s="88">
        <f t="shared" si="45"/>
        <v>4500</v>
      </c>
      <c r="K586" s="91"/>
    </row>
    <row r="587" spans="2:11" x14ac:dyDescent="0.45">
      <c r="B587" s="85">
        <f t="shared" si="46"/>
        <v>14</v>
      </c>
      <c r="C587" s="86">
        <v>46262</v>
      </c>
      <c r="D587" s="86" t="s">
        <v>990</v>
      </c>
      <c r="E587" s="11"/>
      <c r="F587" s="87">
        <v>0</v>
      </c>
      <c r="G587" s="14">
        <v>7600</v>
      </c>
      <c r="H587" s="14">
        <v>4800</v>
      </c>
      <c r="I587" s="14">
        <v>0</v>
      </c>
      <c r="J587" s="88">
        <f t="shared" si="45"/>
        <v>2800</v>
      </c>
      <c r="K587" s="91"/>
    </row>
    <row r="588" spans="2:11" x14ac:dyDescent="0.45">
      <c r="B588" s="85">
        <f t="shared" si="46"/>
        <v>15</v>
      </c>
      <c r="C588" s="86">
        <v>46262</v>
      </c>
      <c r="D588" s="86" t="s">
        <v>991</v>
      </c>
      <c r="E588" s="11"/>
      <c r="F588" s="87">
        <v>0</v>
      </c>
      <c r="G588" s="14">
        <v>14000</v>
      </c>
      <c r="H588" s="14">
        <v>4200</v>
      </c>
      <c r="I588" s="14">
        <v>0</v>
      </c>
      <c r="J588" s="88">
        <f t="shared" si="45"/>
        <v>9800</v>
      </c>
      <c r="K588" s="91"/>
    </row>
    <row r="589" spans="2:11" x14ac:dyDescent="0.45">
      <c r="B589" s="85">
        <f t="shared" si="46"/>
        <v>16</v>
      </c>
      <c r="C589" s="86">
        <v>46262</v>
      </c>
      <c r="D589" s="86" t="s">
        <v>992</v>
      </c>
      <c r="E589" s="11"/>
      <c r="F589" s="87">
        <v>0</v>
      </c>
      <c r="G589" s="14">
        <v>220</v>
      </c>
      <c r="H589" s="14">
        <v>0</v>
      </c>
      <c r="I589" s="14">
        <v>0</v>
      </c>
      <c r="J589" s="88">
        <f t="shared" si="45"/>
        <v>220</v>
      </c>
      <c r="K589" s="91"/>
    </row>
    <row r="590" spans="2:11" x14ac:dyDescent="0.45">
      <c r="B590" s="85">
        <f t="shared" si="46"/>
        <v>17</v>
      </c>
      <c r="C590" s="86">
        <v>46262</v>
      </c>
      <c r="D590" s="86" t="s">
        <v>993</v>
      </c>
      <c r="E590" s="11"/>
      <c r="F590" s="87">
        <v>0</v>
      </c>
      <c r="G590" s="14">
        <v>220</v>
      </c>
      <c r="H590" s="14">
        <v>0</v>
      </c>
      <c r="I590" s="14">
        <v>0</v>
      </c>
      <c r="J590" s="88">
        <f t="shared" si="45"/>
        <v>220</v>
      </c>
      <c r="K590" s="91"/>
    </row>
    <row r="591" spans="2:11" x14ac:dyDescent="0.45">
      <c r="B591" s="85">
        <f t="shared" si="46"/>
        <v>18</v>
      </c>
      <c r="C591" s="86">
        <v>46262</v>
      </c>
      <c r="D591" s="86" t="s">
        <v>994</v>
      </c>
      <c r="E591" s="11"/>
      <c r="F591" s="87">
        <v>0</v>
      </c>
      <c r="G591" s="14">
        <v>100</v>
      </c>
      <c r="H591" s="14">
        <v>0</v>
      </c>
      <c r="I591" s="14">
        <v>0</v>
      </c>
      <c r="J591" s="88">
        <f t="shared" si="45"/>
        <v>100</v>
      </c>
      <c r="K591" s="91"/>
    </row>
    <row r="592" spans="2:11" x14ac:dyDescent="0.45">
      <c r="B592" s="85">
        <f t="shared" si="46"/>
        <v>19</v>
      </c>
      <c r="C592" s="86">
        <v>46262</v>
      </c>
      <c r="D592" s="86" t="s">
        <v>995</v>
      </c>
      <c r="E592" s="11"/>
      <c r="F592" s="87">
        <v>0</v>
      </c>
      <c r="G592" s="14">
        <v>1800</v>
      </c>
      <c r="H592" s="14">
        <v>400</v>
      </c>
      <c r="I592" s="14">
        <v>0</v>
      </c>
      <c r="J592" s="88">
        <f t="shared" si="45"/>
        <v>1400</v>
      </c>
      <c r="K592" s="91"/>
    </row>
    <row r="593" spans="2:11" x14ac:dyDescent="0.45">
      <c r="B593" s="85">
        <f t="shared" si="46"/>
        <v>20</v>
      </c>
      <c r="C593" s="86">
        <v>46262</v>
      </c>
      <c r="D593" s="86" t="s">
        <v>996</v>
      </c>
      <c r="E593" s="11"/>
      <c r="F593" s="87">
        <v>0</v>
      </c>
      <c r="G593" s="14">
        <v>2000</v>
      </c>
      <c r="H593" s="14">
        <v>200</v>
      </c>
      <c r="I593" s="14">
        <v>0</v>
      </c>
      <c r="J593" s="88">
        <f t="shared" si="45"/>
        <v>1800</v>
      </c>
      <c r="K593" s="91"/>
    </row>
    <row r="594" spans="2:11" x14ac:dyDescent="0.45">
      <c r="B594" s="85">
        <f t="shared" si="46"/>
        <v>21</v>
      </c>
      <c r="C594" s="86">
        <v>46262</v>
      </c>
      <c r="D594" s="86" t="s">
        <v>997</v>
      </c>
      <c r="E594" s="11"/>
      <c r="F594" s="87">
        <v>0</v>
      </c>
      <c r="G594" s="14">
        <f>2800*2</f>
        <v>5600</v>
      </c>
      <c r="H594" s="14">
        <v>1000</v>
      </c>
      <c r="I594" s="14">
        <v>0</v>
      </c>
      <c r="J594" s="88">
        <f t="shared" si="45"/>
        <v>4600</v>
      </c>
      <c r="K594" s="91"/>
    </row>
    <row r="595" spans="2:11" x14ac:dyDescent="0.45">
      <c r="B595" s="85">
        <f t="shared" si="46"/>
        <v>22</v>
      </c>
      <c r="C595" s="86">
        <v>46262</v>
      </c>
      <c r="D595" s="86" t="s">
        <v>998</v>
      </c>
      <c r="E595" s="11"/>
      <c r="F595" s="87">
        <v>0</v>
      </c>
      <c r="G595" s="14">
        <v>660</v>
      </c>
      <c r="H595" s="14">
        <v>0</v>
      </c>
      <c r="I595" s="14">
        <v>0</v>
      </c>
      <c r="J595" s="88">
        <f t="shared" si="45"/>
        <v>660</v>
      </c>
      <c r="K595" s="89"/>
    </row>
    <row r="596" spans="2:11" x14ac:dyDescent="0.45">
      <c r="B596" s="85">
        <f t="shared" si="46"/>
        <v>23</v>
      </c>
      <c r="C596" s="86">
        <v>46262</v>
      </c>
      <c r="D596" s="86" t="s">
        <v>999</v>
      </c>
      <c r="E596" s="11"/>
      <c r="F596" s="87">
        <v>0</v>
      </c>
      <c r="G596" s="14">
        <v>1700</v>
      </c>
      <c r="H596" s="14">
        <v>510</v>
      </c>
      <c r="I596" s="14">
        <v>0</v>
      </c>
      <c r="J596" s="88">
        <f t="shared" si="45"/>
        <v>1190</v>
      </c>
      <c r="K596" s="91"/>
    </row>
    <row r="597" spans="2:11" x14ac:dyDescent="0.45">
      <c r="B597" s="85">
        <f t="shared" si="46"/>
        <v>24</v>
      </c>
      <c r="C597" s="86">
        <v>46262</v>
      </c>
      <c r="D597" s="86" t="s">
        <v>1000</v>
      </c>
      <c r="E597" s="11"/>
      <c r="F597" s="87">
        <v>0</v>
      </c>
      <c r="G597" s="14">
        <v>1900</v>
      </c>
      <c r="H597" s="14">
        <v>550</v>
      </c>
      <c r="I597" s="14">
        <v>0</v>
      </c>
      <c r="J597" s="88">
        <f t="shared" si="45"/>
        <v>1350</v>
      </c>
      <c r="K597" s="91"/>
    </row>
    <row r="598" spans="2:11" x14ac:dyDescent="0.45">
      <c r="B598" s="85">
        <v>1</v>
      </c>
      <c r="C598" s="86">
        <v>46263</v>
      </c>
      <c r="D598" s="86" t="s">
        <v>1001</v>
      </c>
      <c r="E598" s="11"/>
      <c r="F598" s="87">
        <v>0</v>
      </c>
      <c r="G598" s="14">
        <v>880</v>
      </c>
      <c r="H598" s="14">
        <v>0</v>
      </c>
      <c r="I598" s="14">
        <v>0</v>
      </c>
      <c r="J598" s="88">
        <f>+G598-H598</f>
        <v>880</v>
      </c>
      <c r="K598" s="89"/>
    </row>
    <row r="599" spans="2:11" x14ac:dyDescent="0.45">
      <c r="B599" s="85">
        <f>+B598+1</f>
        <v>2</v>
      </c>
      <c r="C599" s="86">
        <v>46263</v>
      </c>
      <c r="D599" s="86" t="s">
        <v>1002</v>
      </c>
      <c r="E599" s="11"/>
      <c r="F599" s="87">
        <v>0</v>
      </c>
      <c r="G599" s="14">
        <v>2000</v>
      </c>
      <c r="H599" s="14">
        <v>1000</v>
      </c>
      <c r="I599" s="14">
        <v>0</v>
      </c>
      <c r="J599" s="88">
        <f t="shared" ref="J599:J615" si="47">+G599-H599</f>
        <v>1000</v>
      </c>
      <c r="K599" s="90"/>
    </row>
    <row r="600" spans="2:11" x14ac:dyDescent="0.45">
      <c r="B600" s="85">
        <f t="shared" ref="B600:B615" si="48">+B599+1</f>
        <v>3</v>
      </c>
      <c r="C600" s="86">
        <v>46263</v>
      </c>
      <c r="D600" s="86" t="s">
        <v>1003</v>
      </c>
      <c r="E600" s="11"/>
      <c r="F600" s="87">
        <v>0</v>
      </c>
      <c r="G600" s="14">
        <v>1800</v>
      </c>
      <c r="H600" s="14">
        <v>300</v>
      </c>
      <c r="I600" s="14">
        <v>0</v>
      </c>
      <c r="J600" s="88">
        <f t="shared" si="47"/>
        <v>1500</v>
      </c>
      <c r="K600" s="90"/>
    </row>
    <row r="601" spans="2:11" x14ac:dyDescent="0.45">
      <c r="B601" s="85">
        <f t="shared" si="48"/>
        <v>4</v>
      </c>
      <c r="C601" s="86">
        <v>46263</v>
      </c>
      <c r="D601" s="86" t="s">
        <v>1004</v>
      </c>
      <c r="E601" s="11"/>
      <c r="F601" s="87">
        <v>0</v>
      </c>
      <c r="G601" s="14">
        <v>1900</v>
      </c>
      <c r="H601" s="14">
        <v>570</v>
      </c>
      <c r="I601" s="14">
        <v>0</v>
      </c>
      <c r="J601" s="88">
        <f t="shared" si="47"/>
        <v>1330</v>
      </c>
      <c r="K601" s="91"/>
    </row>
    <row r="602" spans="2:11" x14ac:dyDescent="0.45">
      <c r="B602" s="85">
        <f t="shared" si="48"/>
        <v>5</v>
      </c>
      <c r="C602" s="86">
        <v>46263</v>
      </c>
      <c r="D602" s="86" t="s">
        <v>1005</v>
      </c>
      <c r="E602" s="11"/>
      <c r="F602" s="87">
        <v>0</v>
      </c>
      <c r="G602" s="14">
        <v>4900</v>
      </c>
      <c r="H602" s="14">
        <v>1470</v>
      </c>
      <c r="I602" s="14">
        <v>0</v>
      </c>
      <c r="J602" s="88">
        <f t="shared" si="47"/>
        <v>3430</v>
      </c>
      <c r="K602" s="89"/>
    </row>
    <row r="603" spans="2:11" x14ac:dyDescent="0.45">
      <c r="B603" s="85">
        <f t="shared" si="48"/>
        <v>6</v>
      </c>
      <c r="C603" s="86">
        <v>46263</v>
      </c>
      <c r="D603" s="86" t="s">
        <v>1006</v>
      </c>
      <c r="E603" s="11"/>
      <c r="F603" s="87">
        <v>0</v>
      </c>
      <c r="G603" s="14">
        <v>1900</v>
      </c>
      <c r="H603" s="14">
        <v>570</v>
      </c>
      <c r="I603" s="14">
        <v>0</v>
      </c>
      <c r="J603" s="88">
        <f>+G603-H603</f>
        <v>1330</v>
      </c>
      <c r="K603" s="91"/>
    </row>
    <row r="604" spans="2:11" x14ac:dyDescent="0.45">
      <c r="B604" s="85">
        <f t="shared" si="48"/>
        <v>7</v>
      </c>
      <c r="C604" s="86">
        <v>46263</v>
      </c>
      <c r="D604" s="86" t="s">
        <v>1007</v>
      </c>
      <c r="E604" s="11"/>
      <c r="F604" s="87">
        <v>0</v>
      </c>
      <c r="G604" s="14">
        <v>1960</v>
      </c>
      <c r="H604" s="14">
        <v>0</v>
      </c>
      <c r="I604" s="14">
        <v>0</v>
      </c>
      <c r="J604" s="88">
        <f>+G604-H604</f>
        <v>1960</v>
      </c>
      <c r="K604" s="91"/>
    </row>
    <row r="605" spans="2:11" x14ac:dyDescent="0.45">
      <c r="B605" s="85">
        <f t="shared" si="48"/>
        <v>8</v>
      </c>
      <c r="C605" s="86">
        <v>46263</v>
      </c>
      <c r="D605" s="86" t="s">
        <v>1008</v>
      </c>
      <c r="E605" s="11"/>
      <c r="F605" s="87">
        <v>0</v>
      </c>
      <c r="G605" s="14">
        <v>1900</v>
      </c>
      <c r="H605" s="14">
        <v>0</v>
      </c>
      <c r="I605" s="14">
        <v>0</v>
      </c>
      <c r="J605" s="88">
        <f t="shared" si="47"/>
        <v>1900</v>
      </c>
      <c r="K605" s="91"/>
    </row>
    <row r="606" spans="2:11" x14ac:dyDescent="0.45">
      <c r="B606" s="85">
        <f t="shared" si="48"/>
        <v>9</v>
      </c>
      <c r="C606" s="86">
        <v>46263</v>
      </c>
      <c r="D606" s="86" t="s">
        <v>1009</v>
      </c>
      <c r="E606" s="11"/>
      <c r="F606" s="87">
        <v>0</v>
      </c>
      <c r="G606" s="14">
        <v>1800</v>
      </c>
      <c r="H606" s="14">
        <v>300</v>
      </c>
      <c r="I606" s="14">
        <v>0</v>
      </c>
      <c r="J606" s="88">
        <f t="shared" si="47"/>
        <v>1500</v>
      </c>
      <c r="K606" s="91"/>
    </row>
    <row r="607" spans="2:11" x14ac:dyDescent="0.45">
      <c r="B607" s="85">
        <f t="shared" si="48"/>
        <v>10</v>
      </c>
      <c r="C607" s="86">
        <v>46263</v>
      </c>
      <c r="D607" s="86" t="s">
        <v>1010</v>
      </c>
      <c r="E607" s="11"/>
      <c r="F607" s="87">
        <v>0</v>
      </c>
      <c r="G607" s="14">
        <v>13390</v>
      </c>
      <c r="H607" s="14">
        <v>4115</v>
      </c>
      <c r="I607" s="14">
        <v>0</v>
      </c>
      <c r="J607" s="88">
        <f t="shared" si="47"/>
        <v>9275</v>
      </c>
      <c r="K607" s="91"/>
    </row>
    <row r="608" spans="2:11" x14ac:dyDescent="0.45">
      <c r="B608" s="85">
        <f t="shared" si="48"/>
        <v>11</v>
      </c>
      <c r="C608" s="86">
        <v>46263</v>
      </c>
      <c r="D608" s="86" t="s">
        <v>1011</v>
      </c>
      <c r="E608" s="11"/>
      <c r="F608" s="87">
        <v>0</v>
      </c>
      <c r="G608" s="14">
        <v>220</v>
      </c>
      <c r="H608" s="14">
        <v>0</v>
      </c>
      <c r="I608" s="14">
        <v>0</v>
      </c>
      <c r="J608" s="88">
        <f t="shared" si="47"/>
        <v>220</v>
      </c>
      <c r="K608" s="91"/>
    </row>
    <row r="609" spans="2:11" x14ac:dyDescent="0.45">
      <c r="B609" s="85">
        <f t="shared" si="48"/>
        <v>12</v>
      </c>
      <c r="C609" s="86">
        <v>46263</v>
      </c>
      <c r="D609" s="86" t="s">
        <v>1012</v>
      </c>
      <c r="E609" s="11"/>
      <c r="F609" s="87">
        <v>0</v>
      </c>
      <c r="G609" s="14">
        <v>220</v>
      </c>
      <c r="H609" s="14">
        <v>0</v>
      </c>
      <c r="I609" s="14">
        <v>0</v>
      </c>
      <c r="J609" s="88">
        <f t="shared" si="47"/>
        <v>220</v>
      </c>
      <c r="K609" s="91"/>
    </row>
    <row r="610" spans="2:11" x14ac:dyDescent="0.45">
      <c r="B610" s="85">
        <f t="shared" si="48"/>
        <v>13</v>
      </c>
      <c r="C610" s="86">
        <v>46263</v>
      </c>
      <c r="D610" s="86" t="s">
        <v>1013</v>
      </c>
      <c r="E610" s="11"/>
      <c r="F610" s="87">
        <v>0</v>
      </c>
      <c r="G610" s="14">
        <v>1900</v>
      </c>
      <c r="H610" s="14">
        <v>400</v>
      </c>
      <c r="I610" s="14">
        <v>0</v>
      </c>
      <c r="J610" s="88">
        <f t="shared" si="47"/>
        <v>1500</v>
      </c>
      <c r="K610" s="91"/>
    </row>
    <row r="611" spans="2:11" x14ac:dyDescent="0.45">
      <c r="B611" s="85">
        <f t="shared" si="48"/>
        <v>14</v>
      </c>
      <c r="C611" s="86">
        <v>46263</v>
      </c>
      <c r="D611" s="86" t="s">
        <v>1014</v>
      </c>
      <c r="E611" s="11"/>
      <c r="F611" s="87">
        <v>0</v>
      </c>
      <c r="G611" s="14">
        <v>5600</v>
      </c>
      <c r="H611" s="14">
        <v>2800</v>
      </c>
      <c r="I611" s="14">
        <v>0</v>
      </c>
      <c r="J611" s="88">
        <f t="shared" si="47"/>
        <v>2800</v>
      </c>
      <c r="K611" s="91"/>
    </row>
    <row r="612" spans="2:11" x14ac:dyDescent="0.45">
      <c r="B612" s="85">
        <f t="shared" si="48"/>
        <v>15</v>
      </c>
      <c r="C612" s="86">
        <v>46263</v>
      </c>
      <c r="D612" s="86" t="s">
        <v>1015</v>
      </c>
      <c r="E612" s="11"/>
      <c r="F612" s="87">
        <v>0</v>
      </c>
      <c r="G612" s="14">
        <v>10000</v>
      </c>
      <c r="H612" s="14">
        <v>5000</v>
      </c>
      <c r="I612" s="14">
        <v>0</v>
      </c>
      <c r="J612" s="88">
        <f t="shared" si="47"/>
        <v>5000</v>
      </c>
      <c r="K612" s="91"/>
    </row>
    <row r="613" spans="2:11" x14ac:dyDescent="0.45">
      <c r="B613" s="85">
        <f t="shared" si="48"/>
        <v>16</v>
      </c>
      <c r="C613" s="86">
        <v>46263</v>
      </c>
      <c r="D613" s="86" t="s">
        <v>1016</v>
      </c>
      <c r="E613" s="11"/>
      <c r="F613" s="87">
        <v>0</v>
      </c>
      <c r="G613" s="14">
        <v>1700</v>
      </c>
      <c r="H613" s="14">
        <v>200</v>
      </c>
      <c r="I613" s="14">
        <v>0</v>
      </c>
      <c r="J613" s="88">
        <f t="shared" si="47"/>
        <v>1500</v>
      </c>
      <c r="K613" s="91"/>
    </row>
    <row r="614" spans="2:11" x14ac:dyDescent="0.45">
      <c r="B614" s="85">
        <f t="shared" si="48"/>
        <v>17</v>
      </c>
      <c r="C614" s="86">
        <v>46263</v>
      </c>
      <c r="D614" s="86" t="s">
        <v>1017</v>
      </c>
      <c r="E614" s="11"/>
      <c r="F614" s="87">
        <v>0</v>
      </c>
      <c r="G614" s="14">
        <v>2000</v>
      </c>
      <c r="H614" s="14">
        <v>600</v>
      </c>
      <c r="I614" s="14">
        <v>0</v>
      </c>
      <c r="J614" s="88">
        <f t="shared" si="47"/>
        <v>1400</v>
      </c>
      <c r="K614" s="91"/>
    </row>
    <row r="615" spans="2:11" x14ac:dyDescent="0.45">
      <c r="B615" s="85">
        <f t="shared" si="48"/>
        <v>18</v>
      </c>
      <c r="C615" s="86">
        <v>46263</v>
      </c>
      <c r="D615" s="86" t="s">
        <v>1018</v>
      </c>
      <c r="E615" s="11"/>
      <c r="F615" s="87">
        <v>0</v>
      </c>
      <c r="G615" s="14">
        <v>2500</v>
      </c>
      <c r="H615" s="14">
        <v>0</v>
      </c>
      <c r="I615" s="14">
        <v>0</v>
      </c>
      <c r="J615" s="88">
        <f t="shared" si="47"/>
        <v>2500</v>
      </c>
      <c r="K615" s="91"/>
    </row>
    <row r="616" spans="2:11" x14ac:dyDescent="0.45">
      <c r="B616" s="85">
        <v>1</v>
      </c>
      <c r="C616" s="86">
        <v>46265</v>
      </c>
      <c r="D616" s="86" t="s">
        <v>1019</v>
      </c>
      <c r="E616" s="11"/>
      <c r="F616" s="87">
        <v>0</v>
      </c>
      <c r="G616" s="14">
        <v>2000</v>
      </c>
      <c r="H616" s="14">
        <v>0</v>
      </c>
      <c r="I616" s="14">
        <v>0</v>
      </c>
      <c r="J616" s="88">
        <f>+G616-H616</f>
        <v>2000</v>
      </c>
      <c r="K616" s="89"/>
    </row>
    <row r="617" spans="2:11" x14ac:dyDescent="0.45">
      <c r="B617" s="85">
        <f>+B616+1</f>
        <v>2</v>
      </c>
      <c r="C617" s="86">
        <v>46265</v>
      </c>
      <c r="D617" s="86" t="s">
        <v>1020</v>
      </c>
      <c r="E617" s="11"/>
      <c r="F617" s="87">
        <v>0</v>
      </c>
      <c r="G617" s="14">
        <v>1800</v>
      </c>
      <c r="H617" s="14">
        <v>0</v>
      </c>
      <c r="I617" s="14">
        <v>0</v>
      </c>
      <c r="J617" s="88">
        <f t="shared" ref="J617:J620" si="49">+G617-H617</f>
        <v>1800</v>
      </c>
      <c r="K617" s="90"/>
    </row>
    <row r="618" spans="2:11" x14ac:dyDescent="0.45">
      <c r="B618" s="85">
        <f t="shared" ref="B618:B631" si="50">+B617+1</f>
        <v>3</v>
      </c>
      <c r="C618" s="86">
        <v>46265</v>
      </c>
      <c r="D618" s="86" t="s">
        <v>1021</v>
      </c>
      <c r="E618" s="11"/>
      <c r="F618" s="87">
        <v>0</v>
      </c>
      <c r="G618" s="14">
        <v>2800</v>
      </c>
      <c r="H618" s="14">
        <v>0</v>
      </c>
      <c r="I618" s="14">
        <v>0</v>
      </c>
      <c r="J618" s="88">
        <f t="shared" si="49"/>
        <v>2800</v>
      </c>
      <c r="K618" s="90"/>
    </row>
    <row r="619" spans="2:11" x14ac:dyDescent="0.45">
      <c r="B619" s="85">
        <f t="shared" si="50"/>
        <v>4</v>
      </c>
      <c r="C619" s="86">
        <v>46265</v>
      </c>
      <c r="D619" s="86" t="s">
        <v>1022</v>
      </c>
      <c r="E619" s="11"/>
      <c r="F619" s="87">
        <v>0</v>
      </c>
      <c r="G619" s="14">
        <v>10500</v>
      </c>
      <c r="H619" s="14">
        <v>4200</v>
      </c>
      <c r="I619" s="14">
        <v>0</v>
      </c>
      <c r="J619" s="88">
        <f t="shared" si="49"/>
        <v>6300</v>
      </c>
      <c r="K619" s="91"/>
    </row>
    <row r="620" spans="2:11" x14ac:dyDescent="0.45">
      <c r="B620" s="85">
        <f t="shared" si="50"/>
        <v>5</v>
      </c>
      <c r="C620" s="86">
        <v>46265</v>
      </c>
      <c r="D620" s="86" t="s">
        <v>1023</v>
      </c>
      <c r="E620" s="11"/>
      <c r="F620" s="87">
        <v>0</v>
      </c>
      <c r="G620" s="14">
        <v>2500</v>
      </c>
      <c r="H620" s="14">
        <v>750</v>
      </c>
      <c r="I620" s="14">
        <v>0</v>
      </c>
      <c r="J620" s="88">
        <f t="shared" si="49"/>
        <v>1750</v>
      </c>
      <c r="K620" s="89"/>
    </row>
    <row r="621" spans="2:11" x14ac:dyDescent="0.45">
      <c r="B621" s="85">
        <f t="shared" si="50"/>
        <v>6</v>
      </c>
      <c r="C621" s="86">
        <v>46265</v>
      </c>
      <c r="D621" s="86" t="s">
        <v>1024</v>
      </c>
      <c r="E621" s="11"/>
      <c r="F621" s="87">
        <v>0</v>
      </c>
      <c r="G621" s="14">
        <v>2200</v>
      </c>
      <c r="H621" s="14">
        <v>400</v>
      </c>
      <c r="I621" s="14">
        <v>0</v>
      </c>
      <c r="J621" s="88">
        <f>+G621-H621</f>
        <v>1800</v>
      </c>
      <c r="K621" s="91"/>
    </row>
    <row r="622" spans="2:11" x14ac:dyDescent="0.45">
      <c r="B622" s="85">
        <f t="shared" si="50"/>
        <v>7</v>
      </c>
      <c r="C622" s="86">
        <v>46265</v>
      </c>
      <c r="D622" s="86" t="s">
        <v>1025</v>
      </c>
      <c r="E622" s="11"/>
      <c r="F622" s="87">
        <v>0</v>
      </c>
      <c r="G622" s="14">
        <v>14000</v>
      </c>
      <c r="H622" s="14">
        <v>4200</v>
      </c>
      <c r="I622" s="14">
        <v>0</v>
      </c>
      <c r="J622" s="88">
        <f>+G622-H622</f>
        <v>9800</v>
      </c>
      <c r="K622" s="91"/>
    </row>
    <row r="623" spans="2:11" x14ac:dyDescent="0.45">
      <c r="B623" s="85">
        <f t="shared" si="50"/>
        <v>8</v>
      </c>
      <c r="C623" s="86">
        <v>46265</v>
      </c>
      <c r="D623" s="86" t="s">
        <v>1026</v>
      </c>
      <c r="E623" s="11"/>
      <c r="F623" s="87">
        <v>0</v>
      </c>
      <c r="G623" s="14">
        <v>3000</v>
      </c>
      <c r="H623" s="14">
        <v>900</v>
      </c>
      <c r="I623" s="14">
        <v>0</v>
      </c>
      <c r="J623" s="88">
        <f t="shared" ref="J623:J631" si="51">+G623-H623</f>
        <v>2100</v>
      </c>
      <c r="K623" s="91"/>
    </row>
    <row r="624" spans="2:11" x14ac:dyDescent="0.45">
      <c r="B624" s="85">
        <f t="shared" si="50"/>
        <v>9</v>
      </c>
      <c r="C624" s="86">
        <v>46265</v>
      </c>
      <c r="D624" s="86" t="s">
        <v>1027</v>
      </c>
      <c r="E624" s="11"/>
      <c r="F624" s="87">
        <v>0</v>
      </c>
      <c r="G624" s="14">
        <v>2500</v>
      </c>
      <c r="H624" s="14">
        <v>1000</v>
      </c>
      <c r="I624" s="14">
        <v>0</v>
      </c>
      <c r="J624" s="88">
        <f t="shared" si="51"/>
        <v>1500</v>
      </c>
      <c r="K624" s="91"/>
    </row>
    <row r="625" spans="2:11" x14ac:dyDescent="0.45">
      <c r="B625" s="85">
        <f t="shared" si="50"/>
        <v>10</v>
      </c>
      <c r="C625" s="86">
        <v>46265</v>
      </c>
      <c r="D625" s="86" t="s">
        <v>1028</v>
      </c>
      <c r="E625" s="11"/>
      <c r="F625" s="87">
        <v>0</v>
      </c>
      <c r="G625" s="14">
        <v>2500</v>
      </c>
      <c r="H625" s="14">
        <v>0</v>
      </c>
      <c r="I625" s="14">
        <v>0</v>
      </c>
      <c r="J625" s="88">
        <f t="shared" si="51"/>
        <v>2500</v>
      </c>
      <c r="K625" s="91"/>
    </row>
    <row r="626" spans="2:11" x14ac:dyDescent="0.45">
      <c r="B626" s="85">
        <f t="shared" si="50"/>
        <v>11</v>
      </c>
      <c r="C626" s="86">
        <v>46265</v>
      </c>
      <c r="D626" s="86" t="s">
        <v>1029</v>
      </c>
      <c r="E626" s="11"/>
      <c r="F626" s="87">
        <v>0</v>
      </c>
      <c r="G626" s="14">
        <v>1900</v>
      </c>
      <c r="H626" s="14">
        <v>0</v>
      </c>
      <c r="I626" s="14">
        <v>0</v>
      </c>
      <c r="J626" s="88">
        <f t="shared" si="51"/>
        <v>1900</v>
      </c>
      <c r="K626" s="91"/>
    </row>
    <row r="627" spans="2:11" x14ac:dyDescent="0.45">
      <c r="B627" s="85">
        <f t="shared" si="50"/>
        <v>12</v>
      </c>
      <c r="C627" s="86">
        <v>46265</v>
      </c>
      <c r="D627" s="86" t="s">
        <v>1030</v>
      </c>
      <c r="E627" s="11"/>
      <c r="F627" s="87">
        <v>0</v>
      </c>
      <c r="G627" s="14">
        <v>2500</v>
      </c>
      <c r="H627" s="14">
        <v>750</v>
      </c>
      <c r="I627" s="14">
        <v>0</v>
      </c>
      <c r="J627" s="88">
        <f t="shared" si="51"/>
        <v>1750</v>
      </c>
      <c r="K627" s="91"/>
    </row>
    <row r="628" spans="2:11" x14ac:dyDescent="0.45">
      <c r="B628" s="85">
        <f t="shared" si="50"/>
        <v>13</v>
      </c>
      <c r="C628" s="86">
        <v>46265</v>
      </c>
      <c r="D628" s="86" t="s">
        <v>1031</v>
      </c>
      <c r="E628" s="11"/>
      <c r="F628" s="87">
        <v>0</v>
      </c>
      <c r="G628" s="14">
        <v>1700</v>
      </c>
      <c r="H628" s="14">
        <v>200</v>
      </c>
      <c r="I628" s="14">
        <v>0</v>
      </c>
      <c r="J628" s="88">
        <f t="shared" si="51"/>
        <v>1500</v>
      </c>
      <c r="K628" s="91"/>
    </row>
    <row r="629" spans="2:11" x14ac:dyDescent="0.45">
      <c r="B629" s="85">
        <f t="shared" si="50"/>
        <v>14</v>
      </c>
      <c r="C629" s="86">
        <v>46265</v>
      </c>
      <c r="D629" s="86" t="s">
        <v>1032</v>
      </c>
      <c r="E629" s="11"/>
      <c r="F629" s="87">
        <v>0</v>
      </c>
      <c r="G629" s="14">
        <v>14000</v>
      </c>
      <c r="H629" s="14">
        <v>800</v>
      </c>
      <c r="I629" s="14">
        <v>0</v>
      </c>
      <c r="J629" s="88">
        <f t="shared" si="51"/>
        <v>13200</v>
      </c>
      <c r="K629" s="91"/>
    </row>
    <row r="630" spans="2:11" x14ac:dyDescent="0.45">
      <c r="B630" s="85">
        <f t="shared" si="50"/>
        <v>15</v>
      </c>
      <c r="C630" s="86">
        <v>46265</v>
      </c>
      <c r="D630" s="86" t="s">
        <v>1033</v>
      </c>
      <c r="E630" s="11"/>
      <c r="F630" s="87">
        <v>0</v>
      </c>
      <c r="G630" s="14">
        <v>440</v>
      </c>
      <c r="H630" s="14">
        <v>0</v>
      </c>
      <c r="I630" s="14">
        <v>0</v>
      </c>
      <c r="J630" s="88">
        <f t="shared" si="51"/>
        <v>440</v>
      </c>
      <c r="K630" s="91"/>
    </row>
    <row r="631" spans="2:11" x14ac:dyDescent="0.45">
      <c r="B631" s="85">
        <f t="shared" si="50"/>
        <v>16</v>
      </c>
      <c r="C631" s="86">
        <v>46265</v>
      </c>
      <c r="D631" s="86" t="s">
        <v>1034</v>
      </c>
      <c r="E631" s="11"/>
      <c r="F631" s="87">
        <v>0</v>
      </c>
      <c r="G631" s="14">
        <v>1700</v>
      </c>
      <c r="H631" s="14">
        <v>0</v>
      </c>
      <c r="I631" s="14">
        <v>0</v>
      </c>
      <c r="J631" s="88">
        <f t="shared" si="51"/>
        <v>1700</v>
      </c>
      <c r="K631" s="91"/>
    </row>
    <row r="632" spans="2:11" ht="14.65" thickBot="1" x14ac:dyDescent="0.5">
      <c r="F632" s="98">
        <v>30000</v>
      </c>
      <c r="G632" s="98">
        <v>2529290</v>
      </c>
      <c r="H632" s="98">
        <v>516630</v>
      </c>
      <c r="I632" s="98">
        <v>4500</v>
      </c>
      <c r="J632" s="98">
        <f>+F632+G632+I632-H632</f>
        <v>2047160</v>
      </c>
    </row>
    <row r="633" spans="2:11" ht="14.65" thickTop="1" x14ac:dyDescent="0.45"/>
    <row r="634" spans="2:11" x14ac:dyDescent="0.45">
      <c r="E634" t="s">
        <v>399</v>
      </c>
      <c r="F634" t="s">
        <v>400</v>
      </c>
      <c r="G634" s="79" t="s">
        <v>1035</v>
      </c>
      <c r="H634" s="79" t="s">
        <v>402</v>
      </c>
      <c r="I634" s="79" t="s">
        <v>403</v>
      </c>
      <c r="J634" s="79" t="s">
        <v>404</v>
      </c>
    </row>
    <row r="635" spans="2:11" x14ac:dyDescent="0.45">
      <c r="E635" t="s">
        <v>405</v>
      </c>
      <c r="F635" s="46">
        <f>+F632</f>
        <v>30000</v>
      </c>
      <c r="G635" s="80">
        <f>+G632</f>
        <v>2529290</v>
      </c>
      <c r="H635" s="80">
        <f>+H632</f>
        <v>516630</v>
      </c>
      <c r="I635" s="80">
        <f>+I632</f>
        <v>4500</v>
      </c>
      <c r="J635" s="80">
        <f>+F635+G635-H635+I635</f>
        <v>2047160</v>
      </c>
      <c r="K635" s="46"/>
    </row>
    <row r="636" spans="2:11" x14ac:dyDescent="0.45">
      <c r="G636" s="41"/>
    </row>
  </sheetData>
  <mergeCells count="1">
    <mergeCell ref="B2:K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00494-FA9B-4A34-A242-2C4702E668AF}">
  <dimension ref="A2:I266"/>
  <sheetViews>
    <sheetView workbookViewId="0">
      <selection activeCell="F5" sqref="F5"/>
    </sheetView>
  </sheetViews>
  <sheetFormatPr defaultColWidth="10.73046875" defaultRowHeight="14.25" x14ac:dyDescent="0.45"/>
  <cols>
    <col min="2" max="3" width="15.86328125" customWidth="1"/>
    <col min="4" max="4" width="22.46484375" customWidth="1"/>
    <col min="6" max="6" width="11.265625" bestFit="1" customWidth="1"/>
    <col min="9" max="9" width="11.265625" bestFit="1" customWidth="1"/>
  </cols>
  <sheetData>
    <row r="2" spans="1:9" x14ac:dyDescent="0.45">
      <c r="A2" s="99" t="s">
        <v>1036</v>
      </c>
      <c r="B2" s="99"/>
      <c r="C2" s="99"/>
      <c r="D2" s="99"/>
      <c r="E2" s="99"/>
      <c r="F2" s="99"/>
      <c r="G2" s="99"/>
      <c r="H2" s="99"/>
      <c r="I2" s="99"/>
    </row>
    <row r="3" spans="1:9" x14ac:dyDescent="0.45">
      <c r="A3" s="99" t="s">
        <v>1037</v>
      </c>
      <c r="B3" s="99"/>
      <c r="C3" s="99"/>
      <c r="D3" s="99"/>
      <c r="E3" s="99"/>
      <c r="F3" s="99"/>
      <c r="G3" s="99"/>
      <c r="H3" s="99"/>
      <c r="I3" s="99"/>
    </row>
    <row r="4" spans="1:9" s="79" customFormat="1" x14ac:dyDescent="0.45">
      <c r="A4" s="79" t="s">
        <v>1038</v>
      </c>
      <c r="B4" s="79" t="s">
        <v>1039</v>
      </c>
      <c r="C4" s="79" t="s">
        <v>1039</v>
      </c>
      <c r="D4" s="79" t="s">
        <v>1040</v>
      </c>
      <c r="E4" s="79" t="s">
        <v>400</v>
      </c>
      <c r="F4" s="79" t="s">
        <v>401</v>
      </c>
      <c r="G4" s="79" t="s">
        <v>402</v>
      </c>
      <c r="H4" s="79" t="s">
        <v>403</v>
      </c>
      <c r="I4" s="79" t="s">
        <v>404</v>
      </c>
    </row>
    <row r="5" spans="1:9" x14ac:dyDescent="0.45">
      <c r="A5" s="86">
        <v>46235</v>
      </c>
      <c r="B5" s="100" t="s">
        <v>407</v>
      </c>
      <c r="C5" s="100" t="s">
        <v>420</v>
      </c>
      <c r="D5" s="11" t="s">
        <v>1041</v>
      </c>
      <c r="E5" s="87">
        <v>0</v>
      </c>
      <c r="F5" s="87">
        <v>20490</v>
      </c>
      <c r="G5" s="87">
        <v>4150</v>
      </c>
      <c r="H5" s="87">
        <f>+E5*0.15</f>
        <v>0</v>
      </c>
      <c r="I5" s="87">
        <f>+E5+F5+-G5+H5</f>
        <v>16340</v>
      </c>
    </row>
    <row r="6" spans="1:9" x14ac:dyDescent="0.45">
      <c r="A6" s="86">
        <v>46237</v>
      </c>
      <c r="B6" s="11" t="s">
        <v>421</v>
      </c>
      <c r="C6" s="11" t="s">
        <v>457</v>
      </c>
      <c r="D6" s="11" t="s">
        <v>1041</v>
      </c>
      <c r="E6" s="87">
        <v>0</v>
      </c>
      <c r="F6" s="87">
        <v>441825</v>
      </c>
      <c r="G6" s="87">
        <v>78195</v>
      </c>
      <c r="H6" s="87">
        <f t="shared" ref="H6:H30" si="0">+E6*0.15</f>
        <v>0</v>
      </c>
      <c r="I6" s="87">
        <f t="shared" ref="I6:I30" si="1">+E6+F6+-G6+H6</f>
        <v>363630</v>
      </c>
    </row>
    <row r="7" spans="1:9" x14ac:dyDescent="0.45">
      <c r="A7" s="86">
        <v>46238</v>
      </c>
      <c r="B7" s="11" t="s">
        <v>458</v>
      </c>
      <c r="C7" s="11" t="s">
        <v>481</v>
      </c>
      <c r="D7" s="11" t="s">
        <v>1041</v>
      </c>
      <c r="E7" s="87">
        <v>0</v>
      </c>
      <c r="F7" s="87">
        <v>99195</v>
      </c>
      <c r="G7" s="87">
        <v>22675</v>
      </c>
      <c r="H7" s="87">
        <f t="shared" si="0"/>
        <v>0</v>
      </c>
      <c r="I7" s="87">
        <f t="shared" si="1"/>
        <v>76520</v>
      </c>
    </row>
    <row r="8" spans="1:9" x14ac:dyDescent="0.45">
      <c r="A8" s="86">
        <v>46239</v>
      </c>
      <c r="B8" s="11" t="s">
        <v>482</v>
      </c>
      <c r="C8" s="11" t="s">
        <v>523</v>
      </c>
      <c r="D8" s="11" t="s">
        <v>1041</v>
      </c>
      <c r="E8" s="87">
        <v>0</v>
      </c>
      <c r="F8" s="87">
        <v>92880</v>
      </c>
      <c r="G8" s="87">
        <v>19740</v>
      </c>
      <c r="H8" s="87">
        <f t="shared" si="0"/>
        <v>0</v>
      </c>
      <c r="I8" s="87">
        <f t="shared" si="1"/>
        <v>73140</v>
      </c>
    </row>
    <row r="9" spans="1:9" x14ac:dyDescent="0.45">
      <c r="A9" s="86">
        <v>46240</v>
      </c>
      <c r="B9" s="11" t="s">
        <v>524</v>
      </c>
      <c r="C9" s="11" t="s">
        <v>554</v>
      </c>
      <c r="D9" s="11" t="s">
        <v>1041</v>
      </c>
      <c r="E9" s="87">
        <v>0</v>
      </c>
      <c r="F9" s="87">
        <v>146420</v>
      </c>
      <c r="G9" s="87">
        <v>39840</v>
      </c>
      <c r="H9" s="87">
        <f t="shared" si="0"/>
        <v>0</v>
      </c>
      <c r="I9" s="87">
        <f t="shared" si="1"/>
        <v>106580</v>
      </c>
    </row>
    <row r="10" spans="1:9" x14ac:dyDescent="0.45">
      <c r="A10" s="86">
        <v>46241</v>
      </c>
      <c r="B10" s="11" t="s">
        <v>555</v>
      </c>
      <c r="C10" s="11" t="s">
        <v>584</v>
      </c>
      <c r="D10" s="11" t="s">
        <v>1041</v>
      </c>
      <c r="E10" s="87">
        <v>0</v>
      </c>
      <c r="F10" s="87">
        <v>90500</v>
      </c>
      <c r="G10" s="87">
        <v>13670</v>
      </c>
      <c r="H10" s="87">
        <f t="shared" si="0"/>
        <v>0</v>
      </c>
      <c r="I10" s="87">
        <f t="shared" si="1"/>
        <v>76830</v>
      </c>
    </row>
    <row r="11" spans="1:9" x14ac:dyDescent="0.45">
      <c r="A11" s="86">
        <v>46242</v>
      </c>
      <c r="B11" s="11" t="s">
        <v>585</v>
      </c>
      <c r="C11" s="11" t="s">
        <v>1042</v>
      </c>
      <c r="D11" s="11" t="s">
        <v>1041</v>
      </c>
      <c r="E11" s="87">
        <v>0</v>
      </c>
      <c r="F11" s="87">
        <v>12540</v>
      </c>
      <c r="G11" s="87">
        <v>2510</v>
      </c>
      <c r="H11" s="87">
        <f t="shared" si="0"/>
        <v>0</v>
      </c>
      <c r="I11" s="87">
        <f t="shared" si="1"/>
        <v>10030</v>
      </c>
    </row>
    <row r="12" spans="1:9" x14ac:dyDescent="0.45">
      <c r="A12" s="86">
        <v>46244</v>
      </c>
      <c r="B12" s="11" t="s">
        <v>491</v>
      </c>
      <c r="C12" s="11" t="s">
        <v>623</v>
      </c>
      <c r="D12" s="11" t="s">
        <v>1041</v>
      </c>
      <c r="E12" s="87">
        <v>0</v>
      </c>
      <c r="F12" s="87">
        <v>195800</v>
      </c>
      <c r="G12" s="87">
        <v>28555</v>
      </c>
      <c r="H12" s="87">
        <f t="shared" si="0"/>
        <v>0</v>
      </c>
      <c r="I12" s="87">
        <f t="shared" si="1"/>
        <v>167245</v>
      </c>
    </row>
    <row r="13" spans="1:9" x14ac:dyDescent="0.45">
      <c r="A13" s="86">
        <v>46245</v>
      </c>
      <c r="B13" s="11" t="s">
        <v>624</v>
      </c>
      <c r="C13" s="11" t="s">
        <v>655</v>
      </c>
      <c r="D13" s="11" t="s">
        <v>1041</v>
      </c>
      <c r="E13" s="87">
        <v>0</v>
      </c>
      <c r="F13" s="87">
        <v>92780</v>
      </c>
      <c r="G13" s="87">
        <v>11230</v>
      </c>
      <c r="H13" s="87">
        <f t="shared" si="0"/>
        <v>0</v>
      </c>
      <c r="I13" s="87">
        <f t="shared" si="1"/>
        <v>81550</v>
      </c>
    </row>
    <row r="14" spans="1:9" x14ac:dyDescent="0.45">
      <c r="A14" s="86">
        <v>46246</v>
      </c>
      <c r="B14" s="11" t="s">
        <v>1043</v>
      </c>
      <c r="C14" s="11" t="s">
        <v>674</v>
      </c>
      <c r="D14" s="11" t="s">
        <v>1041</v>
      </c>
      <c r="E14" s="87">
        <v>0</v>
      </c>
      <c r="F14" s="87">
        <v>48540</v>
      </c>
      <c r="G14" s="87">
        <v>8510</v>
      </c>
      <c r="H14" s="87">
        <f t="shared" si="0"/>
        <v>0</v>
      </c>
      <c r="I14" s="87">
        <f t="shared" si="1"/>
        <v>40030</v>
      </c>
    </row>
    <row r="15" spans="1:9" x14ac:dyDescent="0.45">
      <c r="A15" s="86">
        <v>46247</v>
      </c>
      <c r="B15" s="11" t="s">
        <v>675</v>
      </c>
      <c r="C15" s="11" t="s">
        <v>712</v>
      </c>
      <c r="D15" s="11" t="s">
        <v>1041</v>
      </c>
      <c r="E15" s="87">
        <v>30000</v>
      </c>
      <c r="F15" s="87">
        <v>154440</v>
      </c>
      <c r="G15" s="87">
        <v>36050</v>
      </c>
      <c r="H15" s="87">
        <f t="shared" si="0"/>
        <v>4500</v>
      </c>
      <c r="I15" s="87">
        <f t="shared" si="1"/>
        <v>152890</v>
      </c>
    </row>
    <row r="16" spans="1:9" x14ac:dyDescent="0.45">
      <c r="A16" s="86">
        <v>46248</v>
      </c>
      <c r="B16" s="11" t="s">
        <v>713</v>
      </c>
      <c r="C16" s="11" t="s">
        <v>733</v>
      </c>
      <c r="D16" s="11" t="s">
        <v>1041</v>
      </c>
      <c r="E16" s="87">
        <v>0</v>
      </c>
      <c r="F16" s="87">
        <v>61180</v>
      </c>
      <c r="G16" s="87">
        <v>11410</v>
      </c>
      <c r="H16" s="87">
        <f t="shared" si="0"/>
        <v>0</v>
      </c>
      <c r="I16" s="87">
        <f t="shared" si="1"/>
        <v>49770</v>
      </c>
    </row>
    <row r="17" spans="1:9" x14ac:dyDescent="0.45">
      <c r="A17" s="86">
        <v>46249</v>
      </c>
      <c r="B17" s="11" t="s">
        <v>734</v>
      </c>
      <c r="C17" s="11" t="s">
        <v>741</v>
      </c>
      <c r="D17" s="11" t="s">
        <v>1041</v>
      </c>
      <c r="E17" s="87">
        <v>0</v>
      </c>
      <c r="F17" s="87">
        <v>51460</v>
      </c>
      <c r="G17" s="87">
        <v>10105</v>
      </c>
      <c r="H17" s="87">
        <f t="shared" si="0"/>
        <v>0</v>
      </c>
      <c r="I17" s="87">
        <f t="shared" si="1"/>
        <v>41355</v>
      </c>
    </row>
    <row r="18" spans="1:9" x14ac:dyDescent="0.45">
      <c r="A18" s="86">
        <v>46251</v>
      </c>
      <c r="B18" s="11" t="s">
        <v>742</v>
      </c>
      <c r="C18" s="11" t="s">
        <v>766</v>
      </c>
      <c r="D18" s="11" t="s">
        <v>1041</v>
      </c>
      <c r="E18" s="87">
        <v>0</v>
      </c>
      <c r="F18" s="87">
        <v>68360</v>
      </c>
      <c r="G18" s="87">
        <v>11140</v>
      </c>
      <c r="H18" s="87">
        <f t="shared" si="0"/>
        <v>0</v>
      </c>
      <c r="I18" s="87">
        <f t="shared" si="1"/>
        <v>57220</v>
      </c>
    </row>
    <row r="19" spans="1:9" x14ac:dyDescent="0.45">
      <c r="A19" s="86">
        <v>46252</v>
      </c>
      <c r="B19" s="11" t="s">
        <v>767</v>
      </c>
      <c r="C19" s="11" t="s">
        <v>791</v>
      </c>
      <c r="D19" s="11" t="s">
        <v>1041</v>
      </c>
      <c r="E19" s="87">
        <v>0</v>
      </c>
      <c r="F19" s="87">
        <v>126790</v>
      </c>
      <c r="G19" s="87">
        <v>34650</v>
      </c>
      <c r="H19" s="87">
        <f t="shared" si="0"/>
        <v>0</v>
      </c>
      <c r="I19" s="87">
        <f t="shared" si="1"/>
        <v>92140</v>
      </c>
    </row>
    <row r="20" spans="1:9" x14ac:dyDescent="0.45">
      <c r="A20" s="86">
        <v>46253</v>
      </c>
      <c r="B20" s="11" t="s">
        <v>792</v>
      </c>
      <c r="C20" s="11" t="s">
        <v>822</v>
      </c>
      <c r="D20" s="11" t="s">
        <v>1041</v>
      </c>
      <c r="E20" s="87">
        <v>0</v>
      </c>
      <c r="F20" s="87">
        <v>160900</v>
      </c>
      <c r="G20" s="87">
        <v>39400</v>
      </c>
      <c r="H20" s="87">
        <f t="shared" si="0"/>
        <v>0</v>
      </c>
      <c r="I20" s="87">
        <f t="shared" si="1"/>
        <v>121500</v>
      </c>
    </row>
    <row r="21" spans="1:9" x14ac:dyDescent="0.45">
      <c r="A21" s="86">
        <v>46254</v>
      </c>
      <c r="B21" s="11" t="s">
        <v>823</v>
      </c>
      <c r="C21" s="11" t="s">
        <v>847</v>
      </c>
      <c r="D21" s="11" t="s">
        <v>1041</v>
      </c>
      <c r="E21" s="87">
        <v>0</v>
      </c>
      <c r="F21" s="87">
        <v>44500</v>
      </c>
      <c r="G21" s="87">
        <v>7000</v>
      </c>
      <c r="H21" s="87">
        <f t="shared" si="0"/>
        <v>0</v>
      </c>
      <c r="I21" s="87">
        <f t="shared" si="1"/>
        <v>37500</v>
      </c>
    </row>
    <row r="22" spans="1:9" x14ac:dyDescent="0.45">
      <c r="A22" s="86">
        <v>46255</v>
      </c>
      <c r="B22" s="11" t="s">
        <v>848</v>
      </c>
      <c r="C22" s="11" t="s">
        <v>874</v>
      </c>
      <c r="D22" s="11" t="s">
        <v>1041</v>
      </c>
      <c r="E22" s="87">
        <v>0</v>
      </c>
      <c r="F22" s="87">
        <v>80580</v>
      </c>
      <c r="G22" s="87">
        <v>17415</v>
      </c>
      <c r="H22" s="87">
        <f t="shared" si="0"/>
        <v>0</v>
      </c>
      <c r="I22" s="87">
        <f t="shared" si="1"/>
        <v>63165</v>
      </c>
    </row>
    <row r="23" spans="1:9" x14ac:dyDescent="0.45">
      <c r="A23" s="86">
        <v>46256</v>
      </c>
      <c r="B23" s="11" t="s">
        <v>875</v>
      </c>
      <c r="C23" s="11" t="s">
        <v>883</v>
      </c>
      <c r="D23" s="11" t="s">
        <v>1041</v>
      </c>
      <c r="E23" s="87">
        <v>0</v>
      </c>
      <c r="F23" s="87">
        <v>37350</v>
      </c>
      <c r="G23" s="87">
        <v>7060</v>
      </c>
      <c r="H23" s="87">
        <f t="shared" si="0"/>
        <v>0</v>
      </c>
      <c r="I23" s="87">
        <f t="shared" si="1"/>
        <v>30290</v>
      </c>
    </row>
    <row r="24" spans="1:9" x14ac:dyDescent="0.45">
      <c r="A24" s="86">
        <v>46258</v>
      </c>
      <c r="B24" s="11" t="s">
        <v>884</v>
      </c>
      <c r="C24" s="11" t="s">
        <v>909</v>
      </c>
      <c r="D24" s="11" t="s">
        <v>1041</v>
      </c>
      <c r="E24" s="87">
        <v>0</v>
      </c>
      <c r="F24" s="87">
        <v>55560</v>
      </c>
      <c r="G24" s="87">
        <v>9850</v>
      </c>
      <c r="H24" s="87">
        <f t="shared" si="0"/>
        <v>0</v>
      </c>
      <c r="I24" s="87">
        <f t="shared" si="1"/>
        <v>45710</v>
      </c>
    </row>
    <row r="25" spans="1:9" x14ac:dyDescent="0.45">
      <c r="A25" s="86">
        <v>46259</v>
      </c>
      <c r="B25" s="11" t="s">
        <v>1044</v>
      </c>
      <c r="C25" s="11" t="s">
        <v>929</v>
      </c>
      <c r="D25" s="11" t="s">
        <v>1041</v>
      </c>
      <c r="E25" s="87">
        <v>0</v>
      </c>
      <c r="F25" s="87">
        <v>70880</v>
      </c>
      <c r="G25" s="87">
        <v>16020</v>
      </c>
      <c r="H25" s="87">
        <f t="shared" si="0"/>
        <v>0</v>
      </c>
      <c r="I25" s="87">
        <f t="shared" si="1"/>
        <v>54860</v>
      </c>
    </row>
    <row r="26" spans="1:9" x14ac:dyDescent="0.45">
      <c r="A26" s="86">
        <v>46260</v>
      </c>
      <c r="B26" s="11" t="s">
        <v>930</v>
      </c>
      <c r="C26" s="11" t="s">
        <v>948</v>
      </c>
      <c r="D26" s="11" t="s">
        <v>1041</v>
      </c>
      <c r="E26" s="87">
        <v>0</v>
      </c>
      <c r="F26" s="87">
        <v>77190</v>
      </c>
      <c r="G26" s="87">
        <v>18260</v>
      </c>
      <c r="H26" s="87">
        <f t="shared" si="0"/>
        <v>0</v>
      </c>
      <c r="I26" s="87">
        <f t="shared" si="1"/>
        <v>58930</v>
      </c>
    </row>
    <row r="27" spans="1:9" x14ac:dyDescent="0.45">
      <c r="A27" s="86">
        <v>46261</v>
      </c>
      <c r="B27" s="11" t="s">
        <v>949</v>
      </c>
      <c r="C27" s="11" t="s">
        <v>976</v>
      </c>
      <c r="D27" s="11" t="s">
        <v>1041</v>
      </c>
      <c r="E27" s="87">
        <v>0</v>
      </c>
      <c r="F27" s="87">
        <v>91900</v>
      </c>
      <c r="G27" s="87">
        <v>17590</v>
      </c>
      <c r="H27" s="87">
        <f t="shared" si="0"/>
        <v>0</v>
      </c>
      <c r="I27" s="87">
        <f t="shared" si="1"/>
        <v>74310</v>
      </c>
    </row>
    <row r="28" spans="1:9" x14ac:dyDescent="0.45">
      <c r="A28" s="86">
        <v>46262</v>
      </c>
      <c r="B28" s="11" t="s">
        <v>977</v>
      </c>
      <c r="C28" s="11" t="s">
        <v>1000</v>
      </c>
      <c r="D28" s="11" t="s">
        <v>1041</v>
      </c>
      <c r="E28" s="87">
        <v>0</v>
      </c>
      <c r="F28" s="87">
        <v>84620</v>
      </c>
      <c r="G28" s="87">
        <v>21080</v>
      </c>
      <c r="H28" s="87">
        <f t="shared" si="0"/>
        <v>0</v>
      </c>
      <c r="I28" s="87">
        <f t="shared" si="1"/>
        <v>63540</v>
      </c>
    </row>
    <row r="29" spans="1:9" x14ac:dyDescent="0.45">
      <c r="A29" s="86">
        <v>46263</v>
      </c>
      <c r="B29" s="11" t="s">
        <v>1001</v>
      </c>
      <c r="C29" s="11" t="s">
        <v>1018</v>
      </c>
      <c r="D29" s="11" t="s">
        <v>1041</v>
      </c>
      <c r="E29" s="87">
        <v>0</v>
      </c>
      <c r="F29" s="87">
        <v>56570</v>
      </c>
      <c r="G29" s="87">
        <v>17325</v>
      </c>
      <c r="H29" s="87">
        <f t="shared" si="0"/>
        <v>0</v>
      </c>
      <c r="I29" s="87">
        <f t="shared" si="1"/>
        <v>39245</v>
      </c>
    </row>
    <row r="30" spans="1:9" x14ac:dyDescent="0.45">
      <c r="A30" s="86">
        <v>46265</v>
      </c>
      <c r="B30" s="11" t="s">
        <v>1019</v>
      </c>
      <c r="C30" s="11" t="s">
        <v>1034</v>
      </c>
      <c r="D30" s="11" t="s">
        <v>1041</v>
      </c>
      <c r="E30" s="87">
        <v>0</v>
      </c>
      <c r="F30" s="87">
        <v>66040</v>
      </c>
      <c r="G30" s="87">
        <v>13200</v>
      </c>
      <c r="H30" s="87">
        <f t="shared" si="0"/>
        <v>0</v>
      </c>
      <c r="I30" s="87">
        <f t="shared" si="1"/>
        <v>52840</v>
      </c>
    </row>
    <row r="31" spans="1:9" ht="14.65" thickBot="1" x14ac:dyDescent="0.5">
      <c r="A31" s="101" t="s">
        <v>1045</v>
      </c>
      <c r="B31" s="101"/>
      <c r="C31" s="101"/>
      <c r="D31" s="101"/>
      <c r="E31" s="98">
        <f>SUM(E5:E30)</f>
        <v>30000</v>
      </c>
      <c r="F31" s="98">
        <f>SUM(F5:F30)</f>
        <v>2529290</v>
      </c>
      <c r="G31" s="98">
        <f>SUM(G5:G30)</f>
        <v>516630</v>
      </c>
      <c r="H31" s="98">
        <f>SUM(H5:H30)</f>
        <v>4500</v>
      </c>
      <c r="I31" s="98">
        <f>SUM(I5:I30)</f>
        <v>2047160</v>
      </c>
    </row>
    <row r="32" spans="1:9" ht="14.65" thickTop="1" x14ac:dyDescent="0.45">
      <c r="A32" s="86"/>
      <c r="B32" s="11"/>
      <c r="C32" s="11"/>
      <c r="D32" s="11"/>
      <c r="E32" s="11"/>
      <c r="F32" s="11"/>
      <c r="G32" s="11"/>
      <c r="H32" s="11"/>
      <c r="I32" s="11"/>
    </row>
    <row r="33" spans="1:9" x14ac:dyDescent="0.45">
      <c r="A33" s="86"/>
      <c r="B33" s="11"/>
      <c r="C33" s="11"/>
      <c r="D33" s="11"/>
      <c r="E33" s="11"/>
      <c r="F33" s="11"/>
      <c r="G33" s="11"/>
      <c r="H33" s="11"/>
      <c r="I33" s="11"/>
    </row>
    <row r="34" spans="1:9" x14ac:dyDescent="0.45">
      <c r="A34" s="86"/>
      <c r="B34" s="11"/>
      <c r="C34" s="11"/>
      <c r="D34" s="11"/>
      <c r="E34" s="11"/>
      <c r="F34" s="11"/>
      <c r="G34" s="11"/>
      <c r="H34" s="11"/>
      <c r="I34" s="11"/>
    </row>
    <row r="35" spans="1:9" x14ac:dyDescent="0.45">
      <c r="A35" s="86"/>
      <c r="B35" s="11"/>
      <c r="C35" s="11"/>
      <c r="D35" s="11"/>
      <c r="E35" s="11"/>
      <c r="F35" s="11"/>
      <c r="G35" s="11"/>
      <c r="H35" s="11"/>
      <c r="I35" s="11"/>
    </row>
    <row r="36" spans="1:9" x14ac:dyDescent="0.45">
      <c r="A36" s="86"/>
      <c r="B36" s="11"/>
      <c r="C36" s="11"/>
      <c r="D36" s="11"/>
      <c r="E36" s="11"/>
      <c r="F36" s="11"/>
      <c r="G36" s="11"/>
      <c r="H36" s="11"/>
      <c r="I36" s="11"/>
    </row>
    <row r="37" spans="1:9" x14ac:dyDescent="0.45">
      <c r="A37" s="86"/>
      <c r="B37" s="11"/>
      <c r="C37" s="11"/>
      <c r="D37" s="11"/>
      <c r="E37" s="11"/>
      <c r="F37" s="11"/>
      <c r="G37" s="11"/>
      <c r="H37" s="11"/>
      <c r="I37" s="11"/>
    </row>
    <row r="38" spans="1:9" x14ac:dyDescent="0.45">
      <c r="A38" s="86"/>
      <c r="B38" s="11"/>
      <c r="C38" s="11"/>
      <c r="D38" s="11"/>
      <c r="E38" s="11"/>
      <c r="F38" s="11"/>
      <c r="G38" s="11"/>
      <c r="H38" s="11"/>
      <c r="I38" s="11"/>
    </row>
    <row r="39" spans="1:9" x14ac:dyDescent="0.45">
      <c r="A39" s="86"/>
      <c r="B39" s="11"/>
      <c r="C39" s="11"/>
      <c r="D39" s="11"/>
      <c r="E39" s="11"/>
      <c r="F39" s="11"/>
      <c r="G39" s="11"/>
      <c r="H39" s="11"/>
      <c r="I39" s="11"/>
    </row>
    <row r="40" spans="1:9" x14ac:dyDescent="0.45">
      <c r="A40" s="86"/>
      <c r="B40" s="11"/>
      <c r="C40" s="11"/>
      <c r="D40" s="11"/>
      <c r="E40" s="11"/>
      <c r="F40" s="11"/>
      <c r="G40" s="11"/>
      <c r="H40" s="11"/>
      <c r="I40" s="11"/>
    </row>
    <row r="41" spans="1:9" x14ac:dyDescent="0.45">
      <c r="A41" s="86"/>
      <c r="B41" s="11"/>
      <c r="C41" s="11"/>
      <c r="D41" s="11"/>
      <c r="E41" s="11"/>
      <c r="F41" s="11"/>
      <c r="G41" s="11"/>
      <c r="H41" s="11"/>
      <c r="I41" s="11"/>
    </row>
    <row r="42" spans="1:9" x14ac:dyDescent="0.45">
      <c r="A42" s="86"/>
      <c r="B42" s="11"/>
      <c r="C42" s="11"/>
      <c r="D42" s="11"/>
      <c r="E42" s="11"/>
      <c r="F42" s="11"/>
      <c r="G42" s="11"/>
      <c r="H42" s="11"/>
      <c r="I42" s="11"/>
    </row>
    <row r="43" spans="1:9" x14ac:dyDescent="0.45">
      <c r="A43" s="86"/>
      <c r="B43" s="11"/>
      <c r="C43" s="11"/>
      <c r="D43" s="11"/>
      <c r="E43" s="11"/>
      <c r="F43" s="11"/>
      <c r="G43" s="11"/>
      <c r="H43" s="11"/>
      <c r="I43" s="11"/>
    </row>
    <row r="44" spans="1:9" x14ac:dyDescent="0.45">
      <c r="A44" s="86"/>
      <c r="B44" s="11"/>
      <c r="C44" s="11"/>
      <c r="D44" s="11"/>
      <c r="E44" s="11"/>
      <c r="F44" s="11"/>
      <c r="G44" s="11"/>
      <c r="H44" s="11"/>
      <c r="I44" s="11"/>
    </row>
    <row r="45" spans="1:9" x14ac:dyDescent="0.45">
      <c r="A45" s="86"/>
      <c r="B45" s="11"/>
      <c r="C45" s="11"/>
      <c r="D45" s="11"/>
      <c r="E45" s="11"/>
      <c r="F45" s="11"/>
      <c r="G45" s="11"/>
      <c r="H45" s="11"/>
      <c r="I45" s="11"/>
    </row>
    <row r="46" spans="1:9" x14ac:dyDescent="0.45">
      <c r="A46" s="86"/>
      <c r="B46" s="11"/>
      <c r="C46" s="11"/>
      <c r="D46" s="11"/>
      <c r="E46" s="11"/>
      <c r="F46" s="11"/>
      <c r="G46" s="11"/>
      <c r="H46" s="11"/>
      <c r="I46" s="11"/>
    </row>
    <row r="47" spans="1:9" x14ac:dyDescent="0.45">
      <c r="A47" s="86"/>
      <c r="B47" s="11"/>
      <c r="C47" s="11"/>
      <c r="D47" s="11"/>
      <c r="E47" s="11"/>
      <c r="F47" s="11"/>
      <c r="G47" s="11"/>
      <c r="H47" s="11"/>
      <c r="I47" s="11"/>
    </row>
    <row r="48" spans="1:9" x14ac:dyDescent="0.45">
      <c r="A48" s="86"/>
      <c r="B48" s="11"/>
      <c r="C48" s="11"/>
      <c r="D48" s="11"/>
      <c r="E48" s="11"/>
      <c r="F48" s="11"/>
      <c r="G48" s="11"/>
      <c r="H48" s="11"/>
      <c r="I48" s="11"/>
    </row>
    <row r="49" spans="1:9" x14ac:dyDescent="0.45">
      <c r="A49" s="86"/>
      <c r="B49" s="11"/>
      <c r="C49" s="11"/>
      <c r="D49" s="11"/>
      <c r="E49" s="11"/>
      <c r="F49" s="11"/>
      <c r="G49" s="11"/>
      <c r="H49" s="11"/>
      <c r="I49" s="11"/>
    </row>
    <row r="50" spans="1:9" x14ac:dyDescent="0.45">
      <c r="A50" s="86"/>
      <c r="B50" s="11"/>
      <c r="C50" s="11"/>
      <c r="D50" s="11"/>
      <c r="E50" s="11"/>
      <c r="F50" s="11"/>
      <c r="G50" s="11"/>
      <c r="H50" s="11"/>
      <c r="I50" s="11"/>
    </row>
    <row r="51" spans="1:9" x14ac:dyDescent="0.45">
      <c r="A51" s="86"/>
      <c r="B51" s="11"/>
      <c r="C51" s="11"/>
      <c r="D51" s="11"/>
      <c r="E51" s="11"/>
      <c r="F51" s="11"/>
      <c r="G51" s="11"/>
      <c r="H51" s="11"/>
      <c r="I51" s="11"/>
    </row>
    <row r="52" spans="1:9" x14ac:dyDescent="0.45">
      <c r="A52" s="86"/>
      <c r="B52" s="11"/>
      <c r="C52" s="11"/>
      <c r="D52" s="11"/>
      <c r="E52" s="11"/>
      <c r="F52" s="11"/>
      <c r="G52" s="11"/>
      <c r="H52" s="11"/>
      <c r="I52" s="11"/>
    </row>
    <row r="53" spans="1:9" x14ac:dyDescent="0.45">
      <c r="A53" s="86"/>
      <c r="B53" s="11"/>
      <c r="C53" s="11"/>
      <c r="D53" s="11"/>
      <c r="E53" s="11"/>
      <c r="F53" s="11"/>
      <c r="G53" s="11"/>
      <c r="H53" s="11"/>
      <c r="I53" s="11"/>
    </row>
    <row r="54" spans="1:9" x14ac:dyDescent="0.45">
      <c r="A54" s="86"/>
      <c r="B54" s="11"/>
      <c r="C54" s="11"/>
      <c r="D54" s="11"/>
      <c r="E54" s="11"/>
      <c r="F54" s="11"/>
      <c r="G54" s="11"/>
      <c r="H54" s="11"/>
      <c r="I54" s="11"/>
    </row>
    <row r="55" spans="1:9" x14ac:dyDescent="0.45">
      <c r="A55" s="86"/>
      <c r="B55" s="11"/>
      <c r="C55" s="11"/>
      <c r="D55" s="11"/>
      <c r="E55" s="11"/>
      <c r="F55" s="11"/>
      <c r="G55" s="11"/>
      <c r="H55" s="11"/>
      <c r="I55" s="11"/>
    </row>
    <row r="56" spans="1:9" x14ac:dyDescent="0.45">
      <c r="A56" s="86"/>
      <c r="B56" s="11"/>
      <c r="C56" s="11"/>
      <c r="D56" s="11"/>
      <c r="E56" s="11"/>
      <c r="F56" s="11"/>
      <c r="G56" s="11"/>
      <c r="H56" s="11"/>
      <c r="I56" s="11"/>
    </row>
    <row r="57" spans="1:9" x14ac:dyDescent="0.45">
      <c r="A57" s="86"/>
      <c r="B57" s="11"/>
      <c r="C57" s="11"/>
      <c r="D57" s="11"/>
      <c r="E57" s="11"/>
      <c r="F57" s="11"/>
      <c r="G57" s="11"/>
      <c r="H57" s="11"/>
      <c r="I57" s="11"/>
    </row>
    <row r="58" spans="1:9" x14ac:dyDescent="0.45">
      <c r="A58" s="86"/>
      <c r="B58" s="11"/>
      <c r="C58" s="11"/>
      <c r="D58" s="11"/>
      <c r="E58" s="11"/>
      <c r="F58" s="11"/>
      <c r="G58" s="11"/>
      <c r="H58" s="11"/>
      <c r="I58" s="11"/>
    </row>
    <row r="59" spans="1:9" x14ac:dyDescent="0.45">
      <c r="A59" s="86"/>
      <c r="B59" s="11"/>
      <c r="C59" s="11"/>
      <c r="D59" s="11"/>
      <c r="E59" s="11"/>
      <c r="F59" s="11"/>
      <c r="G59" s="11"/>
      <c r="H59" s="11"/>
      <c r="I59" s="11"/>
    </row>
    <row r="60" spans="1:9" x14ac:dyDescent="0.45">
      <c r="A60" s="86"/>
      <c r="B60" s="11"/>
      <c r="C60" s="11"/>
      <c r="D60" s="11"/>
      <c r="E60" s="11"/>
      <c r="F60" s="11"/>
      <c r="G60" s="11"/>
      <c r="H60" s="11"/>
      <c r="I60" s="11"/>
    </row>
    <row r="61" spans="1:9" x14ac:dyDescent="0.45">
      <c r="A61" s="86"/>
      <c r="B61" s="11"/>
      <c r="C61" s="11"/>
      <c r="D61" s="11"/>
      <c r="E61" s="11"/>
      <c r="F61" s="11"/>
      <c r="G61" s="11"/>
      <c r="H61" s="11"/>
      <c r="I61" s="11"/>
    </row>
    <row r="62" spans="1:9" x14ac:dyDescent="0.45">
      <c r="A62" s="86"/>
      <c r="B62" s="11"/>
      <c r="C62" s="11"/>
      <c r="D62" s="11"/>
      <c r="E62" s="11"/>
      <c r="F62" s="11"/>
      <c r="G62" s="11"/>
      <c r="H62" s="11"/>
      <c r="I62" s="11"/>
    </row>
    <row r="63" spans="1:9" x14ac:dyDescent="0.45">
      <c r="A63" s="86"/>
      <c r="B63" s="11"/>
      <c r="C63" s="11"/>
      <c r="D63" s="11"/>
      <c r="E63" s="11"/>
      <c r="F63" s="11"/>
      <c r="G63" s="11"/>
      <c r="H63" s="11"/>
      <c r="I63" s="11"/>
    </row>
    <row r="64" spans="1:9" x14ac:dyDescent="0.45">
      <c r="A64" s="86"/>
      <c r="B64" s="11"/>
      <c r="C64" s="11"/>
      <c r="D64" s="11"/>
      <c r="E64" s="11"/>
      <c r="F64" s="11"/>
      <c r="G64" s="11"/>
      <c r="H64" s="11"/>
      <c r="I64" s="11"/>
    </row>
    <row r="65" spans="1:9" x14ac:dyDescent="0.45">
      <c r="A65" s="86"/>
      <c r="B65" s="11"/>
      <c r="C65" s="11"/>
      <c r="D65" s="11"/>
      <c r="E65" s="11"/>
      <c r="F65" s="11"/>
      <c r="G65" s="11"/>
      <c r="H65" s="11"/>
      <c r="I65" s="11"/>
    </row>
    <row r="66" spans="1:9" x14ac:dyDescent="0.45">
      <c r="A66" s="86"/>
      <c r="B66" s="11"/>
      <c r="C66" s="11"/>
      <c r="D66" s="11"/>
      <c r="E66" s="11"/>
      <c r="F66" s="11"/>
      <c r="G66" s="11"/>
      <c r="H66" s="11"/>
      <c r="I66" s="11"/>
    </row>
    <row r="67" spans="1:9" x14ac:dyDescent="0.45">
      <c r="A67" s="86"/>
      <c r="B67" s="11"/>
      <c r="C67" s="11"/>
      <c r="D67" s="11"/>
      <c r="E67" s="11"/>
      <c r="F67" s="11"/>
      <c r="G67" s="11"/>
      <c r="H67" s="11"/>
      <c r="I67" s="11"/>
    </row>
    <row r="68" spans="1:9" x14ac:dyDescent="0.45">
      <c r="A68" s="86"/>
      <c r="B68" s="11"/>
      <c r="C68" s="11"/>
      <c r="D68" s="11"/>
      <c r="E68" s="11"/>
      <c r="F68" s="11"/>
      <c r="G68" s="11"/>
      <c r="H68" s="11"/>
      <c r="I68" s="11"/>
    </row>
    <row r="69" spans="1:9" x14ac:dyDescent="0.45">
      <c r="A69" s="86"/>
      <c r="B69" s="11"/>
      <c r="C69" s="11"/>
      <c r="D69" s="11"/>
      <c r="E69" s="11"/>
      <c r="F69" s="11"/>
      <c r="G69" s="11"/>
      <c r="H69" s="11"/>
      <c r="I69" s="11"/>
    </row>
    <row r="70" spans="1:9" x14ac:dyDescent="0.45">
      <c r="A70" s="86"/>
      <c r="B70" s="11"/>
      <c r="C70" s="11"/>
      <c r="D70" s="11"/>
      <c r="E70" s="11"/>
      <c r="F70" s="11"/>
      <c r="G70" s="11"/>
      <c r="H70" s="11"/>
      <c r="I70" s="11"/>
    </row>
    <row r="71" spans="1:9" x14ac:dyDescent="0.45">
      <c r="A71" s="86"/>
      <c r="B71" s="11"/>
      <c r="C71" s="11"/>
      <c r="D71" s="11"/>
      <c r="E71" s="11"/>
      <c r="F71" s="11"/>
      <c r="G71" s="11"/>
      <c r="H71" s="11"/>
      <c r="I71" s="11"/>
    </row>
    <row r="72" spans="1:9" x14ac:dyDescent="0.45">
      <c r="A72" s="86"/>
      <c r="B72" s="11"/>
      <c r="C72" s="11"/>
      <c r="D72" s="11"/>
      <c r="E72" s="11"/>
      <c r="F72" s="11"/>
      <c r="G72" s="11"/>
      <c r="H72" s="11"/>
      <c r="I72" s="11"/>
    </row>
    <row r="73" spans="1:9" x14ac:dyDescent="0.45">
      <c r="A73" s="86"/>
      <c r="B73" s="11"/>
      <c r="C73" s="11"/>
      <c r="D73" s="11"/>
      <c r="E73" s="11"/>
      <c r="F73" s="11"/>
      <c r="G73" s="11"/>
      <c r="H73" s="11"/>
      <c r="I73" s="11"/>
    </row>
    <row r="74" spans="1:9" x14ac:dyDescent="0.45">
      <c r="A74" s="86"/>
      <c r="B74" s="11"/>
      <c r="C74" s="11"/>
      <c r="D74" s="11"/>
      <c r="E74" s="11"/>
      <c r="F74" s="11"/>
      <c r="G74" s="11"/>
      <c r="H74" s="11"/>
      <c r="I74" s="11"/>
    </row>
    <row r="75" spans="1:9" x14ac:dyDescent="0.45">
      <c r="A75" s="86"/>
      <c r="B75" s="11"/>
      <c r="C75" s="11"/>
      <c r="D75" s="11"/>
      <c r="E75" s="11"/>
      <c r="F75" s="11"/>
      <c r="G75" s="11"/>
      <c r="H75" s="11"/>
      <c r="I75" s="11"/>
    </row>
    <row r="76" spans="1:9" x14ac:dyDescent="0.45">
      <c r="A76" s="86"/>
      <c r="B76" s="11"/>
      <c r="C76" s="11"/>
      <c r="D76" s="11"/>
      <c r="E76" s="11"/>
      <c r="F76" s="11"/>
      <c r="G76" s="11"/>
      <c r="H76" s="11"/>
      <c r="I76" s="11"/>
    </row>
    <row r="77" spans="1:9" x14ac:dyDescent="0.45">
      <c r="A77" s="86"/>
      <c r="B77" s="11"/>
      <c r="C77" s="11"/>
      <c r="D77" s="11"/>
      <c r="E77" s="11"/>
      <c r="F77" s="11"/>
      <c r="G77" s="11"/>
      <c r="H77" s="11"/>
      <c r="I77" s="11"/>
    </row>
    <row r="78" spans="1:9" x14ac:dyDescent="0.45">
      <c r="A78" s="86"/>
      <c r="B78" s="11"/>
      <c r="C78" s="11"/>
      <c r="D78" s="11"/>
      <c r="E78" s="11"/>
      <c r="F78" s="11"/>
      <c r="G78" s="11"/>
      <c r="H78" s="11"/>
      <c r="I78" s="11"/>
    </row>
    <row r="79" spans="1:9" x14ac:dyDescent="0.45">
      <c r="A79" s="86"/>
      <c r="B79" s="11"/>
      <c r="C79" s="11"/>
      <c r="D79" s="11"/>
      <c r="E79" s="11"/>
      <c r="F79" s="11"/>
      <c r="G79" s="11"/>
      <c r="H79" s="11"/>
      <c r="I79" s="11"/>
    </row>
    <row r="80" spans="1:9" x14ac:dyDescent="0.45">
      <c r="A80" s="86"/>
      <c r="B80" s="11"/>
      <c r="C80" s="11"/>
      <c r="D80" s="11"/>
      <c r="E80" s="11"/>
      <c r="F80" s="11"/>
      <c r="G80" s="11"/>
      <c r="H80" s="11"/>
      <c r="I80" s="11"/>
    </row>
    <row r="81" spans="1:9" x14ac:dyDescent="0.45">
      <c r="A81" s="86"/>
      <c r="B81" s="11"/>
      <c r="C81" s="11"/>
      <c r="D81" s="11"/>
      <c r="E81" s="11"/>
      <c r="F81" s="11"/>
      <c r="G81" s="11"/>
      <c r="H81" s="11"/>
      <c r="I81" s="11"/>
    </row>
    <row r="82" spans="1:9" x14ac:dyDescent="0.45">
      <c r="A82" s="86"/>
      <c r="B82" s="11"/>
      <c r="C82" s="11"/>
      <c r="D82" s="11"/>
      <c r="E82" s="11"/>
      <c r="F82" s="11"/>
      <c r="G82" s="11"/>
      <c r="H82" s="11"/>
      <c r="I82" s="11"/>
    </row>
    <row r="83" spans="1:9" x14ac:dyDescent="0.45">
      <c r="A83" s="86"/>
      <c r="B83" s="11"/>
      <c r="C83" s="11"/>
      <c r="D83" s="11"/>
      <c r="E83" s="11"/>
      <c r="F83" s="11"/>
      <c r="G83" s="11"/>
      <c r="H83" s="11"/>
      <c r="I83" s="11"/>
    </row>
    <row r="84" spans="1:9" x14ac:dyDescent="0.45">
      <c r="A84" s="86"/>
      <c r="B84" s="11"/>
      <c r="C84" s="11"/>
      <c r="D84" s="11"/>
      <c r="E84" s="11"/>
      <c r="F84" s="11"/>
      <c r="G84" s="11"/>
      <c r="H84" s="11"/>
      <c r="I84" s="11"/>
    </row>
    <row r="85" spans="1:9" x14ac:dyDescent="0.45">
      <c r="A85" s="86"/>
      <c r="B85" s="11"/>
      <c r="C85" s="11"/>
      <c r="D85" s="11"/>
      <c r="E85" s="11"/>
      <c r="F85" s="11"/>
      <c r="G85" s="11"/>
      <c r="H85" s="11"/>
      <c r="I85" s="11"/>
    </row>
    <row r="86" spans="1:9" x14ac:dyDescent="0.45">
      <c r="A86" s="86"/>
      <c r="B86" s="11"/>
      <c r="C86" s="11"/>
      <c r="D86" s="11"/>
      <c r="E86" s="11"/>
      <c r="F86" s="11"/>
      <c r="G86" s="11"/>
      <c r="H86" s="11"/>
      <c r="I86" s="11"/>
    </row>
    <row r="87" spans="1:9" x14ac:dyDescent="0.45">
      <c r="A87" s="86"/>
      <c r="B87" s="11"/>
      <c r="C87" s="11"/>
      <c r="D87" s="11"/>
      <c r="E87" s="11"/>
      <c r="F87" s="11"/>
      <c r="G87" s="11"/>
      <c r="H87" s="11"/>
      <c r="I87" s="11"/>
    </row>
    <row r="88" spans="1:9" x14ac:dyDescent="0.45">
      <c r="A88" s="86"/>
      <c r="B88" s="11"/>
      <c r="C88" s="11"/>
      <c r="D88" s="11"/>
      <c r="E88" s="11"/>
      <c r="F88" s="11"/>
      <c r="G88" s="11"/>
      <c r="H88" s="11"/>
      <c r="I88" s="11"/>
    </row>
    <row r="89" spans="1:9" x14ac:dyDescent="0.45">
      <c r="A89" s="11"/>
      <c r="B89" s="11"/>
      <c r="C89" s="11"/>
      <c r="D89" s="11"/>
      <c r="E89" s="11"/>
      <c r="F89" s="11"/>
      <c r="G89" s="11"/>
      <c r="H89" s="11"/>
      <c r="I89" s="11"/>
    </row>
    <row r="90" spans="1:9" x14ac:dyDescent="0.45">
      <c r="A90" s="11"/>
      <c r="B90" s="11"/>
      <c r="C90" s="11"/>
      <c r="D90" s="11"/>
      <c r="E90" s="11"/>
      <c r="F90" s="11"/>
      <c r="G90" s="11"/>
      <c r="H90" s="11"/>
      <c r="I90" s="11"/>
    </row>
    <row r="91" spans="1:9" x14ac:dyDescent="0.45">
      <c r="A91" s="11"/>
      <c r="B91" s="11"/>
      <c r="C91" s="11"/>
      <c r="D91" s="11"/>
      <c r="E91" s="11"/>
      <c r="F91" s="11"/>
      <c r="G91" s="11"/>
      <c r="H91" s="11"/>
      <c r="I91" s="11"/>
    </row>
    <row r="92" spans="1:9" x14ac:dyDescent="0.45">
      <c r="A92" s="11"/>
      <c r="B92" s="11"/>
      <c r="C92" s="11"/>
      <c r="D92" s="11"/>
      <c r="E92" s="11"/>
      <c r="F92" s="11"/>
      <c r="G92" s="11"/>
      <c r="H92" s="11"/>
      <c r="I92" s="11"/>
    </row>
    <row r="93" spans="1:9" x14ac:dyDescent="0.45">
      <c r="A93" s="11"/>
      <c r="B93" s="11"/>
      <c r="C93" s="11"/>
      <c r="D93" s="11"/>
      <c r="E93" s="11"/>
      <c r="F93" s="11"/>
      <c r="G93" s="11"/>
      <c r="H93" s="11"/>
      <c r="I93" s="11"/>
    </row>
    <row r="94" spans="1:9" x14ac:dyDescent="0.45">
      <c r="A94" s="11"/>
      <c r="B94" s="11"/>
      <c r="C94" s="11"/>
      <c r="D94" s="11"/>
      <c r="E94" s="11"/>
      <c r="F94" s="11"/>
      <c r="G94" s="11"/>
      <c r="H94" s="11"/>
      <c r="I94" s="11"/>
    </row>
    <row r="95" spans="1:9" x14ac:dyDescent="0.45">
      <c r="A95" s="11"/>
      <c r="B95" s="11"/>
      <c r="C95" s="11"/>
      <c r="D95" s="11"/>
      <c r="E95" s="11"/>
      <c r="F95" s="11"/>
      <c r="G95" s="11"/>
      <c r="H95" s="11"/>
      <c r="I95" s="11"/>
    </row>
    <row r="96" spans="1:9" x14ac:dyDescent="0.45">
      <c r="A96" s="11"/>
      <c r="B96" s="11"/>
      <c r="C96" s="11"/>
      <c r="D96" s="11"/>
      <c r="E96" s="11"/>
      <c r="F96" s="11"/>
      <c r="G96" s="11"/>
      <c r="H96" s="11"/>
      <c r="I96" s="11"/>
    </row>
    <row r="97" spans="1:9" x14ac:dyDescent="0.45">
      <c r="A97" s="11"/>
      <c r="B97" s="11"/>
      <c r="C97" s="11"/>
      <c r="D97" s="11"/>
      <c r="E97" s="11"/>
      <c r="F97" s="11"/>
      <c r="G97" s="11"/>
      <c r="H97" s="11"/>
      <c r="I97" s="11"/>
    </row>
    <row r="98" spans="1:9" x14ac:dyDescent="0.45">
      <c r="A98" s="11"/>
      <c r="B98" s="11"/>
      <c r="C98" s="11"/>
      <c r="D98" s="11"/>
      <c r="E98" s="11"/>
      <c r="F98" s="11"/>
      <c r="G98" s="11"/>
      <c r="H98" s="11"/>
      <c r="I98" s="11"/>
    </row>
    <row r="99" spans="1:9" x14ac:dyDescent="0.45">
      <c r="A99" s="11"/>
      <c r="B99" s="11"/>
      <c r="C99" s="11"/>
      <c r="D99" s="11"/>
      <c r="E99" s="11"/>
      <c r="F99" s="11"/>
      <c r="G99" s="11"/>
      <c r="H99" s="11"/>
      <c r="I99" s="11"/>
    </row>
    <row r="100" spans="1:9" x14ac:dyDescent="0.45">
      <c r="A100" s="11"/>
      <c r="B100" s="11"/>
      <c r="C100" s="11"/>
      <c r="D100" s="11"/>
      <c r="E100" s="11"/>
      <c r="F100" s="11"/>
      <c r="G100" s="11"/>
      <c r="H100" s="11"/>
      <c r="I100" s="11"/>
    </row>
    <row r="101" spans="1:9" x14ac:dyDescent="0.45">
      <c r="A101" s="11"/>
      <c r="B101" s="11"/>
      <c r="C101" s="11"/>
      <c r="D101" s="11"/>
      <c r="E101" s="11"/>
      <c r="F101" s="11"/>
      <c r="G101" s="11"/>
      <c r="H101" s="11"/>
      <c r="I101" s="11"/>
    </row>
    <row r="102" spans="1:9" x14ac:dyDescent="0.45">
      <c r="A102" s="11"/>
      <c r="B102" s="11"/>
      <c r="C102" s="11"/>
      <c r="D102" s="11"/>
      <c r="E102" s="11"/>
      <c r="F102" s="11"/>
      <c r="G102" s="11"/>
      <c r="H102" s="11"/>
      <c r="I102" s="11"/>
    </row>
    <row r="103" spans="1:9" x14ac:dyDescent="0.45">
      <c r="A103" s="11"/>
      <c r="B103" s="11"/>
      <c r="C103" s="11"/>
      <c r="D103" s="11"/>
      <c r="E103" s="11"/>
      <c r="F103" s="11"/>
      <c r="G103" s="11"/>
      <c r="H103" s="11"/>
      <c r="I103" s="11"/>
    </row>
    <row r="104" spans="1:9" x14ac:dyDescent="0.45">
      <c r="A104" s="11"/>
      <c r="B104" s="11"/>
      <c r="C104" s="11"/>
      <c r="D104" s="11"/>
      <c r="E104" s="11"/>
      <c r="F104" s="11"/>
      <c r="G104" s="11"/>
      <c r="H104" s="11"/>
      <c r="I104" s="11"/>
    </row>
    <row r="105" spans="1:9" x14ac:dyDescent="0.45">
      <c r="A105" s="11"/>
      <c r="B105" s="11"/>
      <c r="C105" s="11"/>
      <c r="D105" s="11"/>
      <c r="E105" s="11"/>
      <c r="F105" s="11"/>
      <c r="G105" s="11"/>
      <c r="H105" s="11"/>
      <c r="I105" s="11"/>
    </row>
    <row r="106" spans="1:9" x14ac:dyDescent="0.45">
      <c r="A106" s="11"/>
      <c r="B106" s="11"/>
      <c r="C106" s="11"/>
      <c r="D106" s="11"/>
      <c r="E106" s="11"/>
      <c r="F106" s="11"/>
      <c r="G106" s="11"/>
      <c r="H106" s="11"/>
      <c r="I106" s="11"/>
    </row>
    <row r="107" spans="1:9" x14ac:dyDescent="0.45">
      <c r="A107" s="11"/>
      <c r="B107" s="11"/>
      <c r="C107" s="11"/>
      <c r="D107" s="11"/>
      <c r="E107" s="11"/>
      <c r="F107" s="11"/>
      <c r="G107" s="11"/>
      <c r="H107" s="11"/>
      <c r="I107" s="11"/>
    </row>
    <row r="108" spans="1:9" x14ac:dyDescent="0.45">
      <c r="A108" s="11"/>
      <c r="B108" s="11"/>
      <c r="C108" s="11"/>
      <c r="D108" s="11"/>
      <c r="E108" s="11"/>
      <c r="F108" s="11"/>
      <c r="G108" s="11"/>
      <c r="H108" s="11"/>
      <c r="I108" s="11"/>
    </row>
    <row r="109" spans="1:9" x14ac:dyDescent="0.45">
      <c r="A109" s="11"/>
      <c r="B109" s="11"/>
      <c r="C109" s="11"/>
      <c r="D109" s="11"/>
      <c r="E109" s="11"/>
      <c r="F109" s="11"/>
      <c r="G109" s="11"/>
      <c r="H109" s="11"/>
      <c r="I109" s="11"/>
    </row>
    <row r="110" spans="1:9" x14ac:dyDescent="0.45">
      <c r="A110" s="11"/>
      <c r="B110" s="11"/>
      <c r="C110" s="11"/>
      <c r="D110" s="11"/>
      <c r="E110" s="11"/>
      <c r="F110" s="11"/>
      <c r="G110" s="11"/>
      <c r="H110" s="11"/>
      <c r="I110" s="11"/>
    </row>
    <row r="111" spans="1:9" x14ac:dyDescent="0.45">
      <c r="A111" s="11"/>
      <c r="B111" s="11"/>
      <c r="C111" s="11"/>
      <c r="D111" s="11"/>
      <c r="E111" s="11"/>
      <c r="F111" s="11"/>
      <c r="G111" s="11"/>
      <c r="H111" s="11"/>
      <c r="I111" s="11"/>
    </row>
    <row r="112" spans="1:9" x14ac:dyDescent="0.45">
      <c r="A112" s="11"/>
      <c r="B112" s="11"/>
      <c r="C112" s="11"/>
      <c r="D112" s="11"/>
      <c r="E112" s="11"/>
      <c r="F112" s="11"/>
      <c r="G112" s="11"/>
      <c r="H112" s="11"/>
      <c r="I112" s="11"/>
    </row>
    <row r="113" spans="1:9" x14ac:dyDescent="0.45">
      <c r="A113" s="11"/>
      <c r="B113" s="11"/>
      <c r="C113" s="11"/>
      <c r="D113" s="11"/>
      <c r="E113" s="11"/>
      <c r="F113" s="11"/>
      <c r="G113" s="11"/>
      <c r="H113" s="11"/>
      <c r="I113" s="11"/>
    </row>
    <row r="114" spans="1:9" x14ac:dyDescent="0.45">
      <c r="A114" s="11"/>
      <c r="B114" s="11"/>
      <c r="C114" s="11"/>
      <c r="D114" s="11"/>
      <c r="E114" s="11"/>
      <c r="F114" s="11"/>
      <c r="G114" s="11"/>
      <c r="H114" s="11"/>
      <c r="I114" s="11"/>
    </row>
    <row r="115" spans="1:9" x14ac:dyDescent="0.45">
      <c r="A115" s="11"/>
      <c r="B115" s="11"/>
      <c r="C115" s="11"/>
      <c r="D115" s="11"/>
      <c r="E115" s="11"/>
      <c r="F115" s="11"/>
      <c r="G115" s="11"/>
      <c r="H115" s="11"/>
      <c r="I115" s="11"/>
    </row>
    <row r="116" spans="1:9" x14ac:dyDescent="0.45">
      <c r="A116" s="11"/>
      <c r="B116" s="11"/>
      <c r="C116" s="11"/>
      <c r="D116" s="11"/>
      <c r="E116" s="11"/>
      <c r="F116" s="11"/>
      <c r="G116" s="11"/>
      <c r="H116" s="11"/>
      <c r="I116" s="11"/>
    </row>
    <row r="117" spans="1:9" x14ac:dyDescent="0.45">
      <c r="A117" s="11"/>
      <c r="B117" s="11"/>
      <c r="C117" s="11"/>
      <c r="D117" s="11"/>
      <c r="E117" s="11"/>
      <c r="F117" s="11"/>
      <c r="G117" s="11"/>
      <c r="H117" s="11"/>
      <c r="I117" s="11"/>
    </row>
    <row r="118" spans="1:9" x14ac:dyDescent="0.45">
      <c r="A118" s="11"/>
      <c r="B118" s="11"/>
      <c r="C118" s="11"/>
      <c r="D118" s="11"/>
      <c r="E118" s="11"/>
      <c r="F118" s="11"/>
      <c r="G118" s="11"/>
      <c r="H118" s="11"/>
      <c r="I118" s="11"/>
    </row>
    <row r="119" spans="1:9" x14ac:dyDescent="0.45">
      <c r="A119" s="11"/>
      <c r="B119" s="11"/>
      <c r="C119" s="11"/>
      <c r="D119" s="11"/>
      <c r="E119" s="11"/>
      <c r="F119" s="11"/>
      <c r="G119" s="11"/>
      <c r="H119" s="11"/>
      <c r="I119" s="11"/>
    </row>
    <row r="120" spans="1:9" x14ac:dyDescent="0.45">
      <c r="A120" s="11"/>
      <c r="B120" s="11"/>
      <c r="C120" s="11"/>
      <c r="D120" s="11"/>
      <c r="E120" s="11"/>
      <c r="F120" s="11"/>
      <c r="G120" s="11"/>
      <c r="H120" s="11"/>
      <c r="I120" s="11"/>
    </row>
    <row r="121" spans="1:9" x14ac:dyDescent="0.45">
      <c r="A121" s="11"/>
      <c r="B121" s="11"/>
      <c r="C121" s="11"/>
      <c r="D121" s="11"/>
      <c r="E121" s="11"/>
      <c r="F121" s="11"/>
      <c r="G121" s="11"/>
      <c r="H121" s="11"/>
      <c r="I121" s="11"/>
    </row>
    <row r="122" spans="1:9" x14ac:dyDescent="0.45">
      <c r="A122" s="11"/>
      <c r="B122" s="11"/>
      <c r="C122" s="11"/>
      <c r="D122" s="11"/>
      <c r="E122" s="11"/>
      <c r="F122" s="11"/>
      <c r="G122" s="11"/>
      <c r="H122" s="11"/>
      <c r="I122" s="11"/>
    </row>
    <row r="123" spans="1:9" x14ac:dyDescent="0.45">
      <c r="A123" s="11"/>
      <c r="B123" s="11"/>
      <c r="C123" s="11"/>
      <c r="D123" s="11"/>
      <c r="E123" s="11"/>
      <c r="F123" s="11"/>
      <c r="G123" s="11"/>
      <c r="H123" s="11"/>
      <c r="I123" s="11"/>
    </row>
    <row r="124" spans="1:9" x14ac:dyDescent="0.45">
      <c r="A124" s="11"/>
      <c r="B124" s="11"/>
      <c r="C124" s="11"/>
      <c r="D124" s="11"/>
      <c r="E124" s="11"/>
      <c r="F124" s="11"/>
      <c r="G124" s="11"/>
      <c r="H124" s="11"/>
      <c r="I124" s="11"/>
    </row>
    <row r="125" spans="1:9" x14ac:dyDescent="0.45">
      <c r="A125" s="11"/>
      <c r="B125" s="11"/>
      <c r="C125" s="11"/>
      <c r="D125" s="11"/>
      <c r="E125" s="11"/>
      <c r="F125" s="11"/>
      <c r="G125" s="11"/>
      <c r="H125" s="11"/>
      <c r="I125" s="11"/>
    </row>
    <row r="126" spans="1:9" x14ac:dyDescent="0.45">
      <c r="A126" s="11"/>
      <c r="B126" s="11"/>
      <c r="C126" s="11"/>
      <c r="D126" s="11"/>
      <c r="E126" s="11"/>
      <c r="F126" s="11"/>
      <c r="G126" s="11"/>
      <c r="H126" s="11"/>
      <c r="I126" s="11"/>
    </row>
    <row r="127" spans="1:9" x14ac:dyDescent="0.45">
      <c r="A127" s="11"/>
      <c r="B127" s="11"/>
      <c r="C127" s="11"/>
      <c r="D127" s="11"/>
      <c r="E127" s="11"/>
      <c r="F127" s="11"/>
      <c r="G127" s="11"/>
      <c r="H127" s="11"/>
      <c r="I127" s="11"/>
    </row>
    <row r="128" spans="1:9" x14ac:dyDescent="0.45">
      <c r="A128" s="11"/>
      <c r="B128" s="11"/>
      <c r="C128" s="11"/>
      <c r="D128" s="11"/>
      <c r="E128" s="11"/>
      <c r="F128" s="11"/>
      <c r="G128" s="11"/>
      <c r="H128" s="11"/>
      <c r="I128" s="11"/>
    </row>
    <row r="129" spans="1:9" x14ac:dyDescent="0.45">
      <c r="A129" s="11"/>
      <c r="B129" s="11"/>
      <c r="C129" s="11"/>
      <c r="D129" s="11"/>
      <c r="E129" s="11"/>
      <c r="F129" s="11"/>
      <c r="G129" s="11"/>
      <c r="H129" s="11"/>
      <c r="I129" s="11"/>
    </row>
    <row r="130" spans="1:9" x14ac:dyDescent="0.45">
      <c r="A130" s="11"/>
      <c r="B130" s="11"/>
      <c r="C130" s="11"/>
      <c r="D130" s="11"/>
      <c r="E130" s="11"/>
      <c r="F130" s="11"/>
      <c r="G130" s="11"/>
      <c r="H130" s="11"/>
      <c r="I130" s="11"/>
    </row>
    <row r="131" spans="1:9" x14ac:dyDescent="0.45">
      <c r="A131" s="11"/>
      <c r="B131" s="11"/>
      <c r="C131" s="11"/>
      <c r="D131" s="11"/>
      <c r="E131" s="11"/>
      <c r="F131" s="11"/>
      <c r="G131" s="11"/>
      <c r="H131" s="11"/>
      <c r="I131" s="11"/>
    </row>
    <row r="132" spans="1:9" x14ac:dyDescent="0.45">
      <c r="A132" s="11"/>
      <c r="B132" s="11"/>
      <c r="C132" s="11"/>
      <c r="D132" s="11"/>
      <c r="E132" s="11"/>
      <c r="F132" s="11"/>
      <c r="G132" s="11"/>
      <c r="H132" s="11"/>
      <c r="I132" s="11"/>
    </row>
    <row r="133" spans="1:9" x14ac:dyDescent="0.45">
      <c r="A133" s="11"/>
      <c r="B133" s="11"/>
      <c r="C133" s="11"/>
      <c r="D133" s="11"/>
      <c r="E133" s="11"/>
      <c r="F133" s="11"/>
      <c r="G133" s="11"/>
      <c r="H133" s="11"/>
      <c r="I133" s="11"/>
    </row>
    <row r="134" spans="1:9" x14ac:dyDescent="0.45">
      <c r="A134" s="11"/>
      <c r="B134" s="11"/>
      <c r="C134" s="11"/>
      <c r="D134" s="11"/>
      <c r="E134" s="11"/>
      <c r="F134" s="11"/>
      <c r="G134" s="11"/>
      <c r="H134" s="11"/>
      <c r="I134" s="11"/>
    </row>
    <row r="135" spans="1:9" x14ac:dyDescent="0.45">
      <c r="A135" s="11"/>
      <c r="B135" s="11"/>
      <c r="C135" s="11"/>
      <c r="D135" s="11"/>
      <c r="E135" s="11"/>
      <c r="F135" s="11"/>
      <c r="G135" s="11"/>
      <c r="H135" s="11"/>
      <c r="I135" s="11"/>
    </row>
    <row r="136" spans="1:9" x14ac:dyDescent="0.45">
      <c r="A136" s="11"/>
      <c r="B136" s="11"/>
      <c r="C136" s="11"/>
      <c r="D136" s="11"/>
      <c r="E136" s="11"/>
      <c r="F136" s="11"/>
      <c r="G136" s="11"/>
      <c r="H136" s="11"/>
      <c r="I136" s="11"/>
    </row>
    <row r="137" spans="1:9" x14ac:dyDescent="0.45">
      <c r="A137" s="11"/>
      <c r="B137" s="11"/>
      <c r="C137" s="11"/>
      <c r="D137" s="11"/>
      <c r="E137" s="11"/>
      <c r="F137" s="11"/>
      <c r="G137" s="11"/>
      <c r="H137" s="11"/>
      <c r="I137" s="11"/>
    </row>
    <row r="138" spans="1:9" x14ac:dyDescent="0.45">
      <c r="A138" s="11"/>
      <c r="B138" s="11"/>
      <c r="C138" s="11"/>
      <c r="D138" s="11"/>
      <c r="E138" s="11"/>
      <c r="F138" s="11"/>
      <c r="G138" s="11"/>
      <c r="H138" s="11"/>
      <c r="I138" s="11"/>
    </row>
    <row r="139" spans="1:9" x14ac:dyDescent="0.45">
      <c r="A139" s="11"/>
      <c r="B139" s="11"/>
      <c r="C139" s="11"/>
      <c r="D139" s="11"/>
      <c r="E139" s="11"/>
      <c r="F139" s="11"/>
      <c r="G139" s="11"/>
      <c r="H139" s="11"/>
      <c r="I139" s="11"/>
    </row>
    <row r="140" spans="1:9" x14ac:dyDescent="0.45">
      <c r="A140" s="11"/>
      <c r="B140" s="11"/>
      <c r="C140" s="11"/>
      <c r="D140" s="11"/>
      <c r="E140" s="11"/>
      <c r="F140" s="11"/>
      <c r="G140" s="11"/>
      <c r="H140" s="11"/>
      <c r="I140" s="11"/>
    </row>
    <row r="141" spans="1:9" x14ac:dyDescent="0.45">
      <c r="A141" s="11"/>
      <c r="B141" s="11"/>
      <c r="C141" s="11"/>
      <c r="D141" s="11"/>
      <c r="E141" s="11"/>
      <c r="F141" s="11"/>
      <c r="G141" s="11"/>
      <c r="H141" s="11"/>
      <c r="I141" s="11"/>
    </row>
    <row r="142" spans="1:9" x14ac:dyDescent="0.45">
      <c r="A142" s="11"/>
      <c r="B142" s="11"/>
      <c r="C142" s="11"/>
      <c r="D142" s="11"/>
      <c r="E142" s="11"/>
      <c r="F142" s="11"/>
      <c r="G142" s="11"/>
      <c r="H142" s="11"/>
      <c r="I142" s="11"/>
    </row>
    <row r="143" spans="1:9" x14ac:dyDescent="0.45">
      <c r="A143" s="11"/>
      <c r="B143" s="11"/>
      <c r="C143" s="11"/>
      <c r="D143" s="11"/>
      <c r="E143" s="11"/>
      <c r="F143" s="11"/>
      <c r="G143" s="11"/>
      <c r="H143" s="11"/>
      <c r="I143" s="11"/>
    </row>
    <row r="144" spans="1:9" x14ac:dyDescent="0.45">
      <c r="A144" s="11"/>
      <c r="B144" s="11"/>
      <c r="C144" s="11"/>
      <c r="D144" s="11"/>
      <c r="E144" s="11"/>
      <c r="F144" s="11"/>
      <c r="G144" s="11"/>
      <c r="H144" s="11"/>
      <c r="I144" s="11"/>
    </row>
    <row r="145" spans="1:9" x14ac:dyDescent="0.45">
      <c r="A145" s="11"/>
      <c r="B145" s="11"/>
      <c r="C145" s="11"/>
      <c r="D145" s="11"/>
      <c r="E145" s="11"/>
      <c r="F145" s="11"/>
      <c r="G145" s="11"/>
      <c r="H145" s="11"/>
      <c r="I145" s="11"/>
    </row>
    <row r="146" spans="1:9" x14ac:dyDescent="0.45">
      <c r="A146" s="11"/>
      <c r="B146" s="11"/>
      <c r="C146" s="11"/>
      <c r="D146" s="11"/>
      <c r="E146" s="11"/>
      <c r="F146" s="11"/>
      <c r="G146" s="11"/>
      <c r="H146" s="11"/>
      <c r="I146" s="11"/>
    </row>
    <row r="147" spans="1:9" x14ac:dyDescent="0.45">
      <c r="A147" s="11"/>
      <c r="B147" s="11"/>
      <c r="C147" s="11"/>
      <c r="D147" s="11"/>
      <c r="E147" s="11"/>
      <c r="F147" s="11"/>
      <c r="G147" s="11"/>
      <c r="H147" s="11"/>
      <c r="I147" s="11"/>
    </row>
    <row r="148" spans="1:9" x14ac:dyDescent="0.45">
      <c r="A148" s="11"/>
      <c r="B148" s="11"/>
      <c r="C148" s="11"/>
      <c r="D148" s="11"/>
      <c r="E148" s="11"/>
      <c r="F148" s="11"/>
      <c r="G148" s="11"/>
      <c r="H148" s="11"/>
      <c r="I148" s="11"/>
    </row>
    <row r="149" spans="1:9" x14ac:dyDescent="0.45">
      <c r="A149" s="11"/>
      <c r="B149" s="11"/>
      <c r="C149" s="11"/>
      <c r="D149" s="11"/>
      <c r="E149" s="11"/>
      <c r="F149" s="11"/>
      <c r="G149" s="11"/>
      <c r="H149" s="11"/>
      <c r="I149" s="11"/>
    </row>
    <row r="150" spans="1:9" x14ac:dyDescent="0.45">
      <c r="A150" s="11"/>
      <c r="B150" s="11"/>
      <c r="C150" s="11"/>
      <c r="D150" s="11"/>
      <c r="E150" s="11"/>
      <c r="F150" s="11"/>
      <c r="G150" s="11"/>
      <c r="H150" s="11"/>
      <c r="I150" s="11"/>
    </row>
    <row r="151" spans="1:9" x14ac:dyDescent="0.45">
      <c r="A151" s="11"/>
      <c r="B151" s="11"/>
      <c r="C151" s="11"/>
      <c r="D151" s="11"/>
      <c r="E151" s="11"/>
      <c r="F151" s="11"/>
      <c r="G151" s="11"/>
      <c r="H151" s="11"/>
      <c r="I151" s="11"/>
    </row>
    <row r="152" spans="1:9" x14ac:dyDescent="0.45">
      <c r="A152" s="11"/>
      <c r="B152" s="11"/>
      <c r="C152" s="11"/>
      <c r="D152" s="11"/>
      <c r="E152" s="11"/>
      <c r="F152" s="11"/>
      <c r="G152" s="11"/>
      <c r="H152" s="11"/>
      <c r="I152" s="11"/>
    </row>
    <row r="153" spans="1:9" x14ac:dyDescent="0.45">
      <c r="A153" s="11"/>
      <c r="B153" s="11"/>
      <c r="C153" s="11"/>
      <c r="D153" s="11"/>
      <c r="E153" s="11"/>
      <c r="F153" s="11"/>
      <c r="G153" s="11"/>
      <c r="H153" s="11"/>
      <c r="I153" s="11"/>
    </row>
    <row r="154" spans="1:9" x14ac:dyDescent="0.45">
      <c r="A154" s="11"/>
      <c r="B154" s="11"/>
      <c r="C154" s="11"/>
      <c r="D154" s="11"/>
      <c r="E154" s="11"/>
      <c r="F154" s="11"/>
      <c r="G154" s="11"/>
      <c r="H154" s="11"/>
      <c r="I154" s="11"/>
    </row>
    <row r="155" spans="1:9" x14ac:dyDescent="0.45">
      <c r="A155" s="11"/>
      <c r="B155" s="11"/>
      <c r="C155" s="11"/>
      <c r="D155" s="11"/>
      <c r="E155" s="11"/>
      <c r="F155" s="11"/>
      <c r="G155" s="11"/>
      <c r="H155" s="11"/>
      <c r="I155" s="11"/>
    </row>
    <row r="156" spans="1:9" x14ac:dyDescent="0.45">
      <c r="A156" s="11"/>
      <c r="B156" s="11"/>
      <c r="C156" s="11"/>
      <c r="D156" s="11"/>
      <c r="E156" s="11"/>
      <c r="F156" s="11"/>
      <c r="G156" s="11"/>
      <c r="H156" s="11"/>
      <c r="I156" s="11"/>
    </row>
    <row r="157" spans="1:9" x14ac:dyDescent="0.45">
      <c r="A157" s="11"/>
      <c r="B157" s="11"/>
      <c r="C157" s="11"/>
      <c r="D157" s="11"/>
      <c r="E157" s="11"/>
      <c r="F157" s="11"/>
      <c r="G157" s="11"/>
      <c r="H157" s="11"/>
      <c r="I157" s="11"/>
    </row>
    <row r="158" spans="1:9" x14ac:dyDescent="0.45">
      <c r="A158" s="11"/>
      <c r="B158" s="11"/>
      <c r="C158" s="11"/>
      <c r="D158" s="11"/>
      <c r="E158" s="11"/>
      <c r="F158" s="11"/>
      <c r="G158" s="11"/>
      <c r="H158" s="11"/>
      <c r="I158" s="11"/>
    </row>
    <row r="159" spans="1:9" x14ac:dyDescent="0.45">
      <c r="A159" s="11"/>
      <c r="B159" s="11"/>
      <c r="C159" s="11"/>
      <c r="D159" s="11"/>
      <c r="E159" s="11"/>
      <c r="F159" s="11"/>
      <c r="G159" s="11"/>
      <c r="H159" s="11"/>
      <c r="I159" s="11"/>
    </row>
    <row r="160" spans="1:9" x14ac:dyDescent="0.45">
      <c r="A160" s="11"/>
      <c r="B160" s="11"/>
      <c r="C160" s="11"/>
      <c r="D160" s="11"/>
      <c r="E160" s="11"/>
      <c r="F160" s="11"/>
      <c r="G160" s="11"/>
      <c r="H160" s="11"/>
      <c r="I160" s="11"/>
    </row>
    <row r="161" spans="1:9" x14ac:dyDescent="0.45">
      <c r="A161" s="11"/>
      <c r="B161" s="11"/>
      <c r="C161" s="11"/>
      <c r="D161" s="11"/>
      <c r="E161" s="11"/>
      <c r="F161" s="11"/>
      <c r="G161" s="11"/>
      <c r="H161" s="11"/>
      <c r="I161" s="11"/>
    </row>
    <row r="162" spans="1:9" x14ac:dyDescent="0.45">
      <c r="A162" s="11"/>
      <c r="B162" s="11"/>
      <c r="C162" s="11"/>
      <c r="D162" s="11"/>
      <c r="E162" s="11"/>
      <c r="F162" s="11"/>
      <c r="G162" s="11"/>
      <c r="H162" s="11"/>
      <c r="I162" s="11"/>
    </row>
    <row r="163" spans="1:9" x14ac:dyDescent="0.45">
      <c r="A163" s="11"/>
      <c r="B163" s="11"/>
      <c r="C163" s="11"/>
      <c r="D163" s="11"/>
      <c r="E163" s="11"/>
      <c r="F163" s="11"/>
      <c r="G163" s="11"/>
      <c r="H163" s="11"/>
      <c r="I163" s="11"/>
    </row>
    <row r="164" spans="1:9" x14ac:dyDescent="0.45">
      <c r="A164" s="11"/>
      <c r="B164" s="11"/>
      <c r="C164" s="11"/>
      <c r="D164" s="11"/>
      <c r="E164" s="11"/>
      <c r="F164" s="11"/>
      <c r="G164" s="11"/>
      <c r="H164" s="11"/>
      <c r="I164" s="11"/>
    </row>
    <row r="165" spans="1:9" x14ac:dyDescent="0.45">
      <c r="A165" s="11"/>
      <c r="B165" s="11"/>
      <c r="C165" s="11"/>
      <c r="D165" s="11"/>
      <c r="E165" s="11"/>
      <c r="F165" s="11"/>
      <c r="G165" s="11"/>
      <c r="H165" s="11"/>
      <c r="I165" s="11"/>
    </row>
    <row r="166" spans="1:9" x14ac:dyDescent="0.45">
      <c r="A166" s="11"/>
      <c r="B166" s="11"/>
      <c r="C166" s="11"/>
      <c r="D166" s="11"/>
      <c r="E166" s="11"/>
      <c r="F166" s="11"/>
      <c r="G166" s="11"/>
      <c r="H166" s="11"/>
      <c r="I166" s="11"/>
    </row>
    <row r="167" spans="1:9" x14ac:dyDescent="0.45">
      <c r="A167" s="11"/>
      <c r="B167" s="11"/>
      <c r="C167" s="11"/>
      <c r="D167" s="11"/>
      <c r="E167" s="11"/>
      <c r="F167" s="11"/>
      <c r="G167" s="11"/>
      <c r="H167" s="11"/>
      <c r="I167" s="11"/>
    </row>
    <row r="168" spans="1:9" x14ac:dyDescent="0.45">
      <c r="A168" s="11"/>
      <c r="B168" s="11"/>
      <c r="C168" s="11"/>
      <c r="D168" s="11"/>
      <c r="E168" s="11"/>
      <c r="F168" s="11"/>
      <c r="G168" s="11"/>
      <c r="H168" s="11"/>
      <c r="I168" s="11"/>
    </row>
    <row r="169" spans="1:9" x14ac:dyDescent="0.45">
      <c r="A169" s="11"/>
      <c r="B169" s="11"/>
      <c r="C169" s="11"/>
      <c r="D169" s="11"/>
      <c r="E169" s="11"/>
      <c r="F169" s="11"/>
      <c r="G169" s="11"/>
      <c r="H169" s="11"/>
      <c r="I169" s="11"/>
    </row>
    <row r="170" spans="1:9" x14ac:dyDescent="0.45">
      <c r="A170" s="11"/>
      <c r="B170" s="11"/>
      <c r="C170" s="11"/>
      <c r="D170" s="11"/>
      <c r="E170" s="11"/>
      <c r="F170" s="11"/>
      <c r="G170" s="11"/>
      <c r="H170" s="11"/>
      <c r="I170" s="11"/>
    </row>
    <row r="171" spans="1:9" x14ac:dyDescent="0.45">
      <c r="A171" s="11"/>
      <c r="B171" s="11"/>
      <c r="C171" s="11"/>
      <c r="D171" s="11"/>
      <c r="E171" s="11"/>
      <c r="F171" s="11"/>
      <c r="G171" s="11"/>
      <c r="H171" s="11"/>
      <c r="I171" s="11"/>
    </row>
    <row r="172" spans="1:9" x14ac:dyDescent="0.45">
      <c r="A172" s="11"/>
      <c r="B172" s="11"/>
      <c r="C172" s="11"/>
      <c r="D172" s="11"/>
      <c r="E172" s="11"/>
      <c r="F172" s="11"/>
      <c r="G172" s="11"/>
      <c r="H172" s="11"/>
      <c r="I172" s="11"/>
    </row>
    <row r="173" spans="1:9" x14ac:dyDescent="0.45">
      <c r="A173" s="11"/>
      <c r="B173" s="11"/>
      <c r="C173" s="11"/>
      <c r="D173" s="11"/>
      <c r="E173" s="11"/>
      <c r="F173" s="11"/>
      <c r="G173" s="11"/>
      <c r="H173" s="11"/>
      <c r="I173" s="11"/>
    </row>
    <row r="174" spans="1:9" x14ac:dyDescent="0.45">
      <c r="A174" s="11"/>
      <c r="B174" s="11"/>
      <c r="C174" s="11"/>
      <c r="D174" s="11"/>
      <c r="E174" s="11"/>
      <c r="F174" s="11"/>
      <c r="G174" s="11"/>
      <c r="H174" s="11"/>
      <c r="I174" s="11"/>
    </row>
    <row r="175" spans="1:9" x14ac:dyDescent="0.45">
      <c r="A175" s="11"/>
      <c r="B175" s="11"/>
      <c r="C175" s="11"/>
      <c r="D175" s="11"/>
      <c r="E175" s="11"/>
      <c r="F175" s="11"/>
      <c r="G175" s="11"/>
      <c r="H175" s="11"/>
      <c r="I175" s="11"/>
    </row>
    <row r="176" spans="1:9" x14ac:dyDescent="0.45">
      <c r="A176" s="11"/>
      <c r="B176" s="11"/>
      <c r="C176" s="11"/>
      <c r="D176" s="11"/>
      <c r="E176" s="11"/>
      <c r="F176" s="11"/>
      <c r="G176" s="11"/>
      <c r="H176" s="11"/>
      <c r="I176" s="11"/>
    </row>
    <row r="177" spans="1:9" x14ac:dyDescent="0.45">
      <c r="A177" s="11"/>
      <c r="B177" s="11"/>
      <c r="C177" s="11"/>
      <c r="D177" s="11"/>
      <c r="E177" s="11"/>
      <c r="F177" s="11"/>
      <c r="G177" s="11"/>
      <c r="H177" s="11"/>
      <c r="I177" s="11"/>
    </row>
    <row r="178" spans="1:9" x14ac:dyDescent="0.45">
      <c r="A178" s="11"/>
      <c r="B178" s="11"/>
      <c r="C178" s="11"/>
      <c r="D178" s="11"/>
      <c r="E178" s="11"/>
      <c r="F178" s="11"/>
      <c r="G178" s="11"/>
      <c r="H178" s="11"/>
      <c r="I178" s="11"/>
    </row>
    <row r="179" spans="1:9" x14ac:dyDescent="0.45">
      <c r="A179" s="11"/>
      <c r="B179" s="11"/>
      <c r="C179" s="11"/>
      <c r="D179" s="11"/>
      <c r="E179" s="11"/>
      <c r="F179" s="11"/>
      <c r="G179" s="11"/>
      <c r="H179" s="11"/>
      <c r="I179" s="11"/>
    </row>
    <row r="180" spans="1:9" x14ac:dyDescent="0.45">
      <c r="A180" s="11"/>
      <c r="B180" s="11"/>
      <c r="C180" s="11"/>
      <c r="D180" s="11"/>
      <c r="E180" s="11"/>
      <c r="F180" s="11"/>
      <c r="G180" s="11"/>
      <c r="H180" s="11"/>
      <c r="I180" s="11"/>
    </row>
    <row r="181" spans="1:9" x14ac:dyDescent="0.45">
      <c r="A181" s="11"/>
      <c r="B181" s="11"/>
      <c r="C181" s="11"/>
      <c r="D181" s="11"/>
      <c r="E181" s="11"/>
      <c r="F181" s="11"/>
      <c r="G181" s="11"/>
      <c r="H181" s="11"/>
      <c r="I181" s="11"/>
    </row>
    <row r="182" spans="1:9" x14ac:dyDescent="0.45">
      <c r="A182" s="11"/>
      <c r="B182" s="11"/>
      <c r="C182" s="11"/>
      <c r="D182" s="11"/>
      <c r="E182" s="11"/>
      <c r="F182" s="11"/>
      <c r="G182" s="11"/>
      <c r="H182" s="11"/>
      <c r="I182" s="11"/>
    </row>
    <row r="183" spans="1:9" x14ac:dyDescent="0.45">
      <c r="A183" s="11"/>
      <c r="B183" s="11"/>
      <c r="C183" s="11"/>
      <c r="D183" s="11"/>
      <c r="E183" s="11"/>
      <c r="F183" s="11"/>
      <c r="G183" s="11"/>
      <c r="H183" s="11"/>
      <c r="I183" s="11"/>
    </row>
    <row r="184" spans="1:9" x14ac:dyDescent="0.45">
      <c r="A184" s="11"/>
      <c r="B184" s="11"/>
      <c r="C184" s="11"/>
      <c r="D184" s="11"/>
      <c r="E184" s="11"/>
      <c r="F184" s="11"/>
      <c r="G184" s="11"/>
      <c r="H184" s="11"/>
      <c r="I184" s="11"/>
    </row>
    <row r="185" spans="1:9" x14ac:dyDescent="0.45">
      <c r="A185" s="11"/>
      <c r="B185" s="11"/>
      <c r="C185" s="11"/>
      <c r="D185" s="11"/>
      <c r="E185" s="11"/>
      <c r="F185" s="11"/>
      <c r="G185" s="11"/>
      <c r="H185" s="11"/>
      <c r="I185" s="11"/>
    </row>
    <row r="186" spans="1:9" x14ac:dyDescent="0.45">
      <c r="A186" s="11"/>
      <c r="B186" s="11"/>
      <c r="C186" s="11"/>
      <c r="D186" s="11"/>
      <c r="E186" s="11"/>
      <c r="F186" s="11"/>
      <c r="G186" s="11"/>
      <c r="H186" s="11"/>
      <c r="I186" s="11"/>
    </row>
    <row r="187" spans="1:9" x14ac:dyDescent="0.45">
      <c r="A187" s="11"/>
      <c r="B187" s="11"/>
      <c r="C187" s="11"/>
      <c r="D187" s="11"/>
      <c r="E187" s="11"/>
      <c r="F187" s="11"/>
      <c r="G187" s="11"/>
      <c r="H187" s="11"/>
      <c r="I187" s="11"/>
    </row>
    <row r="188" spans="1:9" x14ac:dyDescent="0.45">
      <c r="A188" s="11"/>
      <c r="B188" s="11"/>
      <c r="C188" s="11"/>
      <c r="D188" s="11"/>
      <c r="E188" s="11"/>
      <c r="F188" s="11"/>
      <c r="G188" s="11"/>
      <c r="H188" s="11"/>
      <c r="I188" s="11"/>
    </row>
    <row r="189" spans="1:9" x14ac:dyDescent="0.45">
      <c r="A189" s="11"/>
      <c r="B189" s="11"/>
      <c r="C189" s="11"/>
      <c r="D189" s="11"/>
      <c r="E189" s="11"/>
      <c r="F189" s="11"/>
      <c r="G189" s="11"/>
      <c r="H189" s="11"/>
      <c r="I189" s="11"/>
    </row>
    <row r="190" spans="1:9" x14ac:dyDescent="0.45">
      <c r="A190" s="11"/>
      <c r="B190" s="11"/>
      <c r="C190" s="11"/>
      <c r="D190" s="11"/>
      <c r="E190" s="11"/>
      <c r="F190" s="11"/>
      <c r="G190" s="11"/>
      <c r="H190" s="11"/>
      <c r="I190" s="11"/>
    </row>
    <row r="191" spans="1:9" x14ac:dyDescent="0.45">
      <c r="A191" s="11"/>
      <c r="B191" s="11"/>
      <c r="C191" s="11"/>
      <c r="D191" s="11"/>
      <c r="E191" s="11"/>
      <c r="F191" s="11"/>
      <c r="G191" s="11"/>
      <c r="H191" s="11"/>
      <c r="I191" s="11"/>
    </row>
    <row r="192" spans="1:9" x14ac:dyDescent="0.45">
      <c r="A192" s="11"/>
      <c r="B192" s="11"/>
      <c r="C192" s="11"/>
      <c r="D192" s="11"/>
      <c r="E192" s="11"/>
      <c r="F192" s="11"/>
      <c r="G192" s="11"/>
      <c r="H192" s="11"/>
      <c r="I192" s="11"/>
    </row>
    <row r="193" spans="1:9" x14ac:dyDescent="0.45">
      <c r="A193" s="11"/>
      <c r="B193" s="11"/>
      <c r="C193" s="11"/>
      <c r="D193" s="11"/>
      <c r="E193" s="11"/>
      <c r="F193" s="11"/>
      <c r="G193" s="11"/>
      <c r="H193" s="11"/>
      <c r="I193" s="11"/>
    </row>
    <row r="194" spans="1:9" x14ac:dyDescent="0.45">
      <c r="A194" s="11"/>
      <c r="B194" s="11"/>
      <c r="C194" s="11"/>
      <c r="D194" s="11"/>
      <c r="E194" s="11"/>
      <c r="F194" s="11"/>
      <c r="G194" s="11"/>
      <c r="H194" s="11"/>
      <c r="I194" s="11"/>
    </row>
    <row r="195" spans="1:9" x14ac:dyDescent="0.45">
      <c r="A195" s="11"/>
      <c r="B195" s="11"/>
      <c r="C195" s="11"/>
      <c r="D195" s="11"/>
      <c r="E195" s="11"/>
      <c r="F195" s="11"/>
      <c r="G195" s="11"/>
      <c r="H195" s="11"/>
      <c r="I195" s="11"/>
    </row>
    <row r="196" spans="1:9" x14ac:dyDescent="0.45">
      <c r="A196" s="11"/>
      <c r="B196" s="11"/>
      <c r="C196" s="11"/>
      <c r="D196" s="11"/>
      <c r="E196" s="11"/>
      <c r="F196" s="11"/>
      <c r="G196" s="11"/>
      <c r="H196" s="11"/>
      <c r="I196" s="11"/>
    </row>
    <row r="197" spans="1:9" x14ac:dyDescent="0.45">
      <c r="A197" s="11"/>
      <c r="B197" s="11"/>
      <c r="C197" s="11"/>
      <c r="D197" s="11"/>
      <c r="E197" s="11"/>
      <c r="F197" s="11"/>
      <c r="G197" s="11"/>
      <c r="H197" s="11"/>
      <c r="I197" s="11"/>
    </row>
    <row r="198" spans="1:9" x14ac:dyDescent="0.45">
      <c r="A198" s="11"/>
      <c r="B198" s="11"/>
      <c r="C198" s="11"/>
      <c r="D198" s="11"/>
      <c r="E198" s="11"/>
      <c r="F198" s="11"/>
      <c r="G198" s="11"/>
      <c r="H198" s="11"/>
      <c r="I198" s="11"/>
    </row>
    <row r="199" spans="1:9" x14ac:dyDescent="0.45">
      <c r="A199" s="11"/>
      <c r="B199" s="11"/>
      <c r="C199" s="11"/>
      <c r="D199" s="11"/>
      <c r="E199" s="11"/>
      <c r="F199" s="11"/>
      <c r="G199" s="11"/>
      <c r="H199" s="11"/>
      <c r="I199" s="11"/>
    </row>
    <row r="200" spans="1:9" x14ac:dyDescent="0.45">
      <c r="A200" s="11"/>
      <c r="B200" s="11"/>
      <c r="C200" s="11"/>
      <c r="D200" s="11"/>
      <c r="E200" s="11"/>
      <c r="F200" s="11"/>
      <c r="G200" s="11"/>
      <c r="H200" s="11"/>
      <c r="I200" s="11"/>
    </row>
    <row r="201" spans="1:9" x14ac:dyDescent="0.45">
      <c r="A201" s="11"/>
      <c r="B201" s="11"/>
      <c r="C201" s="11"/>
      <c r="D201" s="11"/>
      <c r="E201" s="11"/>
      <c r="F201" s="11"/>
      <c r="G201" s="11"/>
      <c r="H201" s="11"/>
      <c r="I201" s="11"/>
    </row>
    <row r="202" spans="1:9" x14ac:dyDescent="0.45">
      <c r="A202" s="11"/>
      <c r="B202" s="11"/>
      <c r="C202" s="11"/>
      <c r="D202" s="11"/>
      <c r="E202" s="11"/>
      <c r="F202" s="11"/>
      <c r="G202" s="11"/>
      <c r="H202" s="11"/>
      <c r="I202" s="11"/>
    </row>
    <row r="203" spans="1:9" x14ac:dyDescent="0.45">
      <c r="A203" s="11"/>
      <c r="B203" s="11"/>
      <c r="C203" s="11"/>
      <c r="D203" s="11"/>
      <c r="E203" s="11"/>
      <c r="F203" s="11"/>
      <c r="G203" s="11"/>
      <c r="H203" s="11"/>
      <c r="I203" s="11"/>
    </row>
    <row r="204" spans="1:9" x14ac:dyDescent="0.45">
      <c r="A204" s="11"/>
      <c r="B204" s="11"/>
      <c r="C204" s="11"/>
      <c r="D204" s="11"/>
      <c r="E204" s="11"/>
      <c r="F204" s="11"/>
      <c r="G204" s="11"/>
      <c r="H204" s="11"/>
      <c r="I204" s="11"/>
    </row>
    <row r="205" spans="1:9" x14ac:dyDescent="0.45">
      <c r="A205" s="11"/>
      <c r="B205" s="11"/>
      <c r="C205" s="11"/>
      <c r="D205" s="11"/>
      <c r="E205" s="11"/>
      <c r="F205" s="11"/>
      <c r="G205" s="11"/>
      <c r="H205" s="11"/>
      <c r="I205" s="11"/>
    </row>
    <row r="206" spans="1:9" x14ac:dyDescent="0.45">
      <c r="A206" s="11"/>
      <c r="B206" s="11"/>
      <c r="C206" s="11"/>
      <c r="D206" s="11"/>
      <c r="E206" s="11"/>
      <c r="F206" s="11"/>
      <c r="G206" s="11"/>
      <c r="H206" s="11"/>
      <c r="I206" s="11"/>
    </row>
    <row r="207" spans="1:9" x14ac:dyDescent="0.45">
      <c r="A207" s="11"/>
      <c r="B207" s="11"/>
      <c r="C207" s="11"/>
      <c r="D207" s="11"/>
      <c r="E207" s="11"/>
      <c r="F207" s="11"/>
      <c r="G207" s="11"/>
      <c r="H207" s="11"/>
      <c r="I207" s="11"/>
    </row>
    <row r="208" spans="1:9" x14ac:dyDescent="0.45">
      <c r="A208" s="11"/>
      <c r="B208" s="11"/>
      <c r="C208" s="11"/>
      <c r="D208" s="11"/>
      <c r="E208" s="11"/>
      <c r="F208" s="11"/>
      <c r="G208" s="11"/>
      <c r="H208" s="11"/>
      <c r="I208" s="11"/>
    </row>
    <row r="209" spans="1:9" x14ac:dyDescent="0.45">
      <c r="A209" s="11"/>
      <c r="B209" s="11"/>
      <c r="C209" s="11"/>
      <c r="D209" s="11"/>
      <c r="E209" s="11"/>
      <c r="F209" s="11"/>
      <c r="G209" s="11"/>
      <c r="H209" s="11"/>
      <c r="I209" s="11"/>
    </row>
    <row r="210" spans="1:9" x14ac:dyDescent="0.45">
      <c r="A210" s="11"/>
      <c r="B210" s="11"/>
      <c r="C210" s="11"/>
      <c r="D210" s="11"/>
      <c r="E210" s="11"/>
      <c r="F210" s="11"/>
      <c r="G210" s="11"/>
      <c r="H210" s="11"/>
      <c r="I210" s="11"/>
    </row>
    <row r="211" spans="1:9" x14ac:dyDescent="0.45">
      <c r="A211" s="11"/>
      <c r="B211" s="11"/>
      <c r="C211" s="11"/>
      <c r="D211" s="11"/>
      <c r="E211" s="11"/>
      <c r="F211" s="11"/>
      <c r="G211" s="11"/>
      <c r="H211" s="11"/>
      <c r="I211" s="11"/>
    </row>
    <row r="212" spans="1:9" x14ac:dyDescent="0.45">
      <c r="A212" s="11"/>
      <c r="B212" s="11"/>
      <c r="C212" s="11"/>
      <c r="D212" s="11"/>
      <c r="E212" s="11"/>
      <c r="F212" s="11"/>
      <c r="G212" s="11"/>
      <c r="H212" s="11"/>
      <c r="I212" s="11"/>
    </row>
    <row r="213" spans="1:9" x14ac:dyDescent="0.45">
      <c r="A213" s="11"/>
      <c r="B213" s="11"/>
      <c r="C213" s="11"/>
      <c r="D213" s="11"/>
      <c r="E213" s="11"/>
      <c r="F213" s="11"/>
      <c r="G213" s="11"/>
      <c r="H213" s="11"/>
      <c r="I213" s="11"/>
    </row>
    <row r="214" spans="1:9" x14ac:dyDescent="0.45">
      <c r="A214" s="11"/>
      <c r="B214" s="11"/>
      <c r="C214" s="11"/>
      <c r="D214" s="11"/>
      <c r="E214" s="11"/>
      <c r="F214" s="11"/>
      <c r="G214" s="11"/>
      <c r="H214" s="11"/>
      <c r="I214" s="11"/>
    </row>
    <row r="215" spans="1:9" x14ac:dyDescent="0.45">
      <c r="A215" s="11"/>
      <c r="B215" s="11"/>
      <c r="C215" s="11"/>
      <c r="D215" s="11"/>
      <c r="E215" s="11"/>
      <c r="F215" s="11"/>
      <c r="G215" s="11"/>
      <c r="H215" s="11"/>
      <c r="I215" s="11"/>
    </row>
    <row r="216" spans="1:9" x14ac:dyDescent="0.45">
      <c r="A216" s="11"/>
      <c r="B216" s="11"/>
      <c r="C216" s="11"/>
      <c r="D216" s="11"/>
      <c r="E216" s="11"/>
      <c r="F216" s="11"/>
      <c r="G216" s="11"/>
      <c r="H216" s="11"/>
      <c r="I216" s="11"/>
    </row>
    <row r="217" spans="1:9" x14ac:dyDescent="0.45">
      <c r="A217" s="11"/>
      <c r="B217" s="11"/>
      <c r="C217" s="11"/>
      <c r="D217" s="11"/>
      <c r="E217" s="11"/>
      <c r="F217" s="11"/>
      <c r="G217" s="11"/>
      <c r="H217" s="11"/>
      <c r="I217" s="11"/>
    </row>
    <row r="218" spans="1:9" x14ac:dyDescent="0.45">
      <c r="A218" s="11"/>
      <c r="B218" s="11"/>
      <c r="C218" s="11"/>
      <c r="D218" s="11"/>
      <c r="E218" s="11"/>
      <c r="F218" s="11"/>
      <c r="G218" s="11"/>
      <c r="H218" s="11"/>
      <c r="I218" s="11"/>
    </row>
    <row r="219" spans="1:9" x14ac:dyDescent="0.45">
      <c r="A219" s="11"/>
      <c r="B219" s="11"/>
      <c r="C219" s="11"/>
      <c r="D219" s="11"/>
      <c r="E219" s="11"/>
      <c r="F219" s="11"/>
      <c r="G219" s="11"/>
      <c r="H219" s="11"/>
      <c r="I219" s="11"/>
    </row>
    <row r="220" spans="1:9" x14ac:dyDescent="0.45">
      <c r="A220" s="11"/>
      <c r="B220" s="11"/>
      <c r="C220" s="11"/>
      <c r="D220" s="11"/>
      <c r="E220" s="11"/>
      <c r="F220" s="11"/>
      <c r="G220" s="11"/>
      <c r="H220" s="11"/>
      <c r="I220" s="11"/>
    </row>
    <row r="221" spans="1:9" x14ac:dyDescent="0.45">
      <c r="A221" s="11"/>
      <c r="B221" s="11"/>
      <c r="C221" s="11"/>
      <c r="D221" s="11"/>
      <c r="E221" s="11"/>
      <c r="F221" s="11"/>
      <c r="G221" s="11"/>
      <c r="H221" s="11"/>
      <c r="I221" s="11"/>
    </row>
    <row r="222" spans="1:9" x14ac:dyDescent="0.45">
      <c r="A222" s="11"/>
      <c r="B222" s="11"/>
      <c r="C222" s="11"/>
      <c r="D222" s="11"/>
      <c r="E222" s="11"/>
      <c r="F222" s="11"/>
      <c r="G222" s="11"/>
      <c r="H222" s="11"/>
      <c r="I222" s="11"/>
    </row>
    <row r="223" spans="1:9" x14ac:dyDescent="0.45">
      <c r="A223" s="11"/>
      <c r="B223" s="11"/>
      <c r="C223" s="11"/>
      <c r="D223" s="11"/>
      <c r="E223" s="11"/>
      <c r="F223" s="11"/>
      <c r="G223" s="11"/>
      <c r="H223" s="11"/>
      <c r="I223" s="11"/>
    </row>
    <row r="224" spans="1:9" x14ac:dyDescent="0.45">
      <c r="A224" s="11"/>
      <c r="B224" s="11"/>
      <c r="C224" s="11"/>
      <c r="D224" s="11"/>
      <c r="E224" s="11"/>
      <c r="F224" s="11"/>
      <c r="G224" s="11"/>
      <c r="H224" s="11"/>
      <c r="I224" s="11"/>
    </row>
    <row r="225" spans="1:9" x14ac:dyDescent="0.45">
      <c r="A225" s="11"/>
      <c r="B225" s="11"/>
      <c r="C225" s="11"/>
      <c r="D225" s="11"/>
      <c r="E225" s="11"/>
      <c r="F225" s="11"/>
      <c r="G225" s="11"/>
      <c r="H225" s="11"/>
      <c r="I225" s="11"/>
    </row>
    <row r="226" spans="1:9" x14ac:dyDescent="0.45">
      <c r="A226" s="11"/>
      <c r="B226" s="11"/>
      <c r="C226" s="11"/>
      <c r="D226" s="11"/>
      <c r="E226" s="11"/>
      <c r="F226" s="11"/>
      <c r="G226" s="11"/>
      <c r="H226" s="11"/>
      <c r="I226" s="11"/>
    </row>
    <row r="227" spans="1:9" x14ac:dyDescent="0.45">
      <c r="A227" s="11"/>
      <c r="B227" s="11"/>
      <c r="C227" s="11"/>
      <c r="D227" s="11"/>
      <c r="E227" s="11"/>
      <c r="F227" s="11"/>
      <c r="G227" s="11"/>
      <c r="H227" s="11"/>
      <c r="I227" s="11"/>
    </row>
    <row r="228" spans="1:9" x14ac:dyDescent="0.45">
      <c r="A228" s="11"/>
      <c r="B228" s="11"/>
      <c r="C228" s="11"/>
      <c r="D228" s="11"/>
      <c r="E228" s="11"/>
      <c r="F228" s="11"/>
      <c r="G228" s="11"/>
      <c r="H228" s="11"/>
      <c r="I228" s="11"/>
    </row>
    <row r="229" spans="1:9" x14ac:dyDescent="0.45">
      <c r="A229" s="11"/>
      <c r="B229" s="11"/>
      <c r="C229" s="11"/>
      <c r="D229" s="11"/>
      <c r="E229" s="11"/>
      <c r="F229" s="11"/>
      <c r="G229" s="11"/>
      <c r="H229" s="11"/>
      <c r="I229" s="11"/>
    </row>
    <row r="230" spans="1:9" x14ac:dyDescent="0.45">
      <c r="A230" s="11"/>
      <c r="B230" s="11"/>
      <c r="C230" s="11"/>
      <c r="D230" s="11"/>
      <c r="E230" s="11"/>
      <c r="F230" s="11"/>
      <c r="G230" s="11"/>
      <c r="H230" s="11"/>
      <c r="I230" s="11"/>
    </row>
    <row r="231" spans="1:9" x14ac:dyDescent="0.45">
      <c r="A231" s="11"/>
      <c r="B231" s="11"/>
      <c r="C231" s="11"/>
      <c r="D231" s="11"/>
      <c r="E231" s="11"/>
      <c r="F231" s="11"/>
      <c r="G231" s="11"/>
      <c r="H231" s="11"/>
      <c r="I231" s="11"/>
    </row>
    <row r="232" spans="1:9" x14ac:dyDescent="0.45">
      <c r="A232" s="11"/>
      <c r="B232" s="11"/>
      <c r="C232" s="11"/>
      <c r="D232" s="11"/>
      <c r="E232" s="11"/>
      <c r="F232" s="11"/>
      <c r="G232" s="11"/>
      <c r="H232" s="11"/>
      <c r="I232" s="11"/>
    </row>
    <row r="233" spans="1:9" x14ac:dyDescent="0.45">
      <c r="A233" s="11"/>
      <c r="B233" s="11"/>
      <c r="C233" s="11"/>
      <c r="D233" s="11"/>
      <c r="E233" s="11"/>
      <c r="F233" s="11"/>
      <c r="G233" s="11"/>
      <c r="H233" s="11"/>
      <c r="I233" s="11"/>
    </row>
    <row r="234" spans="1:9" x14ac:dyDescent="0.45">
      <c r="A234" s="11"/>
      <c r="B234" s="11"/>
      <c r="C234" s="11"/>
      <c r="D234" s="11"/>
      <c r="E234" s="11"/>
      <c r="F234" s="11"/>
      <c r="G234" s="11"/>
      <c r="H234" s="11"/>
      <c r="I234" s="11"/>
    </row>
    <row r="235" spans="1:9" x14ac:dyDescent="0.45">
      <c r="A235" s="11"/>
      <c r="B235" s="11"/>
      <c r="C235" s="11"/>
      <c r="D235" s="11"/>
      <c r="E235" s="11"/>
      <c r="F235" s="11"/>
      <c r="G235" s="11"/>
      <c r="H235" s="11"/>
      <c r="I235" s="11"/>
    </row>
    <row r="236" spans="1:9" x14ac:dyDescent="0.45">
      <c r="A236" s="11"/>
      <c r="B236" s="11"/>
      <c r="C236" s="11"/>
      <c r="D236" s="11"/>
      <c r="E236" s="11"/>
      <c r="F236" s="11"/>
      <c r="G236" s="11"/>
      <c r="H236" s="11"/>
      <c r="I236" s="11"/>
    </row>
    <row r="237" spans="1:9" x14ac:dyDescent="0.45">
      <c r="A237" s="11"/>
      <c r="B237" s="11"/>
      <c r="C237" s="11"/>
      <c r="D237" s="11"/>
      <c r="E237" s="11"/>
      <c r="F237" s="11"/>
      <c r="G237" s="11"/>
      <c r="H237" s="11"/>
      <c r="I237" s="11"/>
    </row>
    <row r="238" spans="1:9" x14ac:dyDescent="0.45">
      <c r="A238" s="11"/>
      <c r="B238" s="11"/>
      <c r="C238" s="11"/>
      <c r="D238" s="11"/>
      <c r="E238" s="11"/>
      <c r="F238" s="11"/>
      <c r="G238" s="11"/>
      <c r="H238" s="11"/>
      <c r="I238" s="11"/>
    </row>
    <row r="239" spans="1:9" x14ac:dyDescent="0.45">
      <c r="A239" s="11"/>
      <c r="B239" s="11"/>
      <c r="C239" s="11"/>
      <c r="D239" s="11"/>
      <c r="E239" s="11"/>
      <c r="F239" s="11"/>
      <c r="G239" s="11"/>
      <c r="H239" s="11"/>
      <c r="I239" s="11"/>
    </row>
    <row r="240" spans="1:9" x14ac:dyDescent="0.45">
      <c r="A240" s="11"/>
      <c r="B240" s="11"/>
      <c r="C240" s="11"/>
      <c r="D240" s="11"/>
      <c r="E240" s="11"/>
      <c r="F240" s="11"/>
      <c r="G240" s="11"/>
      <c r="H240" s="11"/>
      <c r="I240" s="11"/>
    </row>
    <row r="241" spans="1:9" x14ac:dyDescent="0.45">
      <c r="A241" s="11"/>
      <c r="B241" s="11"/>
      <c r="C241" s="11"/>
      <c r="D241" s="11"/>
      <c r="E241" s="11"/>
      <c r="F241" s="11"/>
      <c r="G241" s="11"/>
      <c r="H241" s="11"/>
      <c r="I241" s="11"/>
    </row>
    <row r="242" spans="1:9" x14ac:dyDescent="0.45">
      <c r="A242" s="11"/>
      <c r="B242" s="11"/>
      <c r="C242" s="11"/>
      <c r="D242" s="11"/>
      <c r="E242" s="11"/>
      <c r="F242" s="11"/>
      <c r="G242" s="11"/>
      <c r="H242" s="11"/>
      <c r="I242" s="11"/>
    </row>
    <row r="243" spans="1:9" x14ac:dyDescent="0.45">
      <c r="A243" s="11"/>
      <c r="B243" s="11"/>
      <c r="C243" s="11"/>
      <c r="D243" s="11"/>
      <c r="E243" s="11"/>
      <c r="F243" s="11"/>
      <c r="G243" s="11"/>
      <c r="H243" s="11"/>
      <c r="I243" s="11"/>
    </row>
    <row r="244" spans="1:9" x14ac:dyDescent="0.45">
      <c r="A244" s="11"/>
      <c r="B244" s="11"/>
      <c r="C244" s="11"/>
      <c r="D244" s="11"/>
      <c r="E244" s="11"/>
      <c r="F244" s="11"/>
      <c r="G244" s="11"/>
      <c r="H244" s="11"/>
      <c r="I244" s="11"/>
    </row>
    <row r="245" spans="1:9" x14ac:dyDescent="0.45">
      <c r="A245" s="11"/>
      <c r="B245" s="11"/>
      <c r="C245" s="11"/>
      <c r="D245" s="11"/>
      <c r="E245" s="11"/>
      <c r="F245" s="11"/>
      <c r="G245" s="11"/>
      <c r="H245" s="11"/>
      <c r="I245" s="11"/>
    </row>
    <row r="246" spans="1:9" x14ac:dyDescent="0.45">
      <c r="A246" s="11"/>
      <c r="B246" s="11"/>
      <c r="C246" s="11"/>
      <c r="D246" s="11"/>
      <c r="E246" s="11"/>
      <c r="F246" s="11"/>
      <c r="G246" s="11"/>
      <c r="H246" s="11"/>
      <c r="I246" s="11"/>
    </row>
    <row r="247" spans="1:9" x14ac:dyDescent="0.45">
      <c r="A247" s="11"/>
      <c r="B247" s="11"/>
      <c r="C247" s="11"/>
      <c r="D247" s="11"/>
      <c r="E247" s="11"/>
      <c r="F247" s="11"/>
      <c r="G247" s="11"/>
      <c r="H247" s="11"/>
      <c r="I247" s="11"/>
    </row>
    <row r="248" spans="1:9" x14ac:dyDescent="0.45">
      <c r="A248" s="11"/>
      <c r="B248" s="11"/>
      <c r="C248" s="11"/>
      <c r="D248" s="11"/>
      <c r="E248" s="11"/>
      <c r="F248" s="11"/>
      <c r="G248" s="11"/>
      <c r="H248" s="11"/>
      <c r="I248" s="11"/>
    </row>
    <row r="249" spans="1:9" x14ac:dyDescent="0.45">
      <c r="A249" s="11"/>
      <c r="B249" s="11"/>
      <c r="C249" s="11"/>
      <c r="D249" s="11"/>
      <c r="E249" s="11"/>
      <c r="F249" s="11"/>
      <c r="G249" s="11"/>
      <c r="H249" s="11"/>
      <c r="I249" s="11"/>
    </row>
    <row r="250" spans="1:9" x14ac:dyDescent="0.45">
      <c r="A250" s="11"/>
      <c r="B250" s="11"/>
      <c r="C250" s="11"/>
      <c r="D250" s="11"/>
      <c r="E250" s="11"/>
      <c r="F250" s="11"/>
      <c r="G250" s="11"/>
      <c r="H250" s="11"/>
      <c r="I250" s="11"/>
    </row>
    <row r="251" spans="1:9" x14ac:dyDescent="0.45">
      <c r="A251" s="11"/>
      <c r="B251" s="11"/>
      <c r="C251" s="11"/>
      <c r="D251" s="11"/>
      <c r="E251" s="11"/>
      <c r="F251" s="11"/>
      <c r="G251" s="11"/>
      <c r="H251" s="11"/>
      <c r="I251" s="11"/>
    </row>
    <row r="252" spans="1:9" x14ac:dyDescent="0.45">
      <c r="A252" s="11"/>
      <c r="B252" s="11"/>
      <c r="C252" s="11"/>
      <c r="D252" s="11"/>
      <c r="E252" s="11"/>
      <c r="F252" s="11"/>
      <c r="G252" s="11"/>
      <c r="H252" s="11"/>
      <c r="I252" s="11"/>
    </row>
    <row r="253" spans="1:9" x14ac:dyDescent="0.45">
      <c r="A253" s="11"/>
      <c r="B253" s="11"/>
      <c r="C253" s="11"/>
      <c r="D253" s="11"/>
      <c r="E253" s="11"/>
      <c r="F253" s="11"/>
      <c r="G253" s="11"/>
      <c r="H253" s="11"/>
      <c r="I253" s="11"/>
    </row>
    <row r="254" spans="1:9" x14ac:dyDescent="0.45">
      <c r="A254" s="11"/>
      <c r="B254" s="11"/>
      <c r="C254" s="11"/>
      <c r="D254" s="11"/>
      <c r="E254" s="11"/>
      <c r="F254" s="11"/>
      <c r="G254" s="11"/>
      <c r="H254" s="11"/>
      <c r="I254" s="11"/>
    </row>
    <row r="255" spans="1:9" x14ac:dyDescent="0.45">
      <c r="A255" s="11"/>
      <c r="B255" s="11"/>
      <c r="C255" s="11"/>
      <c r="D255" s="11"/>
      <c r="E255" s="11"/>
      <c r="F255" s="11"/>
      <c r="G255" s="11"/>
      <c r="H255" s="11"/>
      <c r="I255" s="11"/>
    </row>
    <row r="256" spans="1:9" x14ac:dyDescent="0.45">
      <c r="A256" s="11"/>
      <c r="B256" s="11"/>
      <c r="C256" s="11"/>
      <c r="D256" s="11"/>
      <c r="E256" s="11"/>
      <c r="F256" s="11"/>
      <c r="G256" s="11"/>
      <c r="H256" s="11"/>
      <c r="I256" s="11"/>
    </row>
    <row r="257" spans="1:9" x14ac:dyDescent="0.45">
      <c r="A257" s="11"/>
      <c r="B257" s="11"/>
      <c r="C257" s="11"/>
      <c r="D257" s="11"/>
      <c r="E257" s="11"/>
      <c r="F257" s="11"/>
      <c r="G257" s="11"/>
      <c r="H257" s="11"/>
      <c r="I257" s="11"/>
    </row>
    <row r="258" spans="1:9" x14ac:dyDescent="0.45">
      <c r="A258" s="11"/>
      <c r="B258" s="11"/>
      <c r="C258" s="11"/>
      <c r="D258" s="11"/>
      <c r="E258" s="11"/>
      <c r="F258" s="11"/>
      <c r="G258" s="11"/>
      <c r="H258" s="11"/>
      <c r="I258" s="11"/>
    </row>
    <row r="259" spans="1:9" x14ac:dyDescent="0.45">
      <c r="A259" s="11"/>
      <c r="B259" s="11"/>
      <c r="C259" s="11"/>
      <c r="D259" s="11"/>
      <c r="E259" s="11"/>
      <c r="F259" s="11"/>
      <c r="G259" s="11"/>
      <c r="H259" s="11"/>
      <c r="I259" s="11"/>
    </row>
    <row r="260" spans="1:9" x14ac:dyDescent="0.45">
      <c r="A260" s="11"/>
      <c r="B260" s="11"/>
      <c r="C260" s="11"/>
      <c r="D260" s="11"/>
      <c r="E260" s="11"/>
      <c r="F260" s="11"/>
      <c r="G260" s="11"/>
      <c r="H260" s="11"/>
      <c r="I260" s="11"/>
    </row>
    <row r="261" spans="1:9" x14ac:dyDescent="0.45">
      <c r="A261" s="11"/>
      <c r="B261" s="11"/>
      <c r="C261" s="11"/>
      <c r="D261" s="11"/>
      <c r="E261" s="11"/>
      <c r="F261" s="11"/>
      <c r="G261" s="11"/>
      <c r="H261" s="11"/>
      <c r="I261" s="11"/>
    </row>
    <row r="262" spans="1:9" x14ac:dyDescent="0.45">
      <c r="A262" s="11"/>
      <c r="B262" s="11"/>
      <c r="C262" s="11"/>
      <c r="D262" s="11"/>
      <c r="E262" s="11"/>
      <c r="F262" s="11"/>
      <c r="G262" s="11"/>
      <c r="H262" s="11"/>
      <c r="I262" s="11"/>
    </row>
    <row r="263" spans="1:9" x14ac:dyDescent="0.45">
      <c r="A263" s="11"/>
      <c r="B263" s="11"/>
      <c r="C263" s="11"/>
      <c r="D263" s="11"/>
      <c r="E263" s="11"/>
      <c r="F263" s="11"/>
      <c r="G263" s="11"/>
      <c r="H263" s="11"/>
      <c r="I263" s="11"/>
    </row>
    <row r="264" spans="1:9" x14ac:dyDescent="0.45">
      <c r="A264" s="11"/>
      <c r="B264" s="11"/>
      <c r="C264" s="11"/>
      <c r="D264" s="11"/>
      <c r="E264" s="11"/>
      <c r="F264" s="11"/>
      <c r="G264" s="11"/>
      <c r="H264" s="11"/>
      <c r="I264" s="11"/>
    </row>
    <row r="265" spans="1:9" x14ac:dyDescent="0.45">
      <c r="A265" s="11"/>
      <c r="B265" s="11"/>
      <c r="C265" s="11"/>
      <c r="D265" s="11"/>
      <c r="E265" s="11"/>
      <c r="F265" s="11"/>
      <c r="G265" s="11"/>
      <c r="H265" s="11"/>
      <c r="I265" s="11"/>
    </row>
    <row r="266" spans="1:9" x14ac:dyDescent="0.45">
      <c r="A266" s="11"/>
      <c r="B266" s="11"/>
      <c r="C266" s="11"/>
      <c r="D266" s="11"/>
      <c r="E266" s="11"/>
      <c r="F266" s="11"/>
      <c r="G266" s="11"/>
      <c r="H266" s="11"/>
      <c r="I266" s="11"/>
    </row>
  </sheetData>
  <mergeCells count="3">
    <mergeCell ref="A2:I2"/>
    <mergeCell ref="A3:I3"/>
    <mergeCell ref="A31:D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Ventas 0826</vt:lpstr>
      <vt:lpstr>Hoja14</vt:lpstr>
      <vt:lpstr>Resumen 0826</vt:lpstr>
      <vt:lpstr>'Ventas 0826'!Print_Area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Rolando Urbina</dc:creator>
  <cp:lastModifiedBy>Rolando Urbina</cp:lastModifiedBy>
  <dcterms:created xsi:type="dcterms:W3CDTF">2026-09-17T21:51:30Z</dcterms:created>
  <dcterms:modified xsi:type="dcterms:W3CDTF">2026-09-17T21:53:08Z</dcterms:modified>
</cp:coreProperties>
</file>